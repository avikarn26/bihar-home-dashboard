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72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944</v>
      </c>
      <c r="J517" t="inlineStr">
        <is>
          <t>CFT</t>
        </is>
      </c>
      <c r="K517" t="n">
        <v>59.85169491525424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936</v>
      </c>
      <c r="J518" t="inlineStr">
        <is>
          <t>CFT</t>
        </is>
      </c>
      <c r="K518" t="n">
        <v>59.82905982905983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t="n">
        <v>563</v>
      </c>
      <c r="B569" s="128" t="n">
        <v>46270</v>
      </c>
      <c r="C569">
        <f>IF(B569="","",TEXT(B569,"MMM-YYYY"))</f>
        <v/>
      </c>
      <c r="D569" t="inlineStr">
        <is>
          <t>Plinth Phase</t>
        </is>
      </c>
      <c r="E569" t="inlineStr">
        <is>
          <t>Building Materials</t>
        </is>
      </c>
      <c r="F569" t="inlineStr">
        <is>
          <t>Cement</t>
        </is>
      </c>
      <c r="G569" t="inlineStr">
        <is>
          <t>Ultratech Super cement 12 bags @ ₹340</t>
        </is>
      </c>
      <c r="H569" t="inlineStr">
        <is>
          <t>Pappu Hardware</t>
        </is>
      </c>
      <c r="I569" t="n">
        <v>12</v>
      </c>
      <c r="J569" t="inlineStr">
        <is>
          <t>Bag</t>
        </is>
      </c>
      <c r="K569" t="n">
        <v>340</v>
      </c>
      <c r="L569">
        <f>I569*K569</f>
        <v/>
      </c>
      <c r="N569">
        <f>M569*L569</f>
        <v/>
      </c>
      <c r="O569">
        <f>IF(L569="","",IF(M569="",L569,L569*(1-M569)))</f>
        <v/>
      </c>
    </row>
    <row r="570">
      <c r="A570" t="n">
        <v>564</v>
      </c>
      <c r="B570" s="128" t="n">
        <v>46270</v>
      </c>
      <c r="C570">
        <f>IF(B570="","",TEXT(B570,"MMM-YYYY"))</f>
        <v/>
      </c>
      <c r="D570" t="inlineStr">
        <is>
          <t>Plinth Phase</t>
        </is>
      </c>
      <c r="E570" t="inlineStr">
        <is>
          <t>Building Materials</t>
        </is>
      </c>
      <c r="F570" t="inlineStr">
        <is>
          <t>Cement</t>
        </is>
      </c>
      <c r="G570" t="inlineStr">
        <is>
          <t>Ultratech Plain cement 24 bags @ ₹320</t>
        </is>
      </c>
      <c r="H570" t="inlineStr">
        <is>
          <t>Pappu Hardware</t>
        </is>
      </c>
      <c r="I570" t="n">
        <v>24</v>
      </c>
      <c r="J570" t="inlineStr">
        <is>
          <t>Bag</t>
        </is>
      </c>
      <c r="K570" t="n">
        <v>320</v>
      </c>
      <c r="L570">
        <f>I570*K570</f>
        <v/>
      </c>
      <c r="N570">
        <f>M570*L570</f>
        <v/>
      </c>
      <c r="O570">
        <f>IF(L570="","",IF(M570="",L570,L570*(1-M570)))</f>
        <v/>
      </c>
    </row>
    <row r="571">
      <c r="A571" t="n">
        <v>565</v>
      </c>
      <c r="B571" s="128" t="n">
        <v>46270</v>
      </c>
      <c r="C571">
        <f>IF(B571="","",TEXT(B571,"MMM-YYYY"))</f>
        <v/>
      </c>
      <c r="D571" t="inlineStr">
        <is>
          <t>Plinth Phase</t>
        </is>
      </c>
      <c r="E571" t="inlineStr">
        <is>
          <t>Building Materials</t>
        </is>
      </c>
      <c r="F571" t="inlineStr">
        <is>
          <t>Material Transport</t>
        </is>
      </c>
      <c r="G571" t="inlineStr">
        <is>
          <t>Cement transportation</t>
        </is>
      </c>
      <c r="H571" t="inlineStr">
        <is>
          <t>Pappu Hardware</t>
        </is>
      </c>
      <c r="I571" t="n">
        <v>1</v>
      </c>
      <c r="J571" t="inlineStr">
        <is>
          <t>Trip</t>
        </is>
      </c>
      <c r="K571" t="n">
        <v>450</v>
      </c>
      <c r="L571">
        <f>I571*K571</f>
        <v/>
      </c>
      <c r="N571">
        <f>M571*L571</f>
        <v/>
      </c>
      <c r="O571">
        <f>IF(L571="","",IF(M571="",L571,L571*(1-M571)))</f>
        <v/>
      </c>
    </row>
    <row r="572">
      <c r="A572" s="60" t="inlineStr">
        <is>
          <t>TOTALS</t>
        </is>
      </c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1">
        <f>SUM(L5:L571)</f>
        <v/>
      </c>
      <c r="M572" s="60" t="n"/>
      <c r="N572" s="60" t="n"/>
      <c r="O572" s="61">
        <f>SUM(O5:O528)</f>
        <v/>
      </c>
      <c r="P572" s="60" t="n"/>
      <c r="Q572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56</v>
      </c>
      <c r="B60" s="53" t="n">
        <v>46270</v>
      </c>
      <c r="C60" s="55" t="inlineStr">
        <is>
          <t>Self</t>
        </is>
      </c>
      <c r="D60" s="55" t="inlineStr">
        <is>
          <t>Pappu Hardware</t>
        </is>
      </c>
      <c r="E60" s="55" t="inlineStr">
        <is>
          <t>Building Materials</t>
        </is>
      </c>
      <c r="F60" s="55" t="inlineStr">
        <is>
          <t>Ultratech Super+Plain cement, transport</t>
        </is>
      </c>
      <c r="G60" s="63" t="n">
        <v>12210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2026-09-05T11:24:27Z</dcterms:modified>
  <cp:lastModifiedBy>Avinash Karn</cp:lastModifiedBy>
  <cp:revision>49</cp:revision>
</cp:coreProperties>
</file>