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28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Land Levelling/Filling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18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Land Levelling/Filling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Land Levelling/Filling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Land Levelling/Filling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 Labour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 Labour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Labour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Labour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Labour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Labour</t>
        </is>
      </c>
      <c r="G513" t="inlineStr">
        <is>
          <t>Mitti filling 20 trailers @ ₹600</t>
        </is>
      </c>
      <c r="H513" t="inlineStr">
        <is>
          <t>Mukesh Yadav</t>
        </is>
      </c>
      <c r="I513" t="n">
        <v>20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1</v>
      </c>
      <c r="J517" t="inlineStr">
        <is>
          <t>Lumpsum</t>
        </is>
      </c>
      <c r="K517" t="n">
        <v>56500</v>
      </c>
      <c r="L517">
        <f>IF(OR(I517="",K517=""),"",I517*K517)</f>
        <v/>
      </c>
      <c r="O517">
        <f>IF(L517="","",IF(M517="",L517,L517*(1-M517)))</f>
        <v/>
      </c>
    </row>
    <row r="518">
      <c r="A518" t="n">
        <v>515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Sand</t>
        </is>
      </c>
      <c r="G518" t="inlineStr">
        <is>
          <t>Sand Truck 4 — 936 CFT @ ₹59.85/CFT</t>
        </is>
      </c>
      <c r="H518" t="inlineStr">
        <is>
          <t>Sand Truck Wala</t>
        </is>
      </c>
      <c r="I518" t="n">
        <v>1</v>
      </c>
      <c r="J518" t="inlineStr">
        <is>
          <t>Lumpsum</t>
        </is>
      </c>
      <c r="K518" t="n">
        <v>56000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516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Cement</t>
        </is>
      </c>
      <c r="G519" t="inlineStr">
        <is>
          <t>Ultratech Super Cement 30B @ ₹350</t>
        </is>
      </c>
      <c r="H519" t="inlineStr">
        <is>
          <t>Babloo Hardware</t>
        </is>
      </c>
      <c r="I519" t="n">
        <v>30</v>
      </c>
      <c r="J519" t="inlineStr">
        <is>
          <t>Bag</t>
        </is>
      </c>
      <c r="K519" t="n">
        <v>350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517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Building Materials</t>
        </is>
      </c>
      <c r="F520" t="inlineStr">
        <is>
          <t>Cement</t>
        </is>
      </c>
      <c r="G520" t="inlineStr">
        <is>
          <t>Ultratech Cement (PPC) 30B @ ₹330</t>
        </is>
      </c>
      <c r="H520" t="inlineStr">
        <is>
          <t>Babloo Hardware</t>
        </is>
      </c>
      <c r="I520" t="n">
        <v>30</v>
      </c>
      <c r="J520" t="inlineStr">
        <is>
          <t>Bag</t>
        </is>
      </c>
      <c r="K520" t="n">
        <v>330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518</v>
      </c>
      <c r="B521" s="127" t="n">
        <v>46208</v>
      </c>
      <c r="C521">
        <f>IF(B521="","",TEXT(B521,"MMM-YYYY"))</f>
        <v/>
      </c>
      <c r="D521" t="inlineStr">
        <is>
          <t>Plinth Phase</t>
        </is>
      </c>
      <c r="E521" t="inlineStr">
        <is>
          <t>Steel / Iron</t>
        </is>
      </c>
      <c r="F521" t="inlineStr">
        <is>
          <t>Tiscon 6mm</t>
        </is>
      </c>
      <c r="G521" t="inlineStr">
        <is>
          <t>6mm Tiscon Rod 50 pcs @ ₹228</t>
        </is>
      </c>
      <c r="H521" t="inlineStr">
        <is>
          <t>Babloo Hardware</t>
        </is>
      </c>
      <c r="I521" t="n">
        <v>50</v>
      </c>
      <c r="J521" t="inlineStr">
        <is>
          <t>Pcs</t>
        </is>
      </c>
      <c r="K521" t="n">
        <v>228</v>
      </c>
      <c r="L521">
        <f>IF(OR(I521="",K521=""),"",I521*K521)</f>
        <v/>
      </c>
      <c r="O521">
        <f>IF(L521="","",IF(M521="",L521,L521*(1-M521)))</f>
        <v/>
      </c>
      <c r="P521" t="inlineStr">
        <is>
          <t>Self</t>
        </is>
      </c>
      <c r="Q521" t="inlineStr">
        <is>
          <t>GPay</t>
        </is>
      </c>
    </row>
    <row r="522">
      <c r="A522" t="n">
        <v>519</v>
      </c>
      <c r="B522" s="127" t="n">
        <v>46208</v>
      </c>
      <c r="C522">
        <f>IF(B522="","",TEXT(B522,"MMM-YYYY"))</f>
        <v/>
      </c>
      <c r="D522" t="inlineStr">
        <is>
          <t>Plinth Phase</t>
        </is>
      </c>
      <c r="E522" t="inlineStr">
        <is>
          <t>Building Materials</t>
        </is>
      </c>
      <c r="F522" t="inlineStr">
        <is>
          <t>Concrete/Gitti</t>
        </is>
      </c>
      <c r="G522" t="inlineStr">
        <is>
          <t>Gitti 1 trailer @ ₹7,500</t>
        </is>
      </c>
      <c r="H522" t="inlineStr">
        <is>
          <t>Babloo Hardware</t>
        </is>
      </c>
      <c r="I522" t="n">
        <v>1</v>
      </c>
      <c r="J522" t="inlineStr">
        <is>
          <t>Trailer</t>
        </is>
      </c>
      <c r="K522" t="n">
        <v>7500</v>
      </c>
      <c r="L522">
        <f>IF(OR(I522="",K522=""),"",I522*K522)</f>
        <v/>
      </c>
      <c r="O522">
        <f>IF(L522="","",IF(M522="",L522,L522*(1-M522)))</f>
        <v/>
      </c>
      <c r="P522" t="inlineStr">
        <is>
          <t>Self</t>
        </is>
      </c>
      <c r="Q522" t="inlineStr">
        <is>
          <t>GPay</t>
        </is>
      </c>
    </row>
    <row r="523">
      <c r="A523" t="n">
        <v>520</v>
      </c>
      <c r="B523" s="127" t="n">
        <v>46208</v>
      </c>
      <c r="C523">
        <f>IF(B523="","",TEXT(B523,"MMM-YYYY"))</f>
        <v/>
      </c>
      <c r="D523" t="inlineStr">
        <is>
          <t>Plinth Phase</t>
        </is>
      </c>
      <c r="E523" t="inlineStr">
        <is>
          <t>Building Materials</t>
        </is>
      </c>
      <c r="F523" t="inlineStr">
        <is>
          <t>Chemical</t>
        </is>
      </c>
      <c r="G523" t="inlineStr">
        <is>
          <t>Dr Fixit 10 Litre @ ₹140</t>
        </is>
      </c>
      <c r="H523" t="inlineStr">
        <is>
          <t>Babloo Hardware</t>
        </is>
      </c>
      <c r="I523" t="n">
        <v>10</v>
      </c>
      <c r="J523" t="inlineStr">
        <is>
          <t>Litre</t>
        </is>
      </c>
      <c r="K523" t="n">
        <v>140</v>
      </c>
      <c r="L523">
        <f>IF(OR(I523="",K523=""),"",I523*K523)</f>
        <v/>
      </c>
      <c r="O523">
        <f>IF(L523="","",IF(M523="",L523,L523*(1-M523)))</f>
        <v/>
      </c>
      <c r="P523" t="inlineStr">
        <is>
          <t>Self</t>
        </is>
      </c>
      <c r="Q523" t="inlineStr">
        <is>
          <t>GPay</t>
        </is>
      </c>
    </row>
    <row r="524">
      <c r="A524" t="n">
        <v>521</v>
      </c>
      <c r="B524" s="127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Labour</t>
        </is>
      </c>
      <c r="F524" t="inlineStr">
        <is>
          <t>Site Labour</t>
        </is>
      </c>
      <c r="G524" t="inlineStr">
        <is>
          <t>Labour/unloading charges</t>
        </is>
      </c>
      <c r="H524" t="inlineStr">
        <is>
          <t>Babloo Hardware</t>
        </is>
      </c>
      <c r="I524" t="n">
        <v>1</v>
      </c>
      <c r="J524" t="inlineStr">
        <is>
          <t>Lumpsum</t>
        </is>
      </c>
      <c r="K524" t="n">
        <v>950</v>
      </c>
      <c r="L524">
        <f>IF(OR(I524="",K524=""),"",I524*K524)</f>
        <v/>
      </c>
      <c r="O524">
        <f>IF(L524="","",IF(M524="",L524,L524*(1-M524)))</f>
        <v/>
      </c>
      <c r="P524" t="inlineStr">
        <is>
          <t>Self</t>
        </is>
      </c>
      <c r="Q524" t="inlineStr">
        <is>
          <t>GPay</t>
        </is>
      </c>
    </row>
    <row r="525">
      <c r="A525" t="n">
        <v>522</v>
      </c>
      <c r="B525" s="127" t="n">
        <v>46220</v>
      </c>
      <c r="C525">
        <f>IF(B525="","",TEXT(B525,"MMM-YYYY"))</f>
        <v/>
      </c>
      <c r="D525" t="inlineStr">
        <is>
          <t>Plinth Phase</t>
        </is>
      </c>
      <c r="E525" t="inlineStr">
        <is>
          <t>Professional Fees</t>
        </is>
      </c>
      <c r="F525" t="inlineStr">
        <is>
          <t>Engineer Supervision</t>
        </is>
      </c>
      <c r="G525" t="inlineStr">
        <is>
          <t>Engineer supervision fee — iron wiring works</t>
        </is>
      </c>
      <c r="H525" t="inlineStr">
        <is>
          <t>Econ Builder</t>
        </is>
      </c>
      <c r="I525" t="n">
        <v>1</v>
      </c>
      <c r="J525" t="inlineStr">
        <is>
          <t>Lumpsum</t>
        </is>
      </c>
      <c r="K525" t="n">
        <v>15000</v>
      </c>
      <c r="L525">
        <f>IF(OR(I525="",K525=""),"",I525*K525)</f>
        <v/>
      </c>
      <c r="O525">
        <f>IF(L525="","",IF(M525="",L525,L525*(1-M525)))</f>
        <v/>
      </c>
      <c r="P525" t="inlineStr">
        <is>
          <t>Papa</t>
        </is>
      </c>
      <c r="Q525" t="inlineStr">
        <is>
          <t>GPay</t>
        </is>
      </c>
    </row>
    <row r="526">
      <c r="A526" t="n">
        <v>523</v>
      </c>
      <c r="B526" s="127" t="n">
        <v>46220</v>
      </c>
      <c r="C526">
        <f>IF(B526="","",TEXT(B526,"MMM-YYYY"))</f>
        <v/>
      </c>
      <c r="D526" t="inlineStr">
        <is>
          <t>Plinth Phase</t>
        </is>
      </c>
      <c r="E526" t="inlineStr">
        <is>
          <t>Building Materials</t>
        </is>
      </c>
      <c r="F526" t="inlineStr">
        <is>
          <t>Wire</t>
        </is>
      </c>
      <c r="G526" t="inlineStr">
        <is>
          <t>Iron wire 2 Kg @ ₹600/kg</t>
        </is>
      </c>
      <c r="H526" t="inlineStr">
        <is>
          <t>Local Purchase</t>
        </is>
      </c>
      <c r="I526" t="n">
        <v>2</v>
      </c>
      <c r="J526" t="inlineStr">
        <is>
          <t>Kg</t>
        </is>
      </c>
      <c r="K526" t="n">
        <v>600</v>
      </c>
      <c r="L526">
        <f>IF(OR(I526="",K526=""),"",I526*K526)</f>
        <v/>
      </c>
      <c r="O526">
        <f>IF(L526="","",IF(M526="",L526,L526*(1-M526)))</f>
        <v/>
      </c>
      <c r="P526" t="inlineStr">
        <is>
          <t>Papa</t>
        </is>
      </c>
      <c r="Q526" t="inlineStr">
        <is>
          <t>GPay</t>
        </is>
      </c>
    </row>
    <row r="527">
      <c r="A527" t="n">
        <v>524</v>
      </c>
      <c r="B527" s="127" t="n">
        <v>46220</v>
      </c>
      <c r="C527">
        <f>IF(B527="","",TEXT(B527,"MMM-YYYY"))</f>
        <v/>
      </c>
      <c r="D527" t="inlineStr">
        <is>
          <t>Plinth Phase</t>
        </is>
      </c>
      <c r="E527" t="inlineStr">
        <is>
          <t>Transport · Food · Misc</t>
        </is>
      </c>
      <c r="F527" t="inlineStr">
        <is>
          <t>Delivery</t>
        </is>
      </c>
      <c r="G527" t="inlineStr">
        <is>
          <t>Iron wire delivery charges</t>
        </is>
      </c>
      <c r="H527" t="inlineStr">
        <is>
          <t>Local Purchase</t>
        </is>
      </c>
      <c r="I527" t="n">
        <v>1</v>
      </c>
      <c r="J527" t="inlineStr">
        <is>
          <t>Lumpsum</t>
        </is>
      </c>
      <c r="K527" t="n">
        <v>100</v>
      </c>
      <c r="L527">
        <f>IF(OR(I527="",K527=""),"",I527*K527)</f>
        <v/>
      </c>
      <c r="O527">
        <f>IF(L527="","",IF(M527="",L527,L527*(1-M527)))</f>
        <v/>
      </c>
      <c r="P527" t="inlineStr">
        <is>
          <t>Papa</t>
        </is>
      </c>
      <c r="Q527" t="inlineStr">
        <is>
          <t>GPay</t>
        </is>
      </c>
    </row>
    <row r="528">
      <c r="A528" s="60" t="inlineStr">
        <is>
          <t>TOTALS</t>
        </is>
      </c>
      <c r="B528" s="60" t="n"/>
      <c r="C528" s="60" t="n"/>
      <c r="D528" s="60" t="n"/>
      <c r="E528" s="60" t="n"/>
      <c r="F528" s="60" t="n"/>
      <c r="G528" s="60" t="n"/>
      <c r="H528" s="60" t="n"/>
      <c r="I528" s="60" t="n"/>
      <c r="J528" s="60" t="n"/>
      <c r="K528" s="60" t="n"/>
      <c r="L528" s="61">
        <f>SUM(L5:L527)</f>
        <v/>
      </c>
      <c r="M528" s="60" t="n"/>
      <c r="N528" s="60" t="n"/>
      <c r="O528" s="61">
        <f>SUM(O5:O527)</f>
        <v/>
      </c>
      <c r="P528" s="60" t="n"/>
      <c r="Q528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4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>
        <v>35</v>
      </c>
      <c r="B39" s="45" t="n">
        <v>46208</v>
      </c>
      <c r="C39" s="47" t="inlineStr">
        <is>
          <t>Self</t>
        </is>
      </c>
      <c r="D39" s="47" t="inlineStr">
        <is>
          <t>Sand Truck Wala</t>
        </is>
      </c>
      <c r="E39" s="47" t="inlineStr">
        <is>
          <t>Building Materials</t>
        </is>
      </c>
      <c r="F39" s="47" t="inlineStr">
        <is>
          <t>Sand Truck 4 — 936 CFT</t>
        </is>
      </c>
      <c r="G39" s="62" t="n">
        <v>56000</v>
      </c>
      <c r="H39" s="47" t="inlineStr">
        <is>
          <t>GPay</t>
        </is>
      </c>
      <c r="I39" s="47" t="n"/>
      <c r="J39" s="47" t="n"/>
      <c r="K39" s="47" t="inlineStr">
        <is>
          <t>Y</t>
        </is>
      </c>
      <c r="L39" s="50">
        <f>L38+G39</f>
        <v/>
      </c>
      <c r="M39" s="47" t="n"/>
    </row>
    <row r="40" ht="15.75" customHeight="1" s="99">
      <c r="A40" s="43" t="n">
        <v>36</v>
      </c>
      <c r="B40" s="53" t="n">
        <v>46208</v>
      </c>
      <c r="C40" s="55" t="inlineStr">
        <is>
          <t>Self</t>
        </is>
      </c>
      <c r="D40" s="55" t="inlineStr">
        <is>
          <t>Babloo Hardware</t>
        </is>
      </c>
      <c r="E40" s="55" t="inlineStr">
        <is>
          <t>Building Materials + Steel + Labour</t>
        </is>
      </c>
      <c r="F40" s="55" t="inlineStr">
        <is>
          <t>Cement 60B + 6mm 50pcs + Gitti + DrFixit + Labour</t>
        </is>
      </c>
      <c r="G40" s="63" t="n">
        <v>41650</v>
      </c>
      <c r="H40" s="55" t="inlineStr">
        <is>
          <t>GPay</t>
        </is>
      </c>
      <c r="I40" s="55" t="n"/>
      <c r="J40" s="55" t="n"/>
      <c r="K40" s="55" t="inlineStr">
        <is>
          <t>Y</t>
        </is>
      </c>
      <c r="L40" s="58">
        <f>L39+G40</f>
        <v/>
      </c>
      <c r="M40" s="55" t="n"/>
    </row>
    <row r="41" ht="15.75" customHeight="1" s="99">
      <c r="A41" s="41" t="n">
        <v>37</v>
      </c>
      <c r="B41" s="45" t="n">
        <v>46220</v>
      </c>
      <c r="C41" s="47" t="inlineStr">
        <is>
          <t>Papa</t>
        </is>
      </c>
      <c r="D41" s="47" t="inlineStr">
        <is>
          <t>Econ Builder</t>
        </is>
      </c>
      <c r="E41" s="47" t="inlineStr">
        <is>
          <t>Professional Fees</t>
        </is>
      </c>
      <c r="F41" s="47" t="inlineStr">
        <is>
          <t>Engineer supervision — iron wiring works</t>
        </is>
      </c>
      <c r="G41" s="62" t="n">
        <v>15000</v>
      </c>
      <c r="H41" s="47" t="inlineStr">
        <is>
          <t>GPay</t>
        </is>
      </c>
      <c r="I41" s="47" t="n"/>
      <c r="J41" s="47" t="n"/>
      <c r="K41" s="47" t="inlineStr">
        <is>
          <t>Y</t>
        </is>
      </c>
      <c r="L41" s="50">
        <f>L40+G41</f>
        <v/>
      </c>
      <c r="M41" s="47" t="n"/>
    </row>
    <row r="42" ht="15.75" customHeight="1" s="99">
      <c r="A42" s="43" t="n">
        <v>38</v>
      </c>
      <c r="B42" s="53" t="n">
        <v>46220</v>
      </c>
      <c r="C42" s="55" t="inlineStr">
        <is>
          <t>Papa</t>
        </is>
      </c>
      <c r="D42" s="55" t="inlineStr">
        <is>
          <t>Local Purchase</t>
        </is>
      </c>
      <c r="E42" s="55" t="inlineStr">
        <is>
          <t>Building Materials</t>
        </is>
      </c>
      <c r="F42" s="55" t="inlineStr">
        <is>
          <t>Iron wire 2kg + delivery</t>
        </is>
      </c>
      <c r="G42" s="63" t="n">
        <v>1300</v>
      </c>
      <c r="H42" s="55" t="inlineStr">
        <is>
          <t>GPay</t>
        </is>
      </c>
      <c r="I42" s="55" t="n"/>
      <c r="J42" s="55" t="n"/>
      <c r="K42" s="55" t="inlineStr">
        <is>
          <t>Y</t>
        </is>
      </c>
      <c r="L42" s="58">
        <f>L41+G42</f>
        <v/>
      </c>
      <c r="M42" s="55" t="n"/>
    </row>
    <row r="43" ht="15.75" customHeight="1" s="99">
      <c r="A43" s="41" t="n"/>
      <c r="B43" s="45" t="n"/>
      <c r="C43" s="47" t="n"/>
      <c r="D43" s="47" t="n"/>
      <c r="E43" s="47" t="n"/>
      <c r="F43" s="47" t="n"/>
      <c r="G43" s="62" t="n"/>
      <c r="H43" s="47" t="n"/>
      <c r="I43" s="47" t="n"/>
      <c r="J43" s="47" t="n"/>
      <c r="K43" s="47" t="n"/>
      <c r="L43" s="50" t="n"/>
      <c r="M43" s="47" t="n"/>
    </row>
    <row r="44" ht="15.75" customHeight="1" s="99">
      <c r="A44" s="43" t="n"/>
      <c r="B44" s="53" t="n"/>
      <c r="C44" s="55" t="n"/>
      <c r="D44" s="55" t="n"/>
      <c r="E44" s="55" t="n"/>
      <c r="F44" s="55" t="n"/>
      <c r="G44" s="63" t="n"/>
      <c r="H44" s="55" t="n"/>
      <c r="I44" s="55" t="n"/>
      <c r="J44" s="55" t="n"/>
      <c r="K44" s="55" t="n"/>
      <c r="L44" s="58" t="n"/>
      <c r="M44" s="55" t="n"/>
    </row>
    <row r="45" ht="15.75" customHeight="1" s="99">
      <c r="A45" s="41" t="n"/>
      <c r="B45" s="45" t="n"/>
      <c r="C45" s="47" t="n"/>
      <c r="D45" s="47" t="n"/>
      <c r="E45" s="47" t="n"/>
      <c r="F45" s="47" t="n"/>
      <c r="G45" s="62" t="n"/>
      <c r="H45" s="47" t="n"/>
      <c r="I45" s="47" t="n"/>
      <c r="J45" s="47" t="n"/>
      <c r="K45" s="47" t="n"/>
      <c r="L45" s="50" t="n"/>
      <c r="M45" s="47" t="n"/>
    </row>
    <row r="46" ht="15.75" customHeight="1" s="99">
      <c r="A46" s="43" t="n"/>
      <c r="B46" s="53" t="n"/>
      <c r="C46" s="55" t="n"/>
      <c r="D46" s="55" t="n"/>
      <c r="E46" s="55" t="n"/>
      <c r="F46" s="55" t="n"/>
      <c r="G46" s="63" t="n"/>
      <c r="H46" s="55" t="n"/>
      <c r="I46" s="55" t="n"/>
      <c r="J46" s="55" t="n"/>
      <c r="K46" s="55" t="n"/>
      <c r="L46" s="58" t="n"/>
      <c r="M46" s="55" t="n"/>
    </row>
    <row r="47" ht="15.75" customHeight="1" s="99">
      <c r="A47" s="41" t="n"/>
      <c r="B47" s="45" t="n"/>
      <c r="C47" s="47" t="n"/>
      <c r="D47" s="47" t="n"/>
      <c r="E47" s="47" t="n"/>
      <c r="F47" s="47" t="n"/>
      <c r="G47" s="62" t="n"/>
      <c r="H47" s="47" t="n"/>
      <c r="I47" s="47" t="n"/>
      <c r="J47" s="47" t="n"/>
      <c r="K47" s="47" t="n"/>
      <c r="L47" s="50" t="n"/>
      <c r="M47" s="47" t="n"/>
    </row>
    <row r="48" ht="15.75" customHeight="1" s="99">
      <c r="A48" s="43" t="n"/>
      <c r="B48" s="53" t="n"/>
      <c r="C48" s="55" t="n"/>
      <c r="D48" s="55" t="n"/>
      <c r="E48" s="55" t="n"/>
      <c r="F48" s="55" t="n"/>
      <c r="G48" s="63" t="n"/>
      <c r="H48" s="55" t="n"/>
      <c r="I48" s="55" t="n"/>
      <c r="J48" s="55" t="n"/>
      <c r="K48" s="55" t="n"/>
      <c r="L48" s="58" t="n"/>
      <c r="M48" s="55" t="n"/>
    </row>
    <row r="49" ht="15.75" customHeight="1" s="99">
      <c r="A49" s="41" t="n"/>
      <c r="B49" s="45" t="n"/>
      <c r="C49" s="47" t="n"/>
      <c r="D49" s="47" t="n"/>
      <c r="E49" s="47" t="n"/>
      <c r="F49" s="47" t="n"/>
      <c r="G49" s="62" t="n"/>
      <c r="H49" s="47" t="n"/>
      <c r="I49" s="47" t="n"/>
      <c r="J49" s="47" t="n"/>
      <c r="K49" s="47" t="n"/>
      <c r="L49" s="50" t="n"/>
      <c r="M49" s="47" t="n"/>
    </row>
    <row r="50" ht="15.75" customHeight="1" s="99">
      <c r="A50" s="43" t="n"/>
      <c r="B50" s="53" t="n"/>
      <c r="C50" s="55" t="n"/>
      <c r="D50" s="55" t="n"/>
      <c r="E50" s="55" t="n"/>
      <c r="F50" s="55" t="n"/>
      <c r="G50" s="63" t="n"/>
      <c r="H50" s="55" t="n"/>
      <c r="I50" s="55" t="n"/>
      <c r="J50" s="55" t="n"/>
      <c r="K50" s="55" t="n"/>
      <c r="L50" s="58" t="n"/>
      <c r="M50" s="55" t="n"/>
    </row>
    <row r="51" ht="15.75" customHeight="1" s="99">
      <c r="A51" s="41" t="n"/>
      <c r="B51" s="45" t="n"/>
      <c r="C51" s="47" t="n"/>
      <c r="D51" s="47" t="n"/>
      <c r="E51" s="47" t="n"/>
      <c r="F51" s="47" t="n"/>
      <c r="G51" s="62" t="n"/>
      <c r="H51" s="47" t="n"/>
      <c r="I51" s="47" t="n"/>
      <c r="J51" s="47" t="n"/>
      <c r="K51" s="47" t="n"/>
      <c r="L51" s="50" t="n"/>
      <c r="M51" s="47" t="n"/>
    </row>
    <row r="52" ht="15.75" customHeight="1" s="99">
      <c r="A52" s="43" t="n"/>
      <c r="B52" s="53" t="n"/>
      <c r="C52" s="55" t="n"/>
      <c r="D52" s="55" t="n"/>
      <c r="E52" s="55" t="n"/>
      <c r="F52" s="55" t="n"/>
      <c r="G52" s="63" t="n"/>
      <c r="H52" s="55" t="n"/>
      <c r="I52" s="55" t="n"/>
      <c r="J52" s="55" t="n"/>
      <c r="K52" s="55" t="n"/>
      <c r="L52" s="58" t="n"/>
      <c r="M52" s="55" t="n"/>
    </row>
    <row r="53" ht="15.75" customHeight="1" s="99">
      <c r="A53" s="41" t="n"/>
      <c r="B53" s="45" t="n"/>
      <c r="C53" s="47" t="n"/>
      <c r="D53" s="47" t="n"/>
      <c r="E53" s="47" t="n"/>
      <c r="F53" s="47" t="n"/>
      <c r="G53" s="62" t="n"/>
      <c r="H53" s="47" t="n"/>
      <c r="I53" s="47" t="n"/>
      <c r="J53" s="47" t="n"/>
      <c r="K53" s="47" t="n"/>
      <c r="L53" s="50" t="n"/>
      <c r="M53" s="47" t="n"/>
    </row>
    <row r="54" ht="15.75" customHeight="1" s="99">
      <c r="A54" s="43" t="n"/>
      <c r="B54" s="53" t="n"/>
      <c r="C54" s="55" t="n"/>
      <c r="D54" s="55" t="n"/>
      <c r="E54" s="55" t="n"/>
      <c r="F54" s="55" t="n"/>
      <c r="G54" s="63" t="n"/>
      <c r="H54" s="55" t="n"/>
      <c r="I54" s="55" t="n"/>
      <c r="J54" s="55" t="n"/>
      <c r="K54" s="55" t="n"/>
      <c r="L54" s="58" t="n"/>
      <c r="M54" s="55" t="n"/>
    </row>
    <row r="55" ht="15.75" customHeight="1" s="99">
      <c r="A55" s="41" t="n"/>
      <c r="B55" s="45" t="n"/>
      <c r="C55" s="47" t="n"/>
      <c r="D55" s="47" t="n"/>
      <c r="E55" s="47" t="n"/>
      <c r="F55" s="47" t="n"/>
      <c r="G55" s="62" t="n"/>
      <c r="H55" s="47" t="n"/>
      <c r="I55" s="47" t="n"/>
      <c r="J55" s="47" t="n"/>
      <c r="K55" s="47" t="n"/>
      <c r="L55" s="50" t="n"/>
      <c r="M55" s="47" t="n"/>
    </row>
    <row r="56" ht="15.75" customHeight="1" s="99">
      <c r="A56" s="43" t="n"/>
      <c r="B56" s="53" t="n"/>
      <c r="C56" s="55" t="n"/>
      <c r="D56" s="55" t="n"/>
      <c r="E56" s="55" t="n"/>
      <c r="F56" s="55" t="n"/>
      <c r="G56" s="63" t="n"/>
      <c r="H56" s="55" t="n"/>
      <c r="I56" s="55" t="n"/>
      <c r="J56" s="55" t="n"/>
      <c r="K56" s="55" t="n"/>
      <c r="L56" s="58" t="n"/>
      <c r="M56" s="55" t="n"/>
    </row>
    <row r="57" ht="15.75" customHeight="1" s="99">
      <c r="A57" s="41" t="n"/>
      <c r="B57" s="45" t="n"/>
      <c r="C57" s="47" t="n"/>
      <c r="D57" s="47" t="n"/>
      <c r="E57" s="47" t="n"/>
      <c r="F57" s="47" t="n"/>
      <c r="G57" s="62" t="n"/>
      <c r="H57" s="47" t="n"/>
      <c r="I57" s="47" t="n"/>
      <c r="J57" s="47" t="n"/>
      <c r="K57" s="47" t="n"/>
      <c r="L57" s="50" t="n"/>
      <c r="M57" s="47" t="n"/>
    </row>
    <row r="58" ht="15.75" customHeight="1" s="99">
      <c r="A58" s="43" t="n"/>
      <c r="B58" s="53" t="n"/>
      <c r="C58" s="55" t="n"/>
      <c r="D58" s="55" t="n"/>
      <c r="E58" s="55" t="n"/>
      <c r="F58" s="55" t="n"/>
      <c r="G58" s="63" t="n"/>
      <c r="H58" s="55" t="n"/>
      <c r="I58" s="55" t="n"/>
      <c r="J58" s="55" t="n"/>
      <c r="K58" s="55" t="n"/>
      <c r="L58" s="58" t="n"/>
      <c r="M58" s="55" t="n"/>
    </row>
    <row r="59" ht="15.75" customHeight="1" s="99">
      <c r="A59" s="41" t="n"/>
      <c r="B59" s="45" t="n"/>
      <c r="C59" s="47" t="n"/>
      <c r="D59" s="47" t="n"/>
      <c r="E59" s="47" t="n"/>
      <c r="F59" s="47" t="n"/>
      <c r="G59" s="62" t="n"/>
      <c r="H59" s="47" t="n"/>
      <c r="I59" s="47" t="n"/>
      <c r="J59" s="47" t="n"/>
      <c r="K59" s="47" t="n"/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2026-07-17T13:06:02Z</dcterms:modified>
  <cp:lastModifiedBy>Avinash Karn</cp:lastModifiedBy>
  <cp:revision>49</cp:revision>
</cp:coreProperties>
</file>