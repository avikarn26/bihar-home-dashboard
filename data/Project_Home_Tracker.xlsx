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Tracker'!G5:G500)</f>
        <v/>
      </c>
      <c r="C7" s="113" t="n"/>
      <c r="D7" s="6" t="n"/>
      <c r="E7" s="122">
        <f>'Material Summary'!H35</f>
        <v/>
      </c>
      <c r="F7" s="113" t="n"/>
      <c r="G7" s="6" t="n"/>
      <c r="H7" s="120">
        <f>-SUMIF('Vendor Summary'!E5:E16,"&lt;0")</f>
        <v/>
      </c>
      <c r="I7" s="113" t="n"/>
      <c r="J7" s="6" t="n"/>
      <c r="K7" s="121">
        <f>SUMIF('Vendor Summary'!E5:E16,"&gt;0")</f>
        <v/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Net billed value of materials</t>
        </is>
      </c>
      <c r="F8" s="117" t="n"/>
      <c r="G8" s="6" t="n"/>
      <c r="H8" s="116" t="inlineStr">
        <is>
          <t>Advance paid beyond billed (all vendors)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Avinash</t>
        </is>
      </c>
      <c r="C12" s="13">
        <f>SUMIF('Payment Tracker'!C:C,"Self",'Payment Tracker'!G:G)+SUMIF('Payment Tracker'!C:C,"Self-GPay",'Payment Tracker'!G:G)+SUMIF('Payment Tracker'!C:C,"Self-Bank Transfer",'Payment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Papa</t>
        </is>
      </c>
      <c r="C13" s="18">
        <f>SUMIF('Payment Tracker'!C:C,B13,'Payment Tracker'!G:G)</f>
        <v/>
      </c>
      <c r="D13" s="6" t="n"/>
      <c r="E13" s="17" t="inlineStr">
        <is>
          <t>Steel / Iron</t>
        </is>
      </c>
      <c r="F13" s="19">
        <f>SUMIFS('All Transactions'!O:O,'All Transactions'!E:E,E13)</f>
        <v/>
      </c>
      <c r="G13" s="6" t="n"/>
      <c r="H13" s="17" t="inlineStr">
        <is>
          <t>Econ Builder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Chota Bhai</t>
        </is>
      </c>
      <c r="C14" s="13">
        <f>SUMIF('Payment Tracker'!C:C,B14,'Payment Tracker'!G:G)</f>
        <v/>
      </c>
      <c r="D14" s="6" t="n"/>
      <c r="E14" s="12" t="inlineStr">
        <is>
          <t>Electrical</t>
        </is>
      </c>
      <c r="F14" s="14">
        <f>SUMIFS('All Transactions'!O:O,'All Transactions'!E:E,E14)</f>
        <v/>
      </c>
      <c r="G14" s="6" t="n"/>
      <c r="H14" s="12" t="inlineStr">
        <is>
          <t>Brick Company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n"/>
      <c r="C15" s="18" t="n"/>
      <c r="D15" s="6" t="n"/>
      <c r="E15" s="17" t="inlineStr">
        <is>
          <t>Labour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n"/>
      <c r="C16" s="13" t="n"/>
      <c r="D16" s="6" t="n"/>
      <c r="E16" s="12" t="inlineStr">
        <is>
          <t>Professional Fees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Land Development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Transport · Food · Misc</t>
        </is>
      </c>
      <c r="F18" s="14">
        <f>SUMIFS('All Transactions'!O:O,'All Transactions'!E:E,E18)</f>
        <v/>
      </c>
      <c r="G18" s="6" t="n"/>
      <c r="H18" s="12" t="inlineStr">
        <is>
          <t>Daily Labour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n"/>
      <c r="F19" s="19" t="n"/>
      <c r="G19" s="6" t="n"/>
      <c r="H19" s="17" t="inlineStr">
        <is>
          <t>Khutauna Chirai mill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Other vendors</t>
        </is>
      </c>
      <c r="I21" s="20">
        <f>'Vendor Summary'!C17-SUM(I12:I20)</f>
        <v/>
      </c>
      <c r="J21" s="20">
        <f>'Vendor Summary'!D17-SUM(J12:J20)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E18" t="inlineStr">
        <is>
          <t>Daily Labour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E19" t="inlineStr">
        <is>
          <t>Khutauna Chirai mill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E20" t="inlineStr">
        <is>
          <t>Local Purchase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E21" t="inlineStr">
        <is>
          <t>Mittal Electric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5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 / 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 / 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 / 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 · Food · Misc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59.78260869565217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59.91285403050109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Transport · Food · Misc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Transport · Food · Misc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Transport · Food · Misc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 · Food · Misc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Transport · Food · Misc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 · Food · Misc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 / 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 / 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 / 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 / 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 · Food · Misc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 / 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 · Food · Misc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Professional Fees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Professional Fees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Professional Fees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Professional Fees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Professional Fees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Professional Fees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Professional Fees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Professional Fees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Professional Fees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Professional Fees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Professional Fees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Professional Fees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Professional Fees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Professional Fees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Professional Fees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Professional Fees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Professional Fees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Professional Fees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Professional Fees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Professional Fees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Professional Fees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Professional Fees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Professional Fees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Professional Fees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Professional Fees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Professional Fees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Professional Fees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Professional Fees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Professional Fees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Professional Fees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Professional Fees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Professional Fees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Professional Fees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Professional Fees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Professional Fees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Professional Fees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Professional Fees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Professional Fees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Professional Fees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Professional Fees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Professional Fees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Professional Fees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Professional Fees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t="n">
        <v>638</v>
      </c>
      <c r="B630" s="128" t="n">
        <v>46301</v>
      </c>
      <c r="C630">
        <f>IF(B630="","",TEXT(B630,"MMM-YYYY"))</f>
        <v/>
      </c>
      <c r="D630" t="inlineStr">
        <is>
          <t>Plinth Phase</t>
        </is>
      </c>
      <c r="E630" t="inlineStr">
        <is>
          <t>Steel / Iron</t>
        </is>
      </c>
      <c r="F630" t="inlineStr">
        <is>
          <t>Tiscon 12mm</t>
        </is>
      </c>
      <c r="G630" t="inlineStr">
        <is>
          <t>Tiscon 12mm rod 2 pcs @ ₹902 (4% disc → ₹865.92)</t>
        </is>
      </c>
      <c r="H630" t="inlineStr">
        <is>
          <t>Pappu Hardware</t>
        </is>
      </c>
      <c r="I630" t="n">
        <v>2</v>
      </c>
      <c r="J630" t="inlineStr">
        <is>
          <t>pcs</t>
        </is>
      </c>
      <c r="K630" t="n">
        <v>865.92</v>
      </c>
      <c r="L630">
        <f>IF(OR(I630="",K630=""),"",I630*K630)</f>
        <v/>
      </c>
      <c r="N630">
        <f>M630*L630</f>
        <v/>
      </c>
      <c r="O630">
        <f>IF(L630="","",IF(M630="",L630,L630*(1-M630)))</f>
        <v/>
      </c>
    </row>
    <row r="631">
      <c r="A631" t="n">
        <v>639</v>
      </c>
      <c r="B631" s="128" t="n">
        <v>46301</v>
      </c>
      <c r="C631">
        <f>IF(B631="","",TEXT(B631,"MMM-YYYY"))</f>
        <v/>
      </c>
      <c r="D631" t="inlineStr">
        <is>
          <t>Plinth Phase</t>
        </is>
      </c>
      <c r="E631" t="inlineStr">
        <is>
          <t>Steel / Iron</t>
        </is>
      </c>
      <c r="F631" t="inlineStr">
        <is>
          <t>Tiscon 10mm</t>
        </is>
      </c>
      <c r="G631" t="inlineStr">
        <is>
          <t>Tiscon 10mm rod 96 pcs @ ₹642 (4% disc → ₹616.32)</t>
        </is>
      </c>
      <c r="H631" t="inlineStr">
        <is>
          <t>Pappu Hardware</t>
        </is>
      </c>
      <c r="I631" t="n">
        <v>96</v>
      </c>
      <c r="J631" t="inlineStr">
        <is>
          <t>pcs</t>
        </is>
      </c>
      <c r="K631" t="n">
        <v>616.3200000000001</v>
      </c>
      <c r="L631">
        <f>IF(OR(I631="",K631=""),"",I631*K631)</f>
        <v/>
      </c>
      <c r="N631">
        <f>M631*L631</f>
        <v/>
      </c>
      <c r="O631">
        <f>IF(L631="","",IF(M631="",L631,L631*(1-M631)))</f>
        <v/>
      </c>
    </row>
    <row r="632">
      <c r="A632" t="n">
        <v>640</v>
      </c>
      <c r="B632" s="128" t="n">
        <v>46301</v>
      </c>
      <c r="C632">
        <f>IF(B632="","",TEXT(B632,"MMM-YYYY"))</f>
        <v/>
      </c>
      <c r="D632" t="inlineStr">
        <is>
          <t>Plinth Phase</t>
        </is>
      </c>
      <c r="E632" t="inlineStr">
        <is>
          <t>Labour</t>
        </is>
      </c>
      <c r="F632" t="inlineStr">
        <is>
          <t>Site Labour</t>
        </is>
      </c>
      <c r="G632" t="inlineStr">
        <is>
          <t>Labour</t>
        </is>
      </c>
      <c r="H632" t="inlineStr">
        <is>
          <t>Pappu Hardware</t>
        </is>
      </c>
      <c r="I632" t="n">
        <v>1</v>
      </c>
      <c r="J632" t="inlineStr">
        <is>
          <t>Lumpsum</t>
        </is>
      </c>
      <c r="K632" t="n">
        <v>430</v>
      </c>
      <c r="L632">
        <f>IF(OR(I632="",K632=""),"",I632*K632)</f>
        <v/>
      </c>
      <c r="N632">
        <f>M632*L632</f>
        <v/>
      </c>
      <c r="O632">
        <f>IF(L632="","",IF(M632="",L632,L632*(1-M632)))</f>
        <v/>
      </c>
    </row>
    <row r="633">
      <c r="A633" t="n">
        <v>641</v>
      </c>
      <c r="B633" s="128" t="n">
        <v>46302</v>
      </c>
      <c r="C633">
        <f>IF(B633="","",TEXT(B633,"MMM-YYYY"))</f>
        <v/>
      </c>
      <c r="D633" t="inlineStr">
        <is>
          <t>Plinth Phase</t>
        </is>
      </c>
      <c r="E633" t="inlineStr">
        <is>
          <t>Building Materials</t>
        </is>
      </c>
      <c r="F633" t="inlineStr">
        <is>
          <t>Wood</t>
        </is>
      </c>
      <c r="G633" t="inlineStr">
        <is>
          <t>5 inch 7 feet wood × 6 pcs (gate frame, C unit)</t>
        </is>
      </c>
      <c r="H633" t="inlineStr">
        <is>
          <t>Khutauna Chirai mill</t>
        </is>
      </c>
      <c r="I633" t="n">
        <v>4.375</v>
      </c>
      <c r="J633" t="inlineStr">
        <is>
          <t>cft</t>
        </is>
      </c>
      <c r="K633" t="n">
        <v>3300</v>
      </c>
      <c r="L633">
        <f>IF(OR(I633="",K633=""),"",I633*K633)</f>
        <v/>
      </c>
      <c r="N633">
        <f>M633*L633</f>
        <v/>
      </c>
      <c r="O633">
        <f>IF(L633="","",IF(M633="",L633,L633*(1-M633)))</f>
        <v/>
      </c>
      <c r="R633" t="inlineStr">
        <is>
          <t>C</t>
        </is>
      </c>
    </row>
    <row r="634">
      <c r="A634" t="n">
        <v>642</v>
      </c>
      <c r="B634" s="128" t="n">
        <v>46302</v>
      </c>
      <c r="C634">
        <f>IF(B634="","",TEXT(B634,"MMM-YYYY"))</f>
        <v/>
      </c>
      <c r="D634" t="inlineStr">
        <is>
          <t>Plinth Phase</t>
        </is>
      </c>
      <c r="E634" t="inlineStr">
        <is>
          <t>Building Materials</t>
        </is>
      </c>
      <c r="F634" t="inlineStr">
        <is>
          <t>Wood</t>
        </is>
      </c>
      <c r="G634" t="inlineStr">
        <is>
          <t>4 inch 7 feet wood × 10 pcs (gate frame, C unit)</t>
        </is>
      </c>
      <c r="H634" t="inlineStr">
        <is>
          <t>Khutauna Chirai mill</t>
        </is>
      </c>
      <c r="I634" t="n">
        <v>5.833333333333333</v>
      </c>
      <c r="J634" t="inlineStr">
        <is>
          <t>cft</t>
        </is>
      </c>
      <c r="K634" t="n">
        <v>3300</v>
      </c>
      <c r="L634">
        <f>IF(OR(I634="",K634=""),"",I634*K634)</f>
        <v/>
      </c>
      <c r="N634">
        <f>M634*L634</f>
        <v/>
      </c>
      <c r="O634">
        <f>IF(L634="","",IF(M634="",L634,L634*(1-M634)))</f>
        <v/>
      </c>
      <c r="R634" t="inlineStr">
        <is>
          <t>C</t>
        </is>
      </c>
    </row>
    <row r="635">
      <c r="A635" t="n">
        <v>643</v>
      </c>
      <c r="B635" s="128" t="n">
        <v>46302</v>
      </c>
      <c r="C635">
        <f>IF(B635="","",TEXT(B635,"MMM-YYYY"))</f>
        <v/>
      </c>
      <c r="D635" t="inlineStr">
        <is>
          <t>Plinth Phase</t>
        </is>
      </c>
      <c r="E635" t="inlineStr">
        <is>
          <t>Building Materials</t>
        </is>
      </c>
      <c r="F635" t="inlineStr">
        <is>
          <t>Wood</t>
        </is>
      </c>
      <c r="G635" t="inlineStr">
        <is>
          <t>5 inch 3.5 feet wood × 3 pcs (gate frame, C unit)</t>
        </is>
      </c>
      <c r="H635" t="inlineStr">
        <is>
          <t>Khutauna Chirai mill</t>
        </is>
      </c>
      <c r="I635" t="n">
        <v>1.09375</v>
      </c>
      <c r="J635" t="inlineStr">
        <is>
          <t>cft</t>
        </is>
      </c>
      <c r="K635" t="n">
        <v>3300</v>
      </c>
      <c r="L635">
        <f>IF(OR(I635="",K635=""),"",I635*K635)</f>
        <v/>
      </c>
      <c r="N635">
        <f>M635*L635</f>
        <v/>
      </c>
      <c r="O635">
        <f>IF(L635="","",IF(M635="",L635,L635*(1-M635)))</f>
        <v/>
      </c>
      <c r="R635" t="inlineStr">
        <is>
          <t>C</t>
        </is>
      </c>
    </row>
    <row r="636">
      <c r="A636" t="n">
        <v>644</v>
      </c>
      <c r="B636" s="128" t="n">
        <v>46302</v>
      </c>
      <c r="C636">
        <f>IF(B636="","",TEXT(B636,"MMM-YYYY"))</f>
        <v/>
      </c>
      <c r="D636" t="inlineStr">
        <is>
          <t>Plinth Phase</t>
        </is>
      </c>
      <c r="E636" t="inlineStr">
        <is>
          <t>Building Materials</t>
        </is>
      </c>
      <c r="F636" t="inlineStr">
        <is>
          <t>Wood</t>
        </is>
      </c>
      <c r="G636" t="inlineStr">
        <is>
          <t>4 inch 3.5 feet wood × 5 pcs (gate frame, C unit)</t>
        </is>
      </c>
      <c r="H636" t="inlineStr">
        <is>
          <t>Khutauna Chirai mill</t>
        </is>
      </c>
      <c r="I636" t="n">
        <v>1.458333333333333</v>
      </c>
      <c r="J636" t="inlineStr">
        <is>
          <t>cft</t>
        </is>
      </c>
      <c r="K636" t="n">
        <v>3300</v>
      </c>
      <c r="L636">
        <f>IF(OR(I636="",K636=""),"",I636*K636)</f>
        <v/>
      </c>
      <c r="N636">
        <f>M636*L636</f>
        <v/>
      </c>
      <c r="O636">
        <f>IF(L636="","",IF(M636="",L636,L636*(1-M636)))</f>
        <v/>
      </c>
      <c r="R636" t="inlineStr">
        <is>
          <t>C</t>
        </is>
      </c>
    </row>
    <row r="637">
      <c r="A637" t="n">
        <v>645</v>
      </c>
      <c r="B637" s="128" t="n">
        <v>46302</v>
      </c>
      <c r="C637">
        <f>IF(B637="","",TEXT(B637,"MMM-YYYY"))</f>
        <v/>
      </c>
      <c r="D637" t="inlineStr">
        <is>
          <t>Plinth Phase</t>
        </is>
      </c>
      <c r="E637" t="inlineStr">
        <is>
          <t>Labour</t>
        </is>
      </c>
      <c r="F637" t="inlineStr">
        <is>
          <t>Site Labour</t>
        </is>
      </c>
      <c r="G637" t="inlineStr">
        <is>
          <t>Labour (gate frame wood, C unit)</t>
        </is>
      </c>
      <c r="H637" t="inlineStr">
        <is>
          <t>Khutauna Chirai mill</t>
        </is>
      </c>
      <c r="I637" t="n">
        <v>1</v>
      </c>
      <c r="J637" t="inlineStr">
        <is>
          <t>Lumpsum</t>
        </is>
      </c>
      <c r="K637" t="n">
        <v>400</v>
      </c>
      <c r="L637">
        <f>IF(OR(I637="",K637=""),"",I637*K637)</f>
        <v/>
      </c>
      <c r="N637">
        <f>M637*L637</f>
        <v/>
      </c>
      <c r="O637">
        <f>IF(L637="","",IF(M637="",L637,L637*(1-M637)))</f>
        <v/>
      </c>
      <c r="R637" t="inlineStr">
        <is>
          <t>C</t>
        </is>
      </c>
    </row>
    <row r="638">
      <c r="A638" t="n">
        <v>646</v>
      </c>
      <c r="B638" s="128" t="n">
        <v>46302</v>
      </c>
      <c r="C638">
        <f>IF(B638="","",TEXT(B638,"MMM-YYYY"))</f>
        <v/>
      </c>
      <c r="D638" t="inlineStr">
        <is>
          <t>Plinth Phase</t>
        </is>
      </c>
      <c r="E638" t="inlineStr">
        <is>
          <t>Building Materials</t>
        </is>
      </c>
      <c r="F638" t="inlineStr">
        <is>
          <t>Wood</t>
        </is>
      </c>
      <c r="G638" t="inlineStr">
        <is>
          <t>5 inch 7 feet wood × 4 pcs (gate frame, B unit)</t>
        </is>
      </c>
      <c r="H638" t="inlineStr">
        <is>
          <t>Khutauna Chirai mill</t>
        </is>
      </c>
      <c r="I638" t="n">
        <v>2.916666666666667</v>
      </c>
      <c r="J638" t="inlineStr">
        <is>
          <t>cft</t>
        </is>
      </c>
      <c r="K638" t="n">
        <v>3300</v>
      </c>
      <c r="L638">
        <f>IF(OR(I638="",K638=""),"",I638*K638)</f>
        <v/>
      </c>
      <c r="N638">
        <f>M638*L638</f>
        <v/>
      </c>
      <c r="O638">
        <f>IF(L638="","",IF(M638="",L638,L638*(1-M638)))</f>
        <v/>
      </c>
      <c r="R638" t="inlineStr">
        <is>
          <t>B</t>
        </is>
      </c>
    </row>
    <row r="639">
      <c r="A639" t="n">
        <v>647</v>
      </c>
      <c r="B639" s="128" t="n">
        <v>46302</v>
      </c>
      <c r="C639">
        <f>IF(B639="","",TEXT(B639,"MMM-YYYY"))</f>
        <v/>
      </c>
      <c r="D639" t="inlineStr">
        <is>
          <t>Plinth Phase</t>
        </is>
      </c>
      <c r="E639" t="inlineStr">
        <is>
          <t>Building Materials</t>
        </is>
      </c>
      <c r="F639" t="inlineStr">
        <is>
          <t>Wood</t>
        </is>
      </c>
      <c r="G639" t="inlineStr">
        <is>
          <t>4 inch 7 feet wood × 6 pcs (gate frame, B unit)</t>
        </is>
      </c>
      <c r="H639" t="inlineStr">
        <is>
          <t>Khutauna Chirai mill</t>
        </is>
      </c>
      <c r="I639" t="n">
        <v>3.5</v>
      </c>
      <c r="J639" t="inlineStr">
        <is>
          <t>cft</t>
        </is>
      </c>
      <c r="K639" t="n">
        <v>3300</v>
      </c>
      <c r="L639">
        <f>IF(OR(I639="",K639=""),"",I639*K639)</f>
        <v/>
      </c>
      <c r="N639">
        <f>M639*L639</f>
        <v/>
      </c>
      <c r="O639">
        <f>IF(L639="","",IF(M639="",L639,L639*(1-M639)))</f>
        <v/>
      </c>
      <c r="R639" t="inlineStr">
        <is>
          <t>B</t>
        </is>
      </c>
    </row>
    <row r="640">
      <c r="A640" t="n">
        <v>648</v>
      </c>
      <c r="B640" s="128" t="n">
        <v>46302</v>
      </c>
      <c r="C640">
        <f>IF(B640="","",TEXT(B640,"MMM-YYYY"))</f>
        <v/>
      </c>
      <c r="D640" t="inlineStr">
        <is>
          <t>Plinth Phase</t>
        </is>
      </c>
      <c r="E640" t="inlineStr">
        <is>
          <t>Building Materials</t>
        </is>
      </c>
      <c r="F640" t="inlineStr">
        <is>
          <t>Wood</t>
        </is>
      </c>
      <c r="G640" t="inlineStr">
        <is>
          <t>5 inch 3.5 feet wood × 2 pcs (gate frame, B unit)</t>
        </is>
      </c>
      <c r="H640" t="inlineStr">
        <is>
          <t>Khutauna Chirai mill</t>
        </is>
      </c>
      <c r="I640" t="n">
        <v>0.7291666666666666</v>
      </c>
      <c r="J640" t="inlineStr">
        <is>
          <t>cft</t>
        </is>
      </c>
      <c r="K640" t="n">
        <v>3300</v>
      </c>
      <c r="L640">
        <f>IF(OR(I640="",K640=""),"",I640*K640)</f>
        <v/>
      </c>
      <c r="N640">
        <f>M640*L640</f>
        <v/>
      </c>
      <c r="O640">
        <f>IF(L640="","",IF(M640="",L640,L640*(1-M640)))</f>
        <v/>
      </c>
      <c r="R640" t="inlineStr">
        <is>
          <t>B</t>
        </is>
      </c>
    </row>
    <row r="641">
      <c r="A641" t="n">
        <v>649</v>
      </c>
      <c r="B641" s="128" t="n">
        <v>46302</v>
      </c>
      <c r="C641">
        <f>IF(B641="","",TEXT(B641,"MMM-YYYY"))</f>
        <v/>
      </c>
      <c r="D641" t="inlineStr">
        <is>
          <t>Plinth Phase</t>
        </is>
      </c>
      <c r="E641" t="inlineStr">
        <is>
          <t>Building Materials</t>
        </is>
      </c>
      <c r="F641" t="inlineStr">
        <is>
          <t>Wood</t>
        </is>
      </c>
      <c r="G641" t="inlineStr">
        <is>
          <t>4 inch 3.5 feet wood × 3 pcs (gate frame, B unit)</t>
        </is>
      </c>
      <c r="H641" t="inlineStr">
        <is>
          <t>Khutauna Chirai mill</t>
        </is>
      </c>
      <c r="I641" t="n">
        <v>0.875</v>
      </c>
      <c r="J641" t="inlineStr">
        <is>
          <t>cft</t>
        </is>
      </c>
      <c r="K641" t="n">
        <v>3300</v>
      </c>
      <c r="L641">
        <f>IF(OR(I641="",K641=""),"",I641*K641)</f>
        <v/>
      </c>
      <c r="N641">
        <f>M641*L641</f>
        <v/>
      </c>
      <c r="O641">
        <f>IF(L641="","",IF(M641="",L641,L641*(1-M641)))</f>
        <v/>
      </c>
      <c r="R641" t="inlineStr">
        <is>
          <t>B</t>
        </is>
      </c>
    </row>
    <row r="642">
      <c r="A642" t="n">
        <v>650</v>
      </c>
      <c r="B642" s="128" t="n">
        <v>46302</v>
      </c>
      <c r="C642">
        <f>IF(B642="","",TEXT(B642,"MMM-YYYY"))</f>
        <v/>
      </c>
      <c r="D642" t="inlineStr">
        <is>
          <t>Plinth Phase</t>
        </is>
      </c>
      <c r="E642" t="inlineStr">
        <is>
          <t>Labour</t>
        </is>
      </c>
      <c r="F642" t="inlineStr">
        <is>
          <t>Site Labour</t>
        </is>
      </c>
      <c r="G642" t="inlineStr">
        <is>
          <t>Labour (gate frame wood, B unit)</t>
        </is>
      </c>
      <c r="H642" t="inlineStr">
        <is>
          <t>Khutauna Chirai mill</t>
        </is>
      </c>
      <c r="I642" t="n">
        <v>1</v>
      </c>
      <c r="J642" t="inlineStr">
        <is>
          <t>Lumpsum</t>
        </is>
      </c>
      <c r="K642" t="n">
        <v>400</v>
      </c>
      <c r="L642">
        <f>IF(OR(I642="",K642=""),"",I642*K642)</f>
        <v/>
      </c>
      <c r="N642">
        <f>M642*L642</f>
        <v/>
      </c>
      <c r="O642">
        <f>IF(L642="","",IF(M642="",L642,L642*(1-M642)))</f>
        <v/>
      </c>
      <c r="R642" t="inlineStr">
        <is>
          <t>B</t>
        </is>
      </c>
    </row>
    <row r="643">
      <c r="A643" t="n">
        <v>651</v>
      </c>
      <c r="B643" s="128" t="n">
        <v>46302</v>
      </c>
      <c r="C643">
        <f>IF(B643="","",TEXT(B643,"MMM-YYYY"))</f>
        <v/>
      </c>
      <c r="D643" t="inlineStr">
        <is>
          <t>Plinth Phase</t>
        </is>
      </c>
      <c r="E643" t="inlineStr">
        <is>
          <t>Professional Fees</t>
        </is>
      </c>
      <c r="F643" t="inlineStr">
        <is>
          <t>Engineer Supervision</t>
        </is>
      </c>
      <c r="G643" t="inlineStr">
        <is>
          <t>Construction work done — general site supervision &amp; labour (Papa, 7-Oct)</t>
        </is>
      </c>
      <c r="H643" t="inlineStr">
        <is>
          <t>Econ Builder</t>
        </is>
      </c>
      <c r="I643" t="n">
        <v>1</v>
      </c>
      <c r="J643" t="inlineStr">
        <is>
          <t>Lumpsum</t>
        </is>
      </c>
      <c r="K643" t="n">
        <v>25000</v>
      </c>
      <c r="L643">
        <f>IF(OR(I643="",K643=""),"",I643*K643)</f>
        <v/>
      </c>
      <c r="N643">
        <f>M643*L643</f>
        <v/>
      </c>
      <c r="O643">
        <f>IF(L643="","",IF(M643="",L643,L643*(1-M643)))</f>
        <v/>
      </c>
    </row>
    <row r="644">
      <c r="A644" t="n">
        <v>652</v>
      </c>
      <c r="B644" s="128" t="n">
        <v>46303</v>
      </c>
      <c r="C644">
        <f>IF(B644="","",TEXT(B644,"MMM-YYYY"))</f>
        <v/>
      </c>
      <c r="D644" t="inlineStr">
        <is>
          <t>Plinth Phase</t>
        </is>
      </c>
      <c r="E644" t="inlineStr">
        <is>
          <t>Professional Fees</t>
        </is>
      </c>
      <c r="F644" t="inlineStr">
        <is>
          <t>Engineer Supervision</t>
        </is>
      </c>
      <c r="G644" t="inlineStr">
        <is>
          <t>Construction work done — general site supervision &amp; labour (Papa, 8-Oct)</t>
        </is>
      </c>
      <c r="H644" t="inlineStr">
        <is>
          <t>Econ Builder</t>
        </is>
      </c>
      <c r="I644" t="n">
        <v>1</v>
      </c>
      <c r="J644" t="inlineStr">
        <is>
          <t>Lumpsum</t>
        </is>
      </c>
      <c r="K644" t="n">
        <v>20000</v>
      </c>
      <c r="L644">
        <f>IF(OR(I644="",K644=""),"",I644*K644)</f>
        <v/>
      </c>
      <c r="N644">
        <f>M644*L644</f>
        <v/>
      </c>
      <c r="O644">
        <f>IF(L644="","",IF(M644="",L644,L644*(1-M644)))</f>
        <v/>
      </c>
    </row>
    <row r="645">
      <c r="A645" t="n">
        <v>653</v>
      </c>
      <c r="B645" s="128" t="n">
        <v>46303</v>
      </c>
      <c r="C645">
        <f>IF(B645="","",TEXT(B645,"MMM-YYYY"))</f>
        <v/>
      </c>
      <c r="D645" t="inlineStr">
        <is>
          <t>Plinth Phase</t>
        </is>
      </c>
      <c r="E645" t="inlineStr">
        <is>
          <t>Electrical</t>
        </is>
      </c>
      <c r="F645" t="inlineStr">
        <is>
          <t>Electrical Items</t>
        </is>
      </c>
      <c r="G645" t="inlineStr">
        <is>
          <t>Electrical items — Mittal Electric, Darbhanga</t>
        </is>
      </c>
      <c r="H645" t="inlineStr">
        <is>
          <t>Mittal Electric</t>
        </is>
      </c>
      <c r="I645" t="n">
        <v>1</v>
      </c>
      <c r="J645" t="inlineStr">
        <is>
          <t>Lumpsum</t>
        </is>
      </c>
      <c r="K645" t="n">
        <v>21065</v>
      </c>
      <c r="L645">
        <f>IF(OR(I645="",K645=""),"",I645*K645)</f>
        <v/>
      </c>
      <c r="N645">
        <f>M645*L645</f>
        <v/>
      </c>
      <c r="O645">
        <f>IF(L645="","",IF(M645="",L645,L645*(1-M645)))</f>
        <v/>
      </c>
    </row>
    <row r="646">
      <c r="A646" t="n">
        <v>654</v>
      </c>
      <c r="B646" s="128" t="n">
        <v>46304</v>
      </c>
      <c r="C646">
        <f>IF(B646="","",TEXT(B646,"MMM-YYYY"))</f>
        <v/>
      </c>
      <c r="D646" t="inlineStr">
        <is>
          <t>Plinth Phase</t>
        </is>
      </c>
      <c r="E646" t="inlineStr">
        <is>
          <t>Building Materials</t>
        </is>
      </c>
      <c r="F646" t="inlineStr">
        <is>
          <t>Sand</t>
        </is>
      </c>
      <c r="G646" t="inlineStr">
        <is>
          <t>Sand delivery — 40 MT @ ₹1,400/MT</t>
        </is>
      </c>
      <c r="H646" t="inlineStr">
        <is>
          <t>Sand Truck Wala</t>
        </is>
      </c>
      <c r="I646" t="n">
        <v>40</v>
      </c>
      <c r="J646" t="inlineStr">
        <is>
          <t>MT</t>
        </is>
      </c>
      <c r="K646" t="n">
        <v>1400</v>
      </c>
      <c r="L646">
        <f>IF(OR(I646="",K646=""),"",I646*K646)</f>
        <v/>
      </c>
      <c r="N646">
        <f>M646*L646</f>
        <v/>
      </c>
      <c r="O646">
        <f>IF(L646="","",IF(M646="",L646,L646*(1-M646)))</f>
        <v/>
      </c>
    </row>
    <row r="647">
      <c r="A647" t="n">
        <v>655</v>
      </c>
      <c r="B647" s="128" t="n">
        <v>46304</v>
      </c>
      <c r="C647">
        <f>IF(B647="","",TEXT(B647,"MMM-YYYY"))</f>
        <v/>
      </c>
      <c r="D647" t="inlineStr">
        <is>
          <t>Plinth Phase</t>
        </is>
      </c>
      <c r="E647" t="inlineStr">
        <is>
          <t>Transport · Food · Misc</t>
        </is>
      </c>
      <c r="F647" t="inlineStr">
        <is>
          <t>Fuel</t>
        </is>
      </c>
      <c r="G647" t="inlineStr">
        <is>
          <t>Diesel 10 litres @ ₹100/L</t>
        </is>
      </c>
      <c r="H647" t="inlineStr">
        <is>
          <t>Local Purchase</t>
        </is>
      </c>
      <c r="I647" t="n">
        <v>10</v>
      </c>
      <c r="J647" t="inlineStr">
        <is>
          <t>Litres</t>
        </is>
      </c>
      <c r="K647" t="n">
        <v>100</v>
      </c>
      <c r="L647">
        <f>IF(OR(I647="",K647=""),"",I647*K647)</f>
        <v/>
      </c>
      <c r="N647">
        <f>M647*L647</f>
        <v/>
      </c>
      <c r="O647">
        <f>IF(L647="","",IF(M647="",L647,L647*(1-M647)))</f>
        <v/>
      </c>
    </row>
    <row r="648">
      <c r="A648" t="n">
        <v>656</v>
      </c>
      <c r="B648" s="128" t="n">
        <v>46308</v>
      </c>
      <c r="C648">
        <f>IF(B648="","",TEXT(B648,"MMM-YYYY"))</f>
        <v/>
      </c>
      <c r="D648" t="inlineStr">
        <is>
          <t>Plinth Phase</t>
        </is>
      </c>
      <c r="E648" t="inlineStr">
        <is>
          <t>Steel / Iron</t>
        </is>
      </c>
      <c r="F648" t="inlineStr">
        <is>
          <t>Tiscon 12mm</t>
        </is>
      </c>
      <c r="G648" t="inlineStr">
        <is>
          <t>Tiscon 12mm rod 6 pcs</t>
        </is>
      </c>
      <c r="H648" t="inlineStr">
        <is>
          <t>Pappu Hardware</t>
        </is>
      </c>
      <c r="I648" t="n">
        <v>6</v>
      </c>
      <c r="J648" t="inlineStr">
        <is>
          <t>pcs</t>
        </is>
      </c>
      <c r="K648" t="n">
        <v>902</v>
      </c>
      <c r="L648">
        <f>IF(OR(I648="",K648=""),"",I648*K648)</f>
        <v/>
      </c>
      <c r="N648">
        <f>M648*L648</f>
        <v/>
      </c>
      <c r="O648">
        <f>IF(L648="","",IF(M648="",L648,L648*(1-M648)))</f>
        <v/>
      </c>
    </row>
    <row r="649">
      <c r="A649" t="n">
        <v>657</v>
      </c>
      <c r="B649" s="128" t="n">
        <v>46308</v>
      </c>
      <c r="C649">
        <f>IF(B649="","",TEXT(B649,"MMM-YYYY"))</f>
        <v/>
      </c>
      <c r="D649" t="inlineStr">
        <is>
          <t>Plinth Phase</t>
        </is>
      </c>
      <c r="E649" t="inlineStr">
        <is>
          <t>Labour</t>
        </is>
      </c>
      <c r="F649" t="inlineStr">
        <is>
          <t>Site Labour</t>
        </is>
      </c>
      <c r="G649" t="inlineStr">
        <is>
          <t>Labour</t>
        </is>
      </c>
      <c r="H649" t="inlineStr">
        <is>
          <t>Pappu Hardware</t>
        </is>
      </c>
      <c r="I649" t="n">
        <v>1</v>
      </c>
      <c r="J649" t="inlineStr">
        <is>
          <t>Lumpsum</t>
        </is>
      </c>
      <c r="K649" t="n">
        <v>350</v>
      </c>
      <c r="L649">
        <f>IF(OR(I649="",K649=""),"",I649*K649)</f>
        <v/>
      </c>
      <c r="N649">
        <f>M649*L649</f>
        <v/>
      </c>
      <c r="O649">
        <f>IF(L649="","",IF(M649="",L649,L649*(1-M649)))</f>
        <v/>
      </c>
    </row>
    <row r="650">
      <c r="A650" t="n">
        <v>658</v>
      </c>
      <c r="B650" s="128" t="n">
        <v>46308</v>
      </c>
      <c r="C650">
        <f>IF(B650="","",TEXT(B650,"MMM-YYYY"))</f>
        <v/>
      </c>
      <c r="D650" t="inlineStr">
        <is>
          <t>Plinth Phase</t>
        </is>
      </c>
      <c r="E650" t="inlineStr">
        <is>
          <t>Building Materials</t>
        </is>
      </c>
      <c r="F650" t="inlineStr">
        <is>
          <t>Binding Wire</t>
        </is>
      </c>
      <c r="G650" t="inlineStr">
        <is>
          <t>Binding wire 60 kg @ ₹110</t>
        </is>
      </c>
      <c r="H650" t="inlineStr">
        <is>
          <t>Pappu Hardware</t>
        </is>
      </c>
      <c r="I650" t="n">
        <v>60</v>
      </c>
      <c r="J650" t="inlineStr">
        <is>
          <t>Kg</t>
        </is>
      </c>
      <c r="K650" t="n">
        <v>110</v>
      </c>
      <c r="L650">
        <f>IF(OR(I650="",K650=""),"",I650*K650)</f>
        <v/>
      </c>
      <c r="N650">
        <f>M650*L650</f>
        <v/>
      </c>
      <c r="O650">
        <f>IF(L650="","",IF(M650="",L650,L650*(1-M650)))</f>
        <v/>
      </c>
    </row>
    <row r="651">
      <c r="A651" t="n">
        <v>659</v>
      </c>
      <c r="B651" s="128" t="n">
        <v>46308</v>
      </c>
      <c r="C651">
        <f>IF(B651="","",TEXT(B651,"MMM-YYYY"))</f>
        <v/>
      </c>
      <c r="D651" t="inlineStr">
        <is>
          <t>Plinth Phase</t>
        </is>
      </c>
      <c r="E651" t="inlineStr">
        <is>
          <t>Steel / Iron</t>
        </is>
      </c>
      <c r="F651" t="inlineStr">
        <is>
          <t>Tiscon 10mm</t>
        </is>
      </c>
      <c r="G651" t="inlineStr">
        <is>
          <t>Tiscon 10mm rod 32 pcs</t>
        </is>
      </c>
      <c r="H651" t="inlineStr">
        <is>
          <t>Pappu Hardware</t>
        </is>
      </c>
      <c r="I651" t="n">
        <v>32</v>
      </c>
      <c r="J651" t="inlineStr">
        <is>
          <t>pcs</t>
        </is>
      </c>
      <c r="K651" t="n">
        <v>620.5</v>
      </c>
      <c r="L651">
        <f>IF(OR(I651="",K651=""),"",I651*K651)</f>
        <v/>
      </c>
      <c r="N651">
        <f>M651*L651</f>
        <v/>
      </c>
      <c r="O651">
        <f>IF(L651="","",IF(M651="",L651,L651*(1-M651)))</f>
        <v/>
      </c>
    </row>
    <row r="652">
      <c r="A652" t="n">
        <v>660</v>
      </c>
      <c r="B652" s="128" t="n">
        <v>46308</v>
      </c>
      <c r="C652">
        <f>IF(B652="","",TEXT(B652,"MMM-YYYY"))</f>
        <v/>
      </c>
      <c r="D652" t="inlineStr">
        <is>
          <t>Plinth Phase</t>
        </is>
      </c>
      <c r="E652" t="inlineStr">
        <is>
          <t>Steel / Iron</t>
        </is>
      </c>
      <c r="F652" t="inlineStr">
        <is>
          <t>Tiscon 8mm</t>
        </is>
      </c>
      <c r="G652" t="inlineStr">
        <is>
          <t>Tiscon 8mm rod 84 pcs</t>
        </is>
      </c>
      <c r="H652" t="inlineStr">
        <is>
          <t>Pappu Hardware</t>
        </is>
      </c>
      <c r="I652" t="n">
        <v>84</v>
      </c>
      <c r="J652" t="inlineStr">
        <is>
          <t>pcs</t>
        </is>
      </c>
      <c r="K652" t="n">
        <v>405.297619047619</v>
      </c>
      <c r="L652">
        <f>IF(OR(I652="",K652=""),"",I652*K652)</f>
        <v/>
      </c>
      <c r="N652">
        <f>M652*L652</f>
        <v/>
      </c>
      <c r="O652">
        <f>IF(L652="","",IF(M652="",L652,L652*(1-M652)))</f>
        <v/>
      </c>
    </row>
    <row r="653">
      <c r="A653" t="n">
        <v>661</v>
      </c>
      <c r="B653" s="128" t="n">
        <v>46308</v>
      </c>
      <c r="C653">
        <f>IF(B653="","",TEXT(B653,"MMM-YYYY"))</f>
        <v/>
      </c>
      <c r="D653" t="inlineStr">
        <is>
          <t>Plinth Phase</t>
        </is>
      </c>
      <c r="E653" t="inlineStr">
        <is>
          <t>Steel / Iron</t>
        </is>
      </c>
      <c r="F653" t="inlineStr">
        <is>
          <t>Tiscon 8mm</t>
        </is>
      </c>
      <c r="G653" t="inlineStr">
        <is>
          <t>Tiscon 8mm rod 24 pcs</t>
        </is>
      </c>
      <c r="H653" t="inlineStr">
        <is>
          <t>Pappu Hardware</t>
        </is>
      </c>
      <c r="I653" t="n">
        <v>24</v>
      </c>
      <c r="J653" t="inlineStr">
        <is>
          <t>pcs</t>
        </is>
      </c>
      <c r="K653" t="n">
        <v>404.1666666666667</v>
      </c>
      <c r="L653">
        <f>IF(OR(I653="",K653=""),"",I653*K653)</f>
        <v/>
      </c>
      <c r="N653">
        <f>M653*L653</f>
        <v/>
      </c>
      <c r="O653">
        <f>IF(L653="","",IF(M653="",L653,L653*(1-M653)))</f>
        <v/>
      </c>
    </row>
    <row r="654">
      <c r="A654" t="n">
        <v>662</v>
      </c>
      <c r="B654" s="128" t="n">
        <v>46308</v>
      </c>
      <c r="C654">
        <f>IF(B654="","",TEXT(B654,"MMM-YYYY"))</f>
        <v/>
      </c>
      <c r="D654" t="inlineStr">
        <is>
          <t>Plinth Phase</t>
        </is>
      </c>
      <c r="E654" t="inlineStr">
        <is>
          <t>Building Materials</t>
        </is>
      </c>
      <c r="F654" t="inlineStr">
        <is>
          <t>Nails</t>
        </is>
      </c>
      <c r="G654" t="inlineStr">
        <is>
          <t>Nails</t>
        </is>
      </c>
      <c r="H654" t="inlineStr">
        <is>
          <t>Pappu Hardware</t>
        </is>
      </c>
      <c r="I654" t="n">
        <v>1</v>
      </c>
      <c r="J654" t="inlineStr">
        <is>
          <t>Lumpsum</t>
        </is>
      </c>
      <c r="K654" t="n">
        <v>150</v>
      </c>
      <c r="L654">
        <f>IF(OR(I654="",K654=""),"",I654*K654)</f>
        <v/>
      </c>
      <c r="N654">
        <f>M654*L654</f>
        <v/>
      </c>
      <c r="O654">
        <f>IF(L654="","",IF(M654="",L654,L654*(1-M654)))</f>
        <v/>
      </c>
    </row>
    <row r="655">
      <c r="A655" t="n">
        <v>663</v>
      </c>
      <c r="B655" s="128" t="n">
        <v>46308</v>
      </c>
      <c r="C655">
        <f>IF(B655="","",TEXT(B655,"MMM-YYYY"))</f>
        <v/>
      </c>
      <c r="D655" t="inlineStr">
        <is>
          <t>Plinth Phase</t>
        </is>
      </c>
      <c r="E655" t="inlineStr">
        <is>
          <t>Steel / Iron</t>
        </is>
      </c>
      <c r="F655" t="inlineStr">
        <is>
          <t>Tiscon 10mm</t>
        </is>
      </c>
      <c r="G655" t="inlineStr">
        <is>
          <t>Tiscon 10mm rod 3 pcs</t>
        </is>
      </c>
      <c r="H655" t="inlineStr">
        <is>
          <t>Pappu Hardware</t>
        </is>
      </c>
      <c r="I655" t="n">
        <v>3</v>
      </c>
      <c r="J655" t="inlineStr">
        <is>
          <t>pcs</t>
        </is>
      </c>
      <c r="K655" t="n">
        <v>610</v>
      </c>
      <c r="L655">
        <f>IF(OR(I655="",K655=""),"",I655*K655)</f>
        <v/>
      </c>
      <c r="N655">
        <f>M655*L655</f>
        <v/>
      </c>
      <c r="O655">
        <f>IF(L655="","",IF(M655="",L655,L655*(1-M655)))</f>
        <v/>
      </c>
    </row>
    <row r="656">
      <c r="A656" t="n">
        <v>664</v>
      </c>
      <c r="B656" s="128" t="n">
        <v>46308</v>
      </c>
      <c r="C656">
        <f>IF(B656="","",TEXT(B656,"MMM-YYYY"))</f>
        <v/>
      </c>
      <c r="D656" t="inlineStr">
        <is>
          <t>Plinth Phase</t>
        </is>
      </c>
      <c r="E656" t="inlineStr">
        <is>
          <t>Building Materials</t>
        </is>
      </c>
      <c r="F656" t="inlineStr">
        <is>
          <t>Concrete/Gitti</t>
        </is>
      </c>
      <c r="G656" t="inlineStr">
        <is>
          <t>Gitti 4 trailers @ ₹9,500</t>
        </is>
      </c>
      <c r="H656" t="inlineStr">
        <is>
          <t>Pappu Hardware</t>
        </is>
      </c>
      <c r="I656" t="n">
        <v>4</v>
      </c>
      <c r="J656" t="inlineStr">
        <is>
          <t>Trailer</t>
        </is>
      </c>
      <c r="K656" t="n">
        <v>9500</v>
      </c>
      <c r="L656">
        <f>IF(OR(I656="",K656=""),"",I656*K656)</f>
        <v/>
      </c>
      <c r="N656">
        <f>M656*L656</f>
        <v/>
      </c>
      <c r="O656">
        <f>IF(L656="","",IF(M656="",L656,L656*(1-M656)))</f>
        <v/>
      </c>
    </row>
    <row r="657">
      <c r="A657" t="n">
        <v>665</v>
      </c>
      <c r="B657" s="128" t="n">
        <v>46308</v>
      </c>
      <c r="C657">
        <f>IF(B657="","",TEXT(B657,"MMM-YYYY"))</f>
        <v/>
      </c>
      <c r="D657" t="inlineStr">
        <is>
          <t>Plinth Phase</t>
        </is>
      </c>
      <c r="E657" t="inlineStr">
        <is>
          <t>Building Materials</t>
        </is>
      </c>
      <c r="F657" t="inlineStr">
        <is>
          <t>Cement</t>
        </is>
      </c>
      <c r="G657" t="inlineStr">
        <is>
          <t>Concreto Uno cement 65 bags @ ₹380</t>
        </is>
      </c>
      <c r="H657" t="inlineStr">
        <is>
          <t>Pappu Hardware</t>
        </is>
      </c>
      <c r="I657" t="n">
        <v>65</v>
      </c>
      <c r="J657" t="inlineStr">
        <is>
          <t>Bag</t>
        </is>
      </c>
      <c r="K657" t="n">
        <v>380</v>
      </c>
      <c r="L657">
        <f>IF(OR(I657="",K657=""),"",I657*K657)</f>
        <v/>
      </c>
      <c r="N657">
        <f>M657*L657</f>
        <v/>
      </c>
      <c r="O657">
        <f>IF(L657="","",IF(M657="",L657,L657*(1-M657)))</f>
        <v/>
      </c>
    </row>
    <row r="658">
      <c r="A658" t="n">
        <v>666</v>
      </c>
      <c r="B658" s="128" t="n">
        <v>46308</v>
      </c>
      <c r="C658">
        <f>IF(B658="","",TEXT(B658,"MMM-YYYY"))</f>
        <v/>
      </c>
      <c r="D658" t="inlineStr">
        <is>
          <t>Plinth Phase</t>
        </is>
      </c>
      <c r="E658" t="inlineStr">
        <is>
          <t>Labour</t>
        </is>
      </c>
      <c r="F658" t="inlineStr">
        <is>
          <t>Site Labour</t>
        </is>
      </c>
      <c r="G658" t="inlineStr">
        <is>
          <t>Labour</t>
        </is>
      </c>
      <c r="H658" t="inlineStr">
        <is>
          <t>Pappu Hardware</t>
        </is>
      </c>
      <c r="I658" t="n">
        <v>1</v>
      </c>
      <c r="J658" t="inlineStr">
        <is>
          <t>Lumpsum</t>
        </is>
      </c>
      <c r="K658" t="n">
        <v>2200</v>
      </c>
      <c r="L658">
        <f>IF(OR(I658="",K658=""),"",I658*K658)</f>
        <v/>
      </c>
      <c r="N658">
        <f>M658*L658</f>
        <v/>
      </c>
      <c r="O658">
        <f>IF(L658="","",IF(M658="",L658,L658*(1-M658)))</f>
        <v/>
      </c>
    </row>
    <row r="659">
      <c r="A659" s="60" t="inlineStr">
        <is>
          <t>TOTALS</t>
        </is>
      </c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1">
        <f>SUM(L5:L658)</f>
        <v/>
      </c>
      <c r="M659" s="60" t="n"/>
      <c r="N659" s="60" t="n"/>
      <c r="O659" s="61">
        <f>SUM(O5:O528)</f>
        <v/>
      </c>
      <c r="P659" s="60" t="n"/>
      <c r="Q65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  (RETIRED — not maintained since May; use All Transactions)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IF(G6="","",IF(L5="",G6,L5+G6))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IF(G7="","",IF(L6="",G7,L6+G7))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IF(G8="","",IF(L7="",G8,L7+G8))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IF(G9="","",IF(L8="",G9,L8+G9))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IF(G10="","",IF(L9="",G10,L9+G10))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IF(G11="","",IF(L10="",G11,L10+G11))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IF(G12="","",IF(L11="",G12,L11+G12))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IF(G13="","",IF(L12="",G13,L12+G13))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IF(G21="","",IF(L20="",G21,L20+G21))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IF(G22="","",IF(L21="",G22,L21+G22))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IF(G23="","",IF(L22="",G23,L22+G23))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IF(G24="","",IF(L23="",G24,L23+G24))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IF(G25="","",IF(L24="",G25,L24+G25))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IF(G26="","",IF(L25="",G26,L25+G26))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IF(G27="","",IF(L26="",G27,L26+G27))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IF(G28="","",IF(L27="",G28,L27+G28))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IF(G29="","",IF(L28="",G29,L28+G29))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IF(G30="","",IF(L29="",G30,L29+G30))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IF(G31="","",IF(L30="",G31,L30+G31))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IF(G32="","",IF(L31="",G32,L31+G32))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IF(G33="","",IF(L32="",G33,L32+G33))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IF(G34="","",IF(L33="",G34,L33+G34))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IF(G35="","",IF(L34="",G35,L34+G35))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IF(G36="","",IF(L35="",G36,L35+G36))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IF(G37="","",IF(L36="",G37,L36+G37))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>
        <f>IF(G38="","",IF(L37="",G38,L37+G38))</f>
        <v/>
      </c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>
        <f>IF(G39="","",IF(L38="",G39,L38+G39))</f>
        <v/>
      </c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>
        <f>IF(G40="","",IF(L39="",G40,L39+G40))</f>
        <v/>
      </c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>
        <f>IF(G41="","",IF(L40="",G41,L40+G41))</f>
        <v/>
      </c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>
        <f>IF(G42="","",IF(L41="",G42,L41+G42))</f>
        <v/>
      </c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>
        <f>IF(G43="","",IF(L42="",G43,L42+G43))</f>
        <v/>
      </c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>
        <f>IF(G44="","",IF(L43="",G44,L43+G44))</f>
        <v/>
      </c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>
        <f>IF(G45="","",IF(L44="",G45,L44+G45))</f>
        <v/>
      </c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>
        <f>IF(G46="","",IF(L45="",G46,L45+G46))</f>
        <v/>
      </c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>
        <f>IF(G47="","",IF(L46="",G47,L46+G47))</f>
        <v/>
      </c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>
        <f>IF(G48="","",IF(L47="",G48,L47+G48))</f>
        <v/>
      </c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>
        <f>IF(G49="","",IF(L48="",G49,L48+G49))</f>
        <v/>
      </c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>
        <f>IF(G50="","",IF(L49="",G50,L49+G50))</f>
        <v/>
      </c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>
        <f>IF(G51="","",IF(L50="",G51,L50+G51))</f>
        <v/>
      </c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>
        <f>IF(G52="","",IF(L51="",G52,L51+G52))</f>
        <v/>
      </c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>
        <f>IF(G53="","",IF(L52="",G53,L52+G53))</f>
        <v/>
      </c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>
        <f>IF(G54="","",IF(L53="",G54,L53+G54))</f>
        <v/>
      </c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>
        <f>IF(G55="","",IF(L54="",G55,L54+G55))</f>
        <v/>
      </c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>
        <f>IF(G56="","",IF(L55="",G56,L55+G56))</f>
        <v/>
      </c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>
        <f>IF(G57="","",IF(L56="",G57,L56+G57))</f>
        <v/>
      </c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>
        <f>IF(G58="","",IF(L57="",G58,L57+G58))</f>
        <v/>
      </c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>
        <f>IF(G59="","",IF(L58="",G59,L58+G59))</f>
        <v/>
      </c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>
        <f>IF(G60="","",IF(L59="",G60,L59+G60))</f>
        <v/>
      </c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>
        <f>IF(G61="","",IF(L60="",G61,L60+G61))</f>
        <v/>
      </c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>
        <f>IF(G62="","",IF(L61="",G62,L61+G62))</f>
        <v/>
      </c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>
        <f>IF(G63="","",IF(L62="",G63,L62+G63))</f>
        <v/>
      </c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>
        <f>IF(G64="","",IF(L63="",G64,L63+G64))</f>
        <v/>
      </c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>
        <f>IF(G65="","",IF(L64="",G65,L64+G65))</f>
        <v/>
      </c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>
        <f>IF(G66="","",IF(L65="",G66,L65+G66))</f>
        <v/>
      </c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>
        <f>IF(G67="","",IF(L66="",G67,L66+G67))</f>
        <v/>
      </c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>
        <f>IF(G68="","",IF(L67="",G68,L67+G68))</f>
        <v/>
      </c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>
        <f>IF(G69="","",IF(L68="",G69,L68+G69))</f>
        <v/>
      </c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>
        <f>IF(G70="","",IF(L69="",G70,L69+G70))</f>
        <v/>
      </c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>
        <f>IF(G71="","",IF(L70="",G71,L70+G71))</f>
        <v/>
      </c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>
        <f>IF(G72="","",IF(L71="",G72,L71+G72))</f>
        <v/>
      </c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>
        <f>IF(G73="","",IF(L72="",G73,L72+G73))</f>
        <v/>
      </c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>
        <f>IF(G74="","",IF(L73="",G74,L73+G74))</f>
        <v/>
      </c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>
        <f>IF(G75="","",IF(L74="",G75,L74+G75))</f>
        <v/>
      </c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>
        <f>IF(G76="","",IF(L75="",G76,L75+G76))</f>
        <v/>
      </c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>
        <f>IF(G77="","",IF(L76="",G77,L76+G77))</f>
        <v/>
      </c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>
        <f>IF(G78="","",IF(L77="",G78,L77+G78))</f>
        <v/>
      </c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>
        <f>IF(G79="","",IF(L78="",G79,L78+G79))</f>
        <v/>
      </c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>
        <f>IF(G80="","",IF(L79="",G80,L79+G80))</f>
        <v/>
      </c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>
        <f>IF(G81="","",IF(L80="",G81,L80+G81))</f>
        <v/>
      </c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>
        <f>IF(G82="","",IF(L81="",G82,L81+G82))</f>
        <v/>
      </c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>
        <f>IF(G83="","",IF(L82="",G83,L82+G83))</f>
        <v/>
      </c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>
        <f>IF(G84="","",IF(L83="",G84,L83+G84))</f>
        <v/>
      </c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>
        <f>IF(G85="","",IF(L84="",G85,L84+G85))</f>
        <v/>
      </c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>
        <f>IF(G86="","",IF(L85="",G86,L85+G86))</f>
        <v/>
      </c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>
        <f>IF(G87="","",IF(L86="",G87,L86+G87))</f>
        <v/>
      </c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>
        <f>IF(G88="","",IF(L87="",G88,L87+G88))</f>
        <v/>
      </c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>
        <f>IF(G89="","",IF(L88="",G89,L88+G89))</f>
        <v/>
      </c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IF(G90="","",IF(L89="",G90,L89+G90))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IF(G91="","",IF(L90="",G91,L90+G91))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IF(G92="","",IF(L91="",G92,L91+G92))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IF(G93="","",IF(L92="",G93,L92+G93))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IF(G94="","",IF(L93="",G94,L93+G94))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IF(G95="","",IF(L94="",G95,L94+G95))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IF(G96="","",IF(L95="",G96,L95+G96))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IF(G97="","",IF(L96="",G97,L96+G97))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IF(G98="","",IF(L97="",G98,L97+G98))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IF(G99="","",IF(L98="",G99,L98+G99))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IF(G100="","",IF(L99="",G100,L99+G100))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IF(G101="","",IF(L100="",G101,L100+G101))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IF(G102="","",IF(L101="",G102,L101+G102))</f>
        <v/>
      </c>
      <c r="M102" s="55" t="n"/>
    </row>
    <row r="103" ht="15.75" customHeight="1" s="99">
      <c r="A103" s="41" t="n">
        <v>109</v>
      </c>
      <c r="B103" s="45" t="n">
        <v>46302</v>
      </c>
      <c r="C103" s="47" t="inlineStr">
        <is>
          <t>Self</t>
        </is>
      </c>
      <c r="D103" s="47" t="inlineStr">
        <is>
          <t>Khutauna Chirai mill</t>
        </is>
      </c>
      <c r="E103" s="47" t="inlineStr">
        <is>
          <t>Building Materials</t>
        </is>
      </c>
      <c r="F103" s="47" t="inlineStr">
        <is>
          <t>Wood for gate frames — C unit ₹42,509 + B unit ₹26,869</t>
        </is>
      </c>
      <c r="G103" s="62" t="n">
        <v>69378</v>
      </c>
      <c r="H103" s="47" t="inlineStr">
        <is>
          <t>Cash</t>
        </is>
      </c>
      <c r="I103" s="47" t="n"/>
      <c r="J103" s="47" t="n"/>
      <c r="K103" s="47" t="inlineStr">
        <is>
          <t>Y</t>
        </is>
      </c>
      <c r="L103" s="50">
        <f>IF(G103="","",IF(L102="",G103,L102+G103))</f>
        <v/>
      </c>
      <c r="M103" s="47" t="n"/>
    </row>
    <row r="104" ht="15.75" customHeight="1" s="99">
      <c r="A104" s="43" t="n">
        <v>110</v>
      </c>
      <c r="B104" s="53" t="n">
        <v>46302</v>
      </c>
      <c r="C104" s="55" t="inlineStr">
        <is>
          <t>Self</t>
        </is>
      </c>
      <c r="D104" s="55" t="inlineStr">
        <is>
          <t>Pappu Hardware</t>
        </is>
      </c>
      <c r="E104" s="55" t="inlineStr">
        <is>
          <t>Steel / Iron + Cement + Building Materials</t>
        </is>
      </c>
      <c r="F104" s="55" t="inlineStr">
        <is>
          <t>Part payment against Oct bills</t>
        </is>
      </c>
      <c r="G104" s="63" t="n">
        <v>70000</v>
      </c>
      <c r="H104" s="55" t="inlineStr">
        <is>
          <t>Cash</t>
        </is>
      </c>
      <c r="I104" s="55" t="n"/>
      <c r="J104" s="55" t="n"/>
      <c r="K104" s="55" t="inlineStr">
        <is>
          <t>Y</t>
        </is>
      </c>
      <c r="L104" s="58">
        <f>IF(G104="","",IF(L103="",G104,L103+G104))</f>
        <v/>
      </c>
      <c r="M104" s="55" t="n"/>
    </row>
    <row r="105" ht="15.75" customHeight="1" s="99">
      <c r="A105" s="41" t="n">
        <v>111</v>
      </c>
      <c r="B105" s="45" t="n">
        <v>46302</v>
      </c>
      <c r="C105" s="47" t="inlineStr">
        <is>
          <t>Papa</t>
        </is>
      </c>
      <c r="D105" s="47" t="inlineStr">
        <is>
          <t>Econ Builder</t>
        </is>
      </c>
      <c r="E105" s="47" t="inlineStr">
        <is>
          <t>Professional Fees</t>
        </is>
      </c>
      <c r="F105" s="47" t="inlineStr">
        <is>
          <t>Construction work done — general (Papa, 7-Oct)</t>
        </is>
      </c>
      <c r="G105" s="62" t="n">
        <v>25000</v>
      </c>
      <c r="H105" s="47" t="inlineStr">
        <is>
          <t>Cash</t>
        </is>
      </c>
      <c r="I105" s="47" t="n"/>
      <c r="J105" s="47" t="n"/>
      <c r="K105" s="47" t="inlineStr">
        <is>
          <t>Y</t>
        </is>
      </c>
      <c r="L105" s="50">
        <f>IF(G105="","",IF(L104="",G105,L104+G105))</f>
        <v/>
      </c>
      <c r="M105" s="47" t="n"/>
    </row>
    <row r="106" ht="15.75" customHeight="1" s="99">
      <c r="A106" s="43" t="n">
        <v>112</v>
      </c>
      <c r="B106" s="53" t="n">
        <v>46303</v>
      </c>
      <c r="C106" s="55" t="inlineStr">
        <is>
          <t>Papa</t>
        </is>
      </c>
      <c r="D106" s="55" t="inlineStr">
        <is>
          <t>Econ Builder</t>
        </is>
      </c>
      <c r="E106" s="55" t="inlineStr">
        <is>
          <t>Professional Fees</t>
        </is>
      </c>
      <c r="F106" s="55" t="inlineStr">
        <is>
          <t>Construction work done — general (Papa, 8-Oct)</t>
        </is>
      </c>
      <c r="G106" s="63" t="n">
        <v>20000</v>
      </c>
      <c r="H106" s="55" t="inlineStr">
        <is>
          <t>Cash</t>
        </is>
      </c>
      <c r="I106" s="55" t="n"/>
      <c r="J106" s="55" t="n"/>
      <c r="K106" s="55" t="inlineStr">
        <is>
          <t>Y</t>
        </is>
      </c>
      <c r="L106" s="58">
        <f>IF(G106="","",IF(L105="",G106,L105+G106))</f>
        <v/>
      </c>
      <c r="M106" s="55" t="n"/>
    </row>
    <row r="107" ht="15.75" customHeight="1" s="99">
      <c r="A107" s="41" t="n">
        <v>113</v>
      </c>
      <c r="B107" s="45" t="n">
        <v>46303</v>
      </c>
      <c r="C107" s="47" t="inlineStr">
        <is>
          <t>Self</t>
        </is>
      </c>
      <c r="D107" s="47" t="inlineStr">
        <is>
          <t>Mittal Electric</t>
        </is>
      </c>
      <c r="E107" s="47" t="inlineStr">
        <is>
          <t>Electrical</t>
        </is>
      </c>
      <c r="F107" s="47" t="inlineStr">
        <is>
          <t>Electrical items — Mittal Electric, Darbhanga</t>
        </is>
      </c>
      <c r="G107" s="62" t="n">
        <v>21065</v>
      </c>
      <c r="H107" s="47" t="inlineStr">
        <is>
          <t>Cash</t>
        </is>
      </c>
      <c r="I107" s="47" t="n"/>
      <c r="J107" s="47" t="n"/>
      <c r="K107" s="47" t="inlineStr">
        <is>
          <t>Y</t>
        </is>
      </c>
      <c r="L107" s="50">
        <f>IF(G107="","",IF(L106="",G107,L106+G107))</f>
        <v/>
      </c>
      <c r="M107" s="47" t="n"/>
    </row>
    <row r="108" ht="15.75" customHeight="1" s="99">
      <c r="A108" s="43" t="n">
        <v>114</v>
      </c>
      <c r="B108" s="53" t="n">
        <v>46304</v>
      </c>
      <c r="C108" s="55" t="inlineStr">
        <is>
          <t>Self</t>
        </is>
      </c>
      <c r="D108" s="55" t="inlineStr">
        <is>
          <t>Sand Truck Wala</t>
        </is>
      </c>
      <c r="E108" s="55" t="inlineStr">
        <is>
          <t>Building Materials</t>
        </is>
      </c>
      <c r="F108" s="55" t="inlineStr">
        <is>
          <t>Sand delivery — 40 MT</t>
        </is>
      </c>
      <c r="G108" s="63" t="n">
        <v>56000</v>
      </c>
      <c r="H108" s="55" t="inlineStr">
        <is>
          <t>Cash</t>
        </is>
      </c>
      <c r="I108" s="55" t="n"/>
      <c r="J108" s="55" t="n"/>
      <c r="K108" s="55" t="inlineStr">
        <is>
          <t>Y</t>
        </is>
      </c>
      <c r="L108" s="58">
        <f>IF(G108="","",IF(L107="",G108,L107+G108))</f>
        <v/>
      </c>
      <c r="M108" s="55" t="n"/>
    </row>
    <row r="109" ht="15.75" customHeight="1" s="99">
      <c r="A109" s="41" t="n">
        <v>115</v>
      </c>
      <c r="B109" s="45" t="n">
        <v>46304</v>
      </c>
      <c r="C109" s="47" t="inlineStr">
        <is>
          <t>Self</t>
        </is>
      </c>
      <c r="D109" s="47" t="inlineStr">
        <is>
          <t>Local Purchase</t>
        </is>
      </c>
      <c r="E109" s="47" t="inlineStr">
        <is>
          <t>Transport · Food · Misc</t>
        </is>
      </c>
      <c r="F109" s="47" t="inlineStr">
        <is>
          <t>Diesel 10 litres</t>
        </is>
      </c>
      <c r="G109" s="62" t="n">
        <v>1000</v>
      </c>
      <c r="H109" s="47" t="inlineStr">
        <is>
          <t>Cash</t>
        </is>
      </c>
      <c r="I109" s="47" t="n"/>
      <c r="J109" s="47" t="n"/>
      <c r="K109" s="47" t="inlineStr">
        <is>
          <t>Y</t>
        </is>
      </c>
      <c r="L109" s="50">
        <f>IF(G109="","",IF(L108="",G109,L108+G109))</f>
        <v/>
      </c>
      <c r="M109" s="47" t="n"/>
    </row>
    <row r="110" ht="15.75" customHeight="1" s="99">
      <c r="A110" s="43" t="n">
        <v>116</v>
      </c>
      <c r="B110" s="53" t="n">
        <v>46308</v>
      </c>
      <c r="C110" s="55" t="inlineStr">
        <is>
          <t>Self</t>
        </is>
      </c>
      <c r="D110" s="55" t="inlineStr">
        <is>
          <t>Pappu Hardware</t>
        </is>
      </c>
      <c r="E110" s="55" t="inlineStr">
        <is>
          <t>Steel / Iron + Cement + Building Materials</t>
        </is>
      </c>
      <c r="F110" s="55" t="inlineStr">
        <is>
          <t>Full payment — 13-Oct bill (₹1,42,843)</t>
        </is>
      </c>
      <c r="G110" s="63" t="n">
        <v>142843</v>
      </c>
      <c r="H110" s="55" t="inlineStr">
        <is>
          <t>Cash</t>
        </is>
      </c>
      <c r="I110" s="55" t="n"/>
      <c r="J110" s="55" t="n"/>
      <c r="K110" s="55" t="inlineStr">
        <is>
          <t>Y</t>
        </is>
      </c>
      <c r="L110" s="58">
        <f>IF(G110="","",IF(L109="",G110,L109+G110))</f>
        <v/>
      </c>
      <c r="M110" s="55" t="n"/>
    </row>
    <row r="111" ht="15.75" customHeight="1" s="99">
      <c r="A111" s="41" t="n">
        <v>117</v>
      </c>
      <c r="B111" s="45" t="n">
        <v>46309</v>
      </c>
      <c r="C111" s="47" t="inlineStr">
        <is>
          <t>Self</t>
        </is>
      </c>
      <c r="D111" s="47" t="inlineStr">
        <is>
          <t>Pappu Hardware</t>
        </is>
      </c>
      <c r="E111" s="47" t="inlineStr">
        <is>
          <t>Steel / Iron + Cement + Building Materials</t>
        </is>
      </c>
      <c r="F111" s="47" t="inlineStr">
        <is>
          <t>Balance settled — Oct bills</t>
        </is>
      </c>
      <c r="G111" s="62" t="n">
        <v>7353</v>
      </c>
      <c r="H111" s="47" t="inlineStr">
        <is>
          <t>Cash</t>
        </is>
      </c>
      <c r="I111" s="47" t="n"/>
      <c r="J111" s="47" t="n"/>
      <c r="K111" s="47" t="inlineStr">
        <is>
          <t>Y</t>
        </is>
      </c>
      <c r="L111" s="50">
        <f>IF(G111="","",IF(L110="",G111,L110+G111))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B495" s="128" t="n"/>
      <c r="K495" t="inlineStr">
        <is>
          <t>Y</t>
        </is>
      </c>
      <c r="L495">
        <f>IF(G495="","",IF(L494="",G495,L494+G495))</f>
        <v/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Transactions'!F:F,B5,'All Transactions'!J:J,"&lt;&gt;Lumpsum",'All Transactions'!J:J,"&lt;&gt;Service",'All Transactions'!J:J,"&lt;&gt;Lot",'All Transactions'!J:J,"&lt;&gt;Advance")</f>
        <v/>
      </c>
      <c r="D5" s="42" t="inlineStr">
        <is>
          <t>pcs</t>
        </is>
      </c>
      <c r="E5" s="65">
        <f>IFERROR(IF(C5=0,"",F5/C5),"")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Steel / Iron</t>
        </is>
      </c>
      <c r="B6" s="44" t="inlineStr">
        <is>
          <t>Tiscon 10mm</t>
        </is>
      </c>
      <c r="C6" s="69">
        <f>SUMIFS('All Transactions'!I:I,'All Transactions'!E:E,A6,'All Transactions'!F:F,B6,'All Transactions'!J:J,"&lt;&gt;Lumpsum",'All Transactions'!J:J,"&lt;&gt;Service",'All Transactions'!J:J,"&lt;&gt;Lot",'All Transactions'!J:J,"&lt;&gt;Advance")</f>
        <v/>
      </c>
      <c r="D6" s="44" t="inlineStr">
        <is>
          <t>pcs</t>
        </is>
      </c>
      <c r="E6" s="70">
        <f>IFERROR(IF(C6=0,"",F6/C6),"")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Transactions'!F:F,B7,'All Transactions'!J:J,"&lt;&gt;Lumpsum",'All Transactions'!J:J,"&lt;&gt;Service",'All Transactions'!J:J,"&lt;&gt;Lot",'All Transactions'!J:J,"&lt;&gt;Advance")</f>
        <v/>
      </c>
      <c r="D7" s="42" t="inlineStr">
        <is>
          <t>mixed</t>
        </is>
      </c>
      <c r="E7" s="65">
        <f>IFERROR(IF(C7=0,"",F7/C7),"")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Sand</t>
        </is>
      </c>
      <c r="C8" s="69">
        <f>SUMIFS('All Transactions'!I:I,'All Transactions'!E:E,A8,'All Transactions'!F:F,B8,'All Transactions'!J:J,"&lt;&gt;Lumpsum",'All Transactions'!J:J,"&lt;&gt;Service",'All Transactions'!J:J,"&lt;&gt;Lot",'All Transactions'!J:J,"&lt;&gt;Advance")</f>
        <v/>
      </c>
      <c r="D8" s="44" t="inlineStr">
        <is>
          <t>mixed</t>
        </is>
      </c>
      <c r="E8" s="70">
        <f>IFERROR(IF(C8=0,"",F8/C8),"")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</t>
        </is>
      </c>
      <c r="C9" s="64">
        <f>SUMIFS('All Transactions'!I:I,'All Transactions'!E:E,A9,'All Transactions'!F:F,B9,'All Transactions'!J:J,"&lt;&gt;Lumpsum",'All Transactions'!J:J,"&lt;&gt;Service",'All Transactions'!J:J,"&lt;&gt;Lot",'All Transactions'!J:J,"&lt;&gt;Advance")</f>
        <v/>
      </c>
      <c r="D9" s="42" t="inlineStr">
        <is>
          <t>bags</t>
        </is>
      </c>
      <c r="E9" s="65">
        <f>IFERROR(IF(C9=0,"",F9/C9),"")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Steel / Iron</t>
        </is>
      </c>
      <c r="B10" s="44" t="inlineStr">
        <is>
          <t>Tiscon 12mm</t>
        </is>
      </c>
      <c r="C10" s="69">
        <f>SUMIFS('All Transactions'!I:I,'All Transactions'!E:E,A10,'All Transactions'!F:F,B10,'All Transactions'!J:J,"&lt;&gt;Lumpsum",'All Transactions'!J:J,"&lt;&gt;Service",'All Transactions'!J:J,"&lt;&gt;Lot",'All Transactions'!J:J,"&lt;&gt;Advance")</f>
        <v/>
      </c>
      <c r="D10" s="44" t="inlineStr">
        <is>
          <t>pcs</t>
        </is>
      </c>
      <c r="E10" s="70">
        <f>IFERROR(IF(C10=0,"",F10/C10),"")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Steel / Iron</t>
        </is>
      </c>
      <c r="B11" s="42" t="inlineStr">
        <is>
          <t>Tiscon 8mm</t>
        </is>
      </c>
      <c r="C11" s="64">
        <f>SUMIFS('All Transactions'!I:I,'All Transactions'!E:E,A11,'All Transactions'!F:F,B11,'All Transactions'!J:J,"&lt;&gt;Lumpsum",'All Transactions'!J:J,"&lt;&gt;Service",'All Transactions'!J:J,"&lt;&gt;Lot",'All Transactions'!J:J,"&lt;&gt;Advance")</f>
        <v/>
      </c>
      <c r="D11" s="42" t="inlineStr">
        <is>
          <t>pcs</t>
        </is>
      </c>
      <c r="E11" s="65">
        <f>IFERROR(IF(C11=0,"",F11/C11),"")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Steel / Iron</t>
        </is>
      </c>
      <c r="B12" s="44" t="inlineStr">
        <is>
          <t>Tiscon 6mm</t>
        </is>
      </c>
      <c r="C12" s="69">
        <f>SUMIFS('All Transactions'!I:I,'All Transactions'!E:E,A12,'All Transactions'!F:F,B12,'All Transactions'!J:J,"&lt;&gt;Lumpsum",'All Transactions'!J:J,"&lt;&gt;Service",'All Transactions'!J:J,"&lt;&gt;Lot",'All Transactions'!J:J,"&lt;&gt;Advance")</f>
        <v/>
      </c>
      <c r="D12" s="44" t="inlineStr">
        <is>
          <t>pcs</t>
        </is>
      </c>
      <c r="E12" s="70">
        <f>IFERROR(IF(C12=0,"",F12/C12),"")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Wood</t>
        </is>
      </c>
      <c r="C13" s="64">
        <f>SUMIFS('All Transactions'!I:I,'All Transactions'!E:E,A13,'All Transactions'!F:F,B13,'All Transactions'!J:J,"&lt;&gt;Lumpsum",'All Transactions'!J:J,"&lt;&gt;Service",'All Transactions'!J:J,"&lt;&gt;Lot",'All Transactions'!J:J,"&lt;&gt;Advance")</f>
        <v/>
      </c>
      <c r="D13" s="42" t="inlineStr">
        <is>
          <t>cft</t>
        </is>
      </c>
      <c r="E13" s="65">
        <f>IFERROR(IF(C13=0,"",F13/C13),"")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Electrical</t>
        </is>
      </c>
      <c r="B14" s="44" t="inlineStr">
        <is>
          <t>Electrical Items</t>
        </is>
      </c>
      <c r="C14" s="69">
        <f>SUMIFS('All Transactions'!I:I,'All Transactions'!E:E,A14,'All Transactions'!F:F,B14,'All Transactions'!J:J,"&lt;&gt;Lumpsum",'All Transactions'!J:J,"&lt;&gt;Service",'All Transactions'!J:J,"&lt;&gt;Lot",'All Transactions'!J:J,"&lt;&gt;Advance")</f>
        <v/>
      </c>
      <c r="D14" s="44" t="inlineStr">
        <is>
          <t>—</t>
        </is>
      </c>
      <c r="E14" s="70">
        <f>IFERROR(IF(C14=0,"",F14/C14),"")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Dr Fixit</t>
        </is>
      </c>
      <c r="C15" s="64">
        <f>SUMIFS('All Transactions'!I:I,'All Transactions'!E:E,A15,'All Transactions'!F:F,B15,'All Transactions'!J:J,"&lt;&gt;Lumpsum",'All Transactions'!J:J,"&lt;&gt;Service",'All Transactions'!J:J,"&lt;&gt;Lot",'All Transactions'!J:J,"&lt;&gt;Advance")</f>
        <v/>
      </c>
      <c r="D15" s="42" t="inlineStr">
        <is>
          <t>litres</t>
        </is>
      </c>
      <c r="E15" s="65">
        <f>IFERROR(IF(C15=0,"",F15/C15),"")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Steel / Iron</t>
        </is>
      </c>
      <c r="B16" s="44" t="inlineStr">
        <is>
          <t>Tiscon 16mm</t>
        </is>
      </c>
      <c r="C16" s="69">
        <f>SUMIFS('All Transactions'!I:I,'All Transactions'!E:E,A16,'All Transactions'!F:F,B16,'All Transactions'!J:J,"&lt;&gt;Lumpsum",'All Transactions'!J:J,"&lt;&gt;Service",'All Transactions'!J:J,"&lt;&gt;Lot",'All Transactions'!J:J,"&lt;&gt;Advance")</f>
        <v/>
      </c>
      <c r="D16" s="44" t="inlineStr">
        <is>
          <t>pcs</t>
        </is>
      </c>
      <c r="E16" s="70">
        <f>IFERROR(IF(C16=0,"",F16/C16),"")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Transactions'!F:F,B17,'All Transactions'!J:J,"&lt;&gt;Lumpsum",'All Transactions'!J:J,"&lt;&gt;Service",'All Transactions'!J:J,"&lt;&gt;Lot",'All Transactions'!J:J,"&lt;&gt;Advance")</f>
        <v/>
      </c>
      <c r="D17" s="42" t="inlineStr">
        <is>
          <t>kg</t>
        </is>
      </c>
      <c r="E17" s="65">
        <f>IFERROR(IF(C17=0,"",F17/C17),"")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Steel / Iron</t>
        </is>
      </c>
      <c r="B18" s="44" t="inlineStr">
        <is>
          <t>Wire</t>
        </is>
      </c>
      <c r="C18" s="69">
        <f>SUMIFS('All Transactions'!I:I,'All Transactions'!E:E,A18,'All Transactions'!F:F,B18,'All Transactions'!J:J,"&lt;&gt;Lumpsum",'All Transactions'!J:J,"&lt;&gt;Service",'All Transactions'!J:J,"&lt;&gt;Lot",'All Transactions'!J:J,"&lt;&gt;Advance")</f>
        <v/>
      </c>
      <c r="D18" s="44" t="inlineStr">
        <is>
          <t>mixed</t>
        </is>
      </c>
      <c r="E18" s="70">
        <f>IFERROR(IF(C18=0,"",F18/C18),"")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 / Iron</t>
        </is>
      </c>
      <c r="B19" s="42" t="inlineStr">
        <is>
          <t>Rings</t>
        </is>
      </c>
      <c r="C19" s="64">
        <f>SUMIFS('All Transactions'!I:I,'All Transactions'!E:E,A19,'All Transactions'!F:F,B19,'All Transactions'!J:J,"&lt;&gt;Lumpsum",'All Transactions'!J:J,"&lt;&gt;Service",'All Transactions'!J:J,"&lt;&gt;Lot",'All Transactions'!J:J,"&lt;&gt;Advance")</f>
        <v/>
      </c>
      <c r="D19" s="42" t="inlineStr">
        <is>
          <t>—</t>
        </is>
      </c>
      <c r="E19" s="65">
        <f>IFERROR(IF(C19=0,"",F19/C19),"")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Building Materials</t>
        </is>
      </c>
      <c r="B20" s="44" t="inlineStr">
        <is>
          <t>Cover Block</t>
        </is>
      </c>
      <c r="C20" s="69">
        <f>SUMIFS('All Transactions'!I:I,'All Transactions'!E:E,A20,'All Transactions'!F:F,B20,'All Transactions'!J:J,"&lt;&gt;Lumpsum",'All Transactions'!J:J,"&lt;&gt;Service",'All Transactions'!J:J,"&lt;&gt;Lot",'All Transactions'!J:J,"&lt;&gt;Advance")</f>
        <v/>
      </c>
      <c r="D20" s="44" t="inlineStr">
        <is>
          <t>pcs</t>
        </is>
      </c>
      <c r="E20" s="70">
        <f>IFERROR(IF(C20=0,"",F20/C20),"")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Building Materials</t>
        </is>
      </c>
      <c r="B21" s="42" t="inlineStr">
        <is>
          <t>Nails</t>
        </is>
      </c>
      <c r="C21" s="64">
        <f>SUMIFS('All Transactions'!I:I,'All Transactions'!E:E,A21,'All Transactions'!F:F,B21,'All Transactions'!J:J,"&lt;&gt;Lumpsum",'All Transactions'!J:J,"&lt;&gt;Service",'All Transactions'!J:J,"&lt;&gt;Lot",'All Transactions'!J:J,"&lt;&gt;Advance")</f>
        <v/>
      </c>
      <c r="D21" s="42" t="inlineStr">
        <is>
          <t>bags</t>
        </is>
      </c>
      <c r="E21" s="65">
        <f>IFERROR(IF(C21=0,"",F21/C21),"")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Building Materials</t>
        </is>
      </c>
      <c r="B22" s="44" t="inlineStr">
        <is>
          <t>Chemical</t>
        </is>
      </c>
      <c r="C22" s="69">
        <f>SUMIFS('All Transactions'!I:I,'All Transactions'!E:E,A22,'All Transactions'!F:F,B22,'All Transactions'!J:J,"&lt;&gt;Lumpsum",'All Transactions'!J:J,"&lt;&gt;Service",'All Transactions'!J:J,"&lt;&gt;Lot",'All Transactions'!J:J,"&lt;&gt;Advance")</f>
        <v/>
      </c>
      <c r="D22" s="44" t="inlineStr">
        <is>
          <t>litres</t>
        </is>
      </c>
      <c r="E22" s="70">
        <f>IFERROR(IF(C22=0,"",F22/C22),"")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Building Materials</t>
        </is>
      </c>
      <c r="B23" s="42" t="inlineStr">
        <is>
          <t>Wire</t>
        </is>
      </c>
      <c r="C23" s="64">
        <f>SUMIFS('All Transactions'!I:I,'All Transactions'!E:E,A23,'All Transactions'!F:F,B23,'All Transactions'!J:J,"&lt;&gt;Lumpsum",'All Transactions'!J:J,"&lt;&gt;Service",'All Transactions'!J:J,"&lt;&gt;Lot",'All Transactions'!J:J,"&lt;&gt;Advance")</f>
        <v/>
      </c>
      <c r="D23" s="42" t="inlineStr">
        <is>
          <t>kg</t>
        </is>
      </c>
      <c r="E23" s="65">
        <f>IFERROR(IF(C23=0,"",F23/C23),"")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Building Materials</t>
        </is>
      </c>
      <c r="B24" s="44" t="inlineStr">
        <is>
          <t>Material Transport</t>
        </is>
      </c>
      <c r="C24" s="69">
        <f>SUMIFS('All Transactions'!I:I,'All Transactions'!E:E,A24,'All Transactions'!F:F,B24,'All Transactions'!J:J,"&lt;&gt;Lumpsum",'All Transactions'!J:J,"&lt;&gt;Service",'All Transactions'!J:J,"&lt;&gt;Lot",'All Transactions'!J:J,"&lt;&gt;Advance")</f>
        <v/>
      </c>
      <c r="D24" s="44" t="inlineStr">
        <is>
          <t>trips</t>
        </is>
      </c>
      <c r="E24" s="70">
        <f>IFERROR(IF(C24=0,"",F24/C24),"")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n"/>
      <c r="B25" s="42" t="n"/>
      <c r="C25" s="64" t="n"/>
      <c r="D25" s="42" t="n"/>
      <c r="E25" s="65" t="n"/>
      <c r="F25" s="66" t="n"/>
      <c r="G25" s="67" t="n"/>
      <c r="H25" s="66" t="n"/>
      <c r="I25" s="68" t="n"/>
    </row>
    <row r="26" ht="15.75" customHeight="1" s="99">
      <c r="A26" s="44" t="n"/>
      <c r="B26" s="44" t="n"/>
      <c r="C26" s="69" t="n"/>
      <c r="D26" s="44" t="n"/>
      <c r="E26" s="70" t="n"/>
      <c r="F26" s="71" t="n"/>
      <c r="G26" s="72" t="n"/>
      <c r="H26" s="71" t="n"/>
      <c r="I26" s="73" t="n"/>
    </row>
    <row r="27" ht="15.75" customHeight="1" s="99">
      <c r="A27" s="42" t="n"/>
      <c r="B27" s="42" t="n"/>
      <c r="C27" s="64" t="n"/>
      <c r="D27" s="42" t="n"/>
      <c r="E27" s="65" t="n"/>
      <c r="F27" s="66" t="n"/>
      <c r="G27" s="67" t="n"/>
      <c r="H27" s="66" t="n"/>
      <c r="I27" s="68" t="n"/>
    </row>
    <row r="28" ht="15.75" customHeight="1" s="99">
      <c r="A28" s="44" t="n"/>
      <c r="B28" s="44" t="n"/>
      <c r="C28" s="69" t="n"/>
      <c r="D28" s="44" t="n"/>
      <c r="E28" s="70" t="n"/>
      <c r="F28" s="71" t="n"/>
      <c r="G28" s="72" t="n"/>
      <c r="H28" s="71" t="n"/>
      <c r="I28" s="73" t="n"/>
    </row>
    <row r="29" ht="15.75" customHeight="1" s="99">
      <c r="A29" s="42" t="n"/>
      <c r="B29" s="42" t="n"/>
      <c r="C29" s="64" t="n"/>
      <c r="D29" s="42" t="n"/>
      <c r="E29" s="65" t="n"/>
      <c r="F29" s="66" t="n"/>
      <c r="G29" s="67" t="n"/>
      <c r="H29" s="66" t="n"/>
      <c r="I29" s="68" t="n"/>
    </row>
    <row r="30" ht="15.75" customHeight="1" s="99">
      <c r="A30" s="44" t="n"/>
      <c r="B30" s="44" t="n"/>
      <c r="C30" s="69" t="n"/>
      <c r="D30" s="44" t="n"/>
      <c r="E30" s="70" t="n"/>
      <c r="F30" s="71" t="n"/>
      <c r="G30" s="72" t="n"/>
      <c r="H30" s="71" t="n"/>
      <c r="I30" s="73" t="n"/>
    </row>
    <row r="31" ht="15.75" customHeight="1" s="99">
      <c r="A31" s="42" t="n"/>
      <c r="B31" s="42" t="n"/>
      <c r="C31" s="64" t="n"/>
      <c r="D31" s="42" t="n"/>
      <c r="E31" s="65" t="n"/>
      <c r="F31" s="66" t="n"/>
      <c r="G31" s="67" t="n"/>
      <c r="H31" s="66" t="n"/>
      <c r="I31" s="68" t="n"/>
    </row>
    <row r="32" ht="15.75" customHeight="1" s="99">
      <c r="A32" s="44" t="n"/>
      <c r="B32" s="44" t="n"/>
      <c r="C32" s="69" t="n"/>
      <c r="D32" s="44" t="n"/>
      <c r="E32" s="70" t="n"/>
      <c r="F32" s="71" t="n"/>
      <c r="G32" s="72" t="n"/>
      <c r="H32" s="71" t="n"/>
      <c r="I32" s="73" t="n"/>
    </row>
    <row r="33" ht="15.75" customHeight="1" s="99">
      <c r="A33" s="42" t="n"/>
      <c r="B33" s="42" t="n"/>
      <c r="C33" s="64" t="n"/>
      <c r="D33" s="42" t="n"/>
      <c r="E33" s="65" t="n"/>
      <c r="F33" s="66" t="n"/>
      <c r="G33" s="67" t="n"/>
      <c r="H33" s="66" t="n"/>
      <c r="I33" s="68" t="n"/>
    </row>
    <row r="34" ht="15.75" customHeight="1" s="99">
      <c r="A34" s="44" t="n"/>
      <c r="B34" s="44" t="n"/>
      <c r="C34" s="69" t="n"/>
      <c r="D34" s="44" t="n"/>
      <c r="E34" s="70" t="n"/>
      <c r="F34" s="71" t="n"/>
      <c r="G34" s="72" t="n"/>
      <c r="H34" s="71" t="n"/>
      <c r="I34" s="73" t="n"/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  (RETIRED — not maintained since May; use Payment Tracker)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 / 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Professional Fees ₹</t>
        </is>
      </c>
      <c r="G4" s="40" t="inlineStr">
        <is>
          <t>Land Development ₹</t>
        </is>
      </c>
      <c r="H4" s="40" t="inlineStr">
        <is>
          <t>Transport · Food · Misc ₹</t>
        </is>
      </c>
      <c r="I4" s="40" t="inlineStr">
        <is>
          <t>TOTAL ₹</t>
        </is>
      </c>
      <c r="J4" s="40" t="n"/>
      <c r="K4" s="40" t="n"/>
    </row>
    <row r="5" ht="15.75" customHeight="1" s="99">
      <c r="A5" s="74" t="inlineStr">
        <is>
          <t>May-2026</t>
        </is>
      </c>
      <c r="B5" s="75">
        <f>SUMIFS('All Transactions'!O:O,'All Transactions'!C:C,$A5,'All Transactions'!E:E,"Building Materials")</f>
        <v/>
      </c>
      <c r="C5" s="75">
        <f>SUMIFS('All Transactions'!O:O,'All Transactions'!C:C,$A5,'All Transactions'!E:E,"Steel / Iron")</f>
        <v/>
      </c>
      <c r="D5" s="75">
        <f>SUMIFS('All Transactions'!O:O,'All Transactions'!C:C,$A5,'All Transactions'!E:E,"Electrical")</f>
        <v/>
      </c>
      <c r="E5" s="75">
        <f>SUMIFS('All Transactions'!O:O,'All Transactions'!C:C,$A5,'All Transactions'!E:E,"Labour")</f>
        <v/>
      </c>
      <c r="F5" s="75">
        <f>SUMIFS('All Transactions'!O:O,'All Transactions'!C:C,$A5,'All Transactions'!E:E,"Professional Fees")</f>
        <v/>
      </c>
      <c r="G5" s="75">
        <f>SUMIFS('All Transactions'!O:O,'All Transactions'!C:C,$A5,'All Transactions'!E:E,"Land Development")</f>
        <v/>
      </c>
      <c r="H5" s="75">
        <f>SUMIFS('All Transactions'!O:O,'All Transactions'!C:C,$A5,'All Transactions'!E:E,"Transport · Food · Misc")</f>
        <v/>
      </c>
      <c r="I5" s="75">
        <f>SUM(B5:H5)</f>
        <v/>
      </c>
      <c r="J5" s="75" t="n"/>
      <c r="K5" s="76" t="n"/>
    </row>
    <row r="6" ht="15.75" customHeight="1" s="99">
      <c r="A6" s="77" t="inlineStr">
        <is>
          <t>Jun-2026</t>
        </is>
      </c>
      <c r="B6" s="78">
        <f>SUMIFS('All Transactions'!O:O,'All Transactions'!C:C,$A6,'All Transactions'!E:E,"Building Materials")</f>
        <v/>
      </c>
      <c r="C6" s="78">
        <f>SUMIFS('All Transactions'!O:O,'All Transactions'!C:C,$A6,'All Transactions'!E:E,"Steel / Iron")</f>
        <v/>
      </c>
      <c r="D6" s="78">
        <f>SUMIFS('All Transactions'!O:O,'All Transactions'!C:C,$A6,'All Transactions'!E:E,"Electrical")</f>
        <v/>
      </c>
      <c r="E6" s="78">
        <f>SUMIFS('All Transactions'!O:O,'All Transactions'!C:C,$A6,'All Transactions'!E:E,"Labour")</f>
        <v/>
      </c>
      <c r="F6" s="78">
        <f>SUMIFS('All Transactions'!O:O,'All Transactions'!C:C,$A6,'All Transactions'!E:E,"Professional Fees")</f>
        <v/>
      </c>
      <c r="G6" s="78">
        <f>SUMIFS('All Transactions'!O:O,'All Transactions'!C:C,$A6,'All Transactions'!E:E,"Land Development")</f>
        <v/>
      </c>
      <c r="H6" s="78">
        <f>SUMIFS('All Transactions'!O:O,'All Transactions'!C:C,$A6,'All Transactions'!E:E,"Transport · Food · Misc")</f>
        <v/>
      </c>
      <c r="I6" s="78">
        <f>SUM(B6:H6)</f>
        <v/>
      </c>
      <c r="J6" s="78" t="n"/>
      <c r="K6" s="79" t="n"/>
    </row>
    <row r="7" ht="15.75" customHeight="1" s="99">
      <c r="A7" s="74" t="inlineStr">
        <is>
          <t>Jul-2026</t>
        </is>
      </c>
      <c r="B7" s="75">
        <f>SUMIFS('All Transactions'!O:O,'All Transactions'!C:C,$A7,'All Transactions'!E:E,"Building Materials")</f>
        <v/>
      </c>
      <c r="C7" s="75">
        <f>SUMIFS('All Transactions'!O:O,'All Transactions'!C:C,$A7,'All Transactions'!E:E,"Steel / Iron")</f>
        <v/>
      </c>
      <c r="D7" s="75">
        <f>SUMIFS('All Transactions'!O:O,'All Transactions'!C:C,$A7,'All Transactions'!E:E,"Electrical")</f>
        <v/>
      </c>
      <c r="E7" s="75">
        <f>SUMIFS('All Transactions'!O:O,'All Transactions'!C:C,$A7,'All Transactions'!E:E,"Labour")</f>
        <v/>
      </c>
      <c r="F7" s="75">
        <f>SUMIFS('All Transactions'!O:O,'All Transactions'!C:C,$A7,'All Transactions'!E:E,"Professional Fees")</f>
        <v/>
      </c>
      <c r="G7" s="75">
        <f>SUMIFS('All Transactions'!O:O,'All Transactions'!C:C,$A7,'All Transactions'!E:E,"Land Development")</f>
        <v/>
      </c>
      <c r="H7" s="75">
        <f>SUMIFS('All Transactions'!O:O,'All Transactions'!C:C,$A7,'All Transactions'!E:E,"Transport · Food · Misc")</f>
        <v/>
      </c>
      <c r="I7" s="75">
        <f>SUM(B7:H7)</f>
        <v/>
      </c>
      <c r="J7" s="75" t="n"/>
      <c r="K7" s="76" t="n"/>
    </row>
    <row r="8" ht="15.75" customHeight="1" s="99">
      <c r="A8" s="77" t="inlineStr">
        <is>
          <t>Aug-2026</t>
        </is>
      </c>
      <c r="B8" s="78">
        <f>SUMIFS('All Transactions'!O:O,'All Transactions'!C:C,$A8,'All Transactions'!E:E,"Building Materials")</f>
        <v/>
      </c>
      <c r="C8" s="78">
        <f>SUMIFS('All Transactions'!O:O,'All Transactions'!C:C,$A8,'All Transactions'!E:E,"Steel / Iron")</f>
        <v/>
      </c>
      <c r="D8" s="78">
        <f>SUMIFS('All Transactions'!O:O,'All Transactions'!C:C,$A8,'All Transactions'!E:E,"Electrical")</f>
        <v/>
      </c>
      <c r="E8" s="78">
        <f>SUMIFS('All Transactions'!O:O,'All Transactions'!C:C,$A8,'All Transactions'!E:E,"Labour")</f>
        <v/>
      </c>
      <c r="F8" s="78">
        <f>SUMIFS('All Transactions'!O:O,'All Transactions'!C:C,$A8,'All Transactions'!E:E,"Professional Fees")</f>
        <v/>
      </c>
      <c r="G8" s="78">
        <f>SUMIFS('All Transactions'!O:O,'All Transactions'!C:C,$A8,'All Transactions'!E:E,"Land Development")</f>
        <v/>
      </c>
      <c r="H8" s="78">
        <f>SUMIFS('All Transactions'!O:O,'All Transactions'!C:C,$A8,'All Transactions'!E:E,"Transport · Food · Misc")</f>
        <v/>
      </c>
      <c r="I8" s="78">
        <f>SUM(B8:H8)</f>
        <v/>
      </c>
      <c r="J8" s="78" t="n"/>
      <c r="K8" s="79" t="n"/>
    </row>
    <row r="9" ht="15.75" customHeight="1" s="99">
      <c r="A9" s="74" t="inlineStr">
        <is>
          <t>Sep-2026</t>
        </is>
      </c>
      <c r="B9" s="75">
        <f>SUMIFS('All Transactions'!O:O,'All Transactions'!C:C,$A9,'All Transactions'!E:E,"Building Materials")</f>
        <v/>
      </c>
      <c r="C9" s="75">
        <f>SUMIFS('All Transactions'!O:O,'All Transactions'!C:C,$A9,'All Transactions'!E:E,"Steel / Iron")</f>
        <v/>
      </c>
      <c r="D9" s="75">
        <f>SUMIFS('All Transactions'!O:O,'All Transactions'!C:C,$A9,'All Transactions'!E:E,"Electrical")</f>
        <v/>
      </c>
      <c r="E9" s="75">
        <f>SUMIFS('All Transactions'!O:O,'All Transactions'!C:C,$A9,'All Transactions'!E:E,"Labour")</f>
        <v/>
      </c>
      <c r="F9" s="75">
        <f>SUMIFS('All Transactions'!O:O,'All Transactions'!C:C,$A9,'All Transactions'!E:E,"Professional Fees")</f>
        <v/>
      </c>
      <c r="G9" s="75">
        <f>SUMIFS('All Transactions'!O:O,'All Transactions'!C:C,$A9,'All Transactions'!E:E,"Land Development")</f>
        <v/>
      </c>
      <c r="H9" s="75">
        <f>SUMIFS('All Transactions'!O:O,'All Transactions'!C:C,$A9,'All Transactions'!E:E,"Transport · Food · Misc")</f>
        <v/>
      </c>
      <c r="I9" s="75">
        <f>SUM(B9:H9)</f>
        <v/>
      </c>
      <c r="J9" s="75" t="n"/>
      <c r="K9" s="76" t="n"/>
    </row>
    <row r="10" ht="15.75" customHeight="1" s="99">
      <c r="A10" s="77" t="inlineStr">
        <is>
          <t>Oct-2026</t>
        </is>
      </c>
      <c r="B10" s="78">
        <f>SUMIFS('All Transactions'!O:O,'All Transactions'!C:C,$A10,'All Transactions'!E:E,"Building Materials")</f>
        <v/>
      </c>
      <c r="C10" s="78">
        <f>SUMIFS('All Transactions'!O:O,'All Transactions'!C:C,$A10,'All Transactions'!E:E,"Steel / Iron")</f>
        <v/>
      </c>
      <c r="D10" s="78">
        <f>SUMIFS('All Transactions'!O:O,'All Transactions'!C:C,$A10,'All Transactions'!E:E,"Electrical")</f>
        <v/>
      </c>
      <c r="E10" s="78">
        <f>SUMIFS('All Transactions'!O:O,'All Transactions'!C:C,$A10,'All Transactions'!E:E,"Labour")</f>
        <v/>
      </c>
      <c r="F10" s="78">
        <f>SUMIFS('All Transactions'!O:O,'All Transactions'!C:C,$A10,'All Transactions'!E:E,"Professional Fees")</f>
        <v/>
      </c>
      <c r="G10" s="78">
        <f>SUMIFS('All Transactions'!O:O,'All Transactions'!C:C,$A10,'All Transactions'!E:E,"Land Development")</f>
        <v/>
      </c>
      <c r="H10" s="78">
        <f>SUMIFS('All Transactions'!O:O,'All Transactions'!C:C,$A10,'All Transactions'!E:E,"Transport · Food · Misc")</f>
        <v/>
      </c>
      <c r="I10" s="78">
        <f>SUM(B10:H10)</f>
        <v/>
      </c>
      <c r="J10" s="78" t="n"/>
      <c r="K10" s="79" t="n"/>
    </row>
    <row r="11" ht="15.75" customHeight="1" s="99">
      <c r="A11" s="74" t="inlineStr">
        <is>
          <t>Nov-2026</t>
        </is>
      </c>
      <c r="B11" s="75">
        <f>SUMIFS('All Transactions'!O:O,'All Transactions'!C:C,$A11,'All Transactions'!E:E,"Building Materials")</f>
        <v/>
      </c>
      <c r="C11" s="75">
        <f>SUMIFS('All Transactions'!O:O,'All Transactions'!C:C,$A11,'All Transactions'!E:E,"Steel / Iron")</f>
        <v/>
      </c>
      <c r="D11" s="75">
        <f>SUMIFS('All Transactions'!O:O,'All Transactions'!C:C,$A11,'All Transactions'!E:E,"Electrical")</f>
        <v/>
      </c>
      <c r="E11" s="75">
        <f>SUMIFS('All Transactions'!O:O,'All Transactions'!C:C,$A11,'All Transactions'!E:E,"Labour")</f>
        <v/>
      </c>
      <c r="F11" s="75">
        <f>SUMIFS('All Transactions'!O:O,'All Transactions'!C:C,$A11,'All Transactions'!E:E,"Professional Fees")</f>
        <v/>
      </c>
      <c r="G11" s="75">
        <f>SUMIFS('All Transactions'!O:O,'All Transactions'!C:C,$A11,'All Transactions'!E:E,"Land Development")</f>
        <v/>
      </c>
      <c r="H11" s="75">
        <f>SUMIFS('All Transactions'!O:O,'All Transactions'!C:C,$A11,'All Transactions'!E:E,"Transport · Food · Misc")</f>
        <v/>
      </c>
      <c r="I11" s="75">
        <f>SUM(B11:H11)</f>
        <v/>
      </c>
      <c r="J11" s="75" t="n"/>
      <c r="K11" s="76" t="n"/>
    </row>
    <row r="12" ht="15.75" customHeight="1" s="99">
      <c r="A12" s="77" t="inlineStr">
        <is>
          <t>Dec-2026</t>
        </is>
      </c>
      <c r="B12" s="78">
        <f>SUMIFS('All Transactions'!O:O,'All Transactions'!C:C,$A12,'All Transactions'!E:E,"Building Materials")</f>
        <v/>
      </c>
      <c r="C12" s="78">
        <f>SUMIFS('All Transactions'!O:O,'All Transactions'!C:C,$A12,'All Transactions'!E:E,"Steel / Iron")</f>
        <v/>
      </c>
      <c r="D12" s="78">
        <f>SUMIFS('All Transactions'!O:O,'All Transactions'!C:C,$A12,'All Transactions'!E:E,"Electrical")</f>
        <v/>
      </c>
      <c r="E12" s="78">
        <f>SUMIFS('All Transactions'!O:O,'All Transactions'!C:C,$A12,'All Transactions'!E:E,"Labour")</f>
        <v/>
      </c>
      <c r="F12" s="78">
        <f>SUMIFS('All Transactions'!O:O,'All Transactions'!C:C,$A12,'All Transactions'!E:E,"Professional Fees")</f>
        <v/>
      </c>
      <c r="G12" s="78">
        <f>SUMIFS('All Transactions'!O:O,'All Transactions'!C:C,$A12,'All Transactions'!E:E,"Land Development")</f>
        <v/>
      </c>
      <c r="H12" s="78">
        <f>SUMIFS('All Transactions'!O:O,'All Transactions'!C:C,$A12,'All Transactions'!E:E,"Transport · Food · Misc")</f>
        <v/>
      </c>
      <c r="I12" s="78">
        <f>SUM(B12:H12)</f>
        <v/>
      </c>
      <c r="J12" s="78" t="n"/>
      <c r="K12" s="79" t="n"/>
    </row>
    <row r="13" ht="15.75" customHeight="1" s="99">
      <c r="A13" s="74" t="inlineStr">
        <is>
          <t>Jan-2027</t>
        </is>
      </c>
      <c r="B13" s="75">
        <f>SUMIFS('All Transactions'!O:O,'All Transactions'!C:C,$A13,'All Transactions'!E:E,"Building Materials")</f>
        <v/>
      </c>
      <c r="C13" s="75">
        <f>SUMIFS('All Transactions'!O:O,'All Transactions'!C:C,$A13,'All Transactions'!E:E,"Steel / Iron")</f>
        <v/>
      </c>
      <c r="D13" s="75">
        <f>SUMIFS('All Transactions'!O:O,'All Transactions'!C:C,$A13,'All Transactions'!E:E,"Electrical")</f>
        <v/>
      </c>
      <c r="E13" s="75">
        <f>SUMIFS('All Transactions'!O:O,'All Transactions'!C:C,$A13,'All Transactions'!E:E,"Labour")</f>
        <v/>
      </c>
      <c r="F13" s="75">
        <f>SUMIFS('All Transactions'!O:O,'All Transactions'!C:C,$A13,'All Transactions'!E:E,"Professional Fees")</f>
        <v/>
      </c>
      <c r="G13" s="75">
        <f>SUMIFS('All Transactions'!O:O,'All Transactions'!C:C,$A13,'All Transactions'!E:E,"Land Development")</f>
        <v/>
      </c>
      <c r="H13" s="75">
        <f>SUMIFS('All Transactions'!O:O,'All Transactions'!C:C,$A13,'All Transactions'!E:E,"Transport · Food · Misc")</f>
        <v/>
      </c>
      <c r="I13" s="75">
        <f>SUM(B13:H13)</f>
        <v/>
      </c>
      <c r="J13" s="75" t="n"/>
      <c r="K13" s="76" t="n"/>
    </row>
    <row r="14" ht="15.75" customHeight="1" s="99">
      <c r="A14" s="77" t="inlineStr">
        <is>
          <t>Feb-2027</t>
        </is>
      </c>
      <c r="B14" s="78">
        <f>SUMIFS('All Transactions'!O:O,'All Transactions'!C:C,$A14,'All Transactions'!E:E,"Building Materials")</f>
        <v/>
      </c>
      <c r="C14" s="78">
        <f>SUMIFS('All Transactions'!O:O,'All Transactions'!C:C,$A14,'All Transactions'!E:E,"Steel / Iron")</f>
        <v/>
      </c>
      <c r="D14" s="78">
        <f>SUMIFS('All Transactions'!O:O,'All Transactions'!C:C,$A14,'All Transactions'!E:E,"Electrical")</f>
        <v/>
      </c>
      <c r="E14" s="78">
        <f>SUMIFS('All Transactions'!O:O,'All Transactions'!C:C,$A14,'All Transactions'!E:E,"Labour")</f>
        <v/>
      </c>
      <c r="F14" s="78">
        <f>SUMIFS('All Transactions'!O:O,'All Transactions'!C:C,$A14,'All Transactions'!E:E,"Professional Fees")</f>
        <v/>
      </c>
      <c r="G14" s="78">
        <f>SUMIFS('All Transactions'!O:O,'All Transactions'!C:C,$A14,'All Transactions'!E:E,"Land Development")</f>
        <v/>
      </c>
      <c r="H14" s="78">
        <f>SUMIFS('All Transactions'!O:O,'All Transactions'!C:C,$A14,'All Transactions'!E:E,"Transport · Food · Misc")</f>
        <v/>
      </c>
      <c r="I14" s="78">
        <f>SUM(B14:H14)</f>
        <v/>
      </c>
      <c r="J14" s="78" t="n"/>
      <c r="K14" s="79" t="n"/>
    </row>
    <row r="15" ht="15.75" customHeight="1" s="99">
      <c r="A15" s="74" t="inlineStr">
        <is>
          <t>Mar-2027</t>
        </is>
      </c>
      <c r="B15" s="75">
        <f>SUMIFS('All Transactions'!O:O,'All Transactions'!C:C,$A15,'All Transactions'!E:E,"Building Materials")</f>
        <v/>
      </c>
      <c r="C15" s="75">
        <f>SUMIFS('All Transactions'!O:O,'All Transactions'!C:C,$A15,'All Transactions'!E:E,"Steel / Iron")</f>
        <v/>
      </c>
      <c r="D15" s="75">
        <f>SUMIFS('All Transactions'!O:O,'All Transactions'!C:C,$A15,'All Transactions'!E:E,"Electrical")</f>
        <v/>
      </c>
      <c r="E15" s="75">
        <f>SUMIFS('All Transactions'!O:O,'All Transactions'!C:C,$A15,'All Transactions'!E:E,"Labour")</f>
        <v/>
      </c>
      <c r="F15" s="75">
        <f>SUMIFS('All Transactions'!O:O,'All Transactions'!C:C,$A15,'All Transactions'!E:E,"Professional Fees")</f>
        <v/>
      </c>
      <c r="G15" s="75">
        <f>SUMIFS('All Transactions'!O:O,'All Transactions'!C:C,$A15,'All Transactions'!E:E,"Land Development")</f>
        <v/>
      </c>
      <c r="H15" s="75">
        <f>SUMIFS('All Transactions'!O:O,'All Transactions'!C:C,$A15,'All Transactions'!E:E,"Transport · Food · Misc")</f>
        <v/>
      </c>
      <c r="I15" s="75">
        <f>SUM(B15:H15)</f>
        <v/>
      </c>
      <c r="J15" s="75" t="n"/>
      <c r="K15" s="76" t="n"/>
    </row>
    <row r="16" ht="15.75" customHeight="1" s="99">
      <c r="A16" s="77" t="inlineStr">
        <is>
          <t>Apr-2027</t>
        </is>
      </c>
      <c r="B16" s="78">
        <f>SUMIFS('All Transactions'!O:O,'All Transactions'!C:C,$A16,'All Transactions'!E:E,"Building Materials")</f>
        <v/>
      </c>
      <c r="C16" s="78">
        <f>SUMIFS('All Transactions'!O:O,'All Transactions'!C:C,$A16,'All Transactions'!E:E,"Steel / Iron")</f>
        <v/>
      </c>
      <c r="D16" s="78">
        <f>SUMIFS('All Transactions'!O:O,'All Transactions'!C:C,$A16,'All Transactions'!E:E,"Electrical")</f>
        <v/>
      </c>
      <c r="E16" s="78">
        <f>SUMIFS('All Transactions'!O:O,'All Transactions'!C:C,$A16,'All Transactions'!E:E,"Labour")</f>
        <v/>
      </c>
      <c r="F16" s="78">
        <f>SUMIFS('All Transactions'!O:O,'All Transactions'!C:C,$A16,'All Transactions'!E:E,"Professional Fees")</f>
        <v/>
      </c>
      <c r="G16" s="78">
        <f>SUMIFS('All Transactions'!O:O,'All Transactions'!C:C,$A16,'All Transactions'!E:E,"Land Development")</f>
        <v/>
      </c>
      <c r="H16" s="78">
        <f>SUMIFS('All Transactions'!O:O,'All Transactions'!C:C,$A16,'All Transactions'!E:E,"Transport · Food · Misc")</f>
        <v/>
      </c>
      <c r="I16" s="78">
        <f>SUM(B16:H16)</f>
        <v/>
      </c>
      <c r="J16" s="78" t="n"/>
      <c r="K16" s="79" t="n"/>
    </row>
    <row r="17" ht="15.75" customHeight="1" s="99">
      <c r="A17" s="74" t="inlineStr">
        <is>
          <t>May-2027</t>
        </is>
      </c>
      <c r="B17" s="75">
        <f>SUMIFS('All Transactions'!O:O,'All Transactions'!C:C,$A17,'All Transactions'!E:E,"Building Materials")</f>
        <v/>
      </c>
      <c r="C17" s="75">
        <f>SUMIFS('All Transactions'!O:O,'All Transactions'!C:C,$A17,'All Transactions'!E:E,"Steel / Iron")</f>
        <v/>
      </c>
      <c r="D17" s="75">
        <f>SUMIFS('All Transactions'!O:O,'All Transactions'!C:C,$A17,'All Transactions'!E:E,"Electrical")</f>
        <v/>
      </c>
      <c r="E17" s="75">
        <f>SUMIFS('All Transactions'!O:O,'All Transactions'!C:C,$A17,'All Transactions'!E:E,"Labour")</f>
        <v/>
      </c>
      <c r="F17" s="75">
        <f>SUMIFS('All Transactions'!O:O,'All Transactions'!C:C,$A17,'All Transactions'!E:E,"Professional Fees")</f>
        <v/>
      </c>
      <c r="G17" s="75">
        <f>SUMIFS('All Transactions'!O:O,'All Transactions'!C:C,$A17,'All Transactions'!E:E,"Land Development")</f>
        <v/>
      </c>
      <c r="H17" s="75">
        <f>SUMIFS('All Transactions'!O:O,'All Transactions'!C:C,$A17,'All Transactions'!E:E,"Transport · Food · Misc")</f>
        <v/>
      </c>
      <c r="I17" s="75">
        <f>SUM(B17:H17)</f>
        <v/>
      </c>
      <c r="J17" s="75" t="n"/>
      <c r="K17" s="76" t="n"/>
    </row>
    <row r="18" ht="15.75" customHeight="1" s="99">
      <c r="A18" s="77" t="inlineStr">
        <is>
          <t>Jun-2027</t>
        </is>
      </c>
      <c r="B18" s="78">
        <f>SUMIFS('All Transactions'!O:O,'All Transactions'!C:C,$A18,'All Transactions'!E:E,"Building Materials")</f>
        <v/>
      </c>
      <c r="C18" s="78">
        <f>SUMIFS('All Transactions'!O:O,'All Transactions'!C:C,$A18,'All Transactions'!E:E,"Steel / Iron")</f>
        <v/>
      </c>
      <c r="D18" s="78">
        <f>SUMIFS('All Transactions'!O:O,'All Transactions'!C:C,$A18,'All Transactions'!E:E,"Electrical")</f>
        <v/>
      </c>
      <c r="E18" s="78">
        <f>SUMIFS('All Transactions'!O:O,'All Transactions'!C:C,$A18,'All Transactions'!E:E,"Labour")</f>
        <v/>
      </c>
      <c r="F18" s="78">
        <f>SUMIFS('All Transactions'!O:O,'All Transactions'!C:C,$A18,'All Transactions'!E:E,"Professional Fees")</f>
        <v/>
      </c>
      <c r="G18" s="78">
        <f>SUMIFS('All Transactions'!O:O,'All Transactions'!C:C,$A18,'All Transactions'!E:E,"Land Development")</f>
        <v/>
      </c>
      <c r="H18" s="78">
        <f>SUMIFS('All Transactions'!O:O,'All Transactions'!C:C,$A18,'All Transactions'!E:E,"Transport · Food · Misc")</f>
        <v/>
      </c>
      <c r="I18" s="78">
        <f>SUM(B18:H18)</f>
        <v/>
      </c>
      <c r="J18" s="78" t="n"/>
      <c r="K18" s="79" t="n"/>
    </row>
    <row r="19" ht="15.75" customHeight="1" s="99">
      <c r="A19" s="74" t="inlineStr">
        <is>
          <t>Jul-2027</t>
        </is>
      </c>
      <c r="B19" s="75">
        <f>SUMIFS('All Transactions'!O:O,'All Transactions'!C:C,$A19,'All Transactions'!E:E,"Building Materials")</f>
        <v/>
      </c>
      <c r="C19" s="75">
        <f>SUMIFS('All Transactions'!O:O,'All Transactions'!C:C,$A19,'All Transactions'!E:E,"Steel / Iron")</f>
        <v/>
      </c>
      <c r="D19" s="75">
        <f>SUMIFS('All Transactions'!O:O,'All Transactions'!C:C,$A19,'All Transactions'!E:E,"Electrical")</f>
        <v/>
      </c>
      <c r="E19" s="75">
        <f>SUMIFS('All Transactions'!O:O,'All Transactions'!C:C,$A19,'All Transactions'!E:E,"Labour")</f>
        <v/>
      </c>
      <c r="F19" s="75">
        <f>SUMIFS('All Transactions'!O:O,'All Transactions'!C:C,$A19,'All Transactions'!E:E,"Professional Fees")</f>
        <v/>
      </c>
      <c r="G19" s="75">
        <f>SUMIFS('All Transactions'!O:O,'All Transactions'!C:C,$A19,'All Transactions'!E:E,"Land Development")</f>
        <v/>
      </c>
      <c r="H19" s="75">
        <f>SUMIFS('All Transactions'!O:O,'All Transactions'!C:C,$A19,'All Transactions'!E:E,"Transport · Food · Misc")</f>
        <v/>
      </c>
      <c r="I19" s="75">
        <f>SUM(B19:H19)</f>
        <v/>
      </c>
      <c r="J19" s="75" t="n"/>
      <c r="K19" s="76" t="n"/>
    </row>
    <row r="20" ht="15.75" customHeight="1" s="99">
      <c r="A20" s="77" t="inlineStr">
        <is>
          <t>Aug-2027</t>
        </is>
      </c>
      <c r="B20" s="78">
        <f>SUMIFS('All Transactions'!O:O,'All Transactions'!C:C,$A20,'All Transactions'!E:E,"Building Materials")</f>
        <v/>
      </c>
      <c r="C20" s="78">
        <f>SUMIFS('All Transactions'!O:O,'All Transactions'!C:C,$A20,'All Transactions'!E:E,"Steel / Iron")</f>
        <v/>
      </c>
      <c r="D20" s="78">
        <f>SUMIFS('All Transactions'!O:O,'All Transactions'!C:C,$A20,'All Transactions'!E:E,"Electrical")</f>
        <v/>
      </c>
      <c r="E20" s="78">
        <f>SUMIFS('All Transactions'!O:O,'All Transactions'!C:C,$A20,'All Transactions'!E:E,"Labour")</f>
        <v/>
      </c>
      <c r="F20" s="78">
        <f>SUMIFS('All Transactions'!O:O,'All Transactions'!C:C,$A20,'All Transactions'!E:E,"Professional Fees")</f>
        <v/>
      </c>
      <c r="G20" s="78">
        <f>SUMIFS('All Transactions'!O:O,'All Transactions'!C:C,$A20,'All Transactions'!E:E,"Land Development")</f>
        <v/>
      </c>
      <c r="H20" s="78">
        <f>SUMIFS('All Transactions'!O:O,'All Transactions'!C:C,$A20,'All Transactions'!E:E,"Transport · Food · Misc")</f>
        <v/>
      </c>
      <c r="I20" s="78">
        <f>SUM(B20:H20)</f>
        <v/>
      </c>
      <c r="J20" s="78" t="n"/>
      <c r="K20" s="79" t="n"/>
    </row>
    <row r="21" ht="15.75" customHeight="1" s="99">
      <c r="A21" s="74" t="inlineStr">
        <is>
          <t>Sep-2027</t>
        </is>
      </c>
      <c r="B21" s="75">
        <f>SUMIFS('All Transactions'!O:O,'All Transactions'!C:C,$A21,'All Transactions'!E:E,"Building Materials")</f>
        <v/>
      </c>
      <c r="C21" s="75">
        <f>SUMIFS('All Transactions'!O:O,'All Transactions'!C:C,$A21,'All Transactions'!E:E,"Steel / Iron")</f>
        <v/>
      </c>
      <c r="D21" s="75">
        <f>SUMIFS('All Transactions'!O:O,'All Transactions'!C:C,$A21,'All Transactions'!E:E,"Electrical")</f>
        <v/>
      </c>
      <c r="E21" s="75">
        <f>SUMIFS('All Transactions'!O:O,'All Transactions'!C:C,$A21,'All Transactions'!E:E,"Labour")</f>
        <v/>
      </c>
      <c r="F21" s="75">
        <f>SUMIFS('All Transactions'!O:O,'All Transactions'!C:C,$A21,'All Transactions'!E:E,"Professional Fees")</f>
        <v/>
      </c>
      <c r="G21" s="75">
        <f>SUMIFS('All Transactions'!O:O,'All Transactions'!C:C,$A21,'All Transactions'!E:E,"Land Development")</f>
        <v/>
      </c>
      <c r="H21" s="75">
        <f>SUMIFS('All Transactions'!O:O,'All Transactions'!C:C,$A21,'All Transactions'!E:E,"Transport · Food · Misc")</f>
        <v/>
      </c>
      <c r="I21" s="75">
        <f>SUM(B21:H21)</f>
        <v/>
      </c>
      <c r="J21" s="75" t="n"/>
      <c r="K21" s="76" t="n"/>
    </row>
    <row r="22" ht="15.75" customHeight="1" s="99">
      <c r="A22" s="77" t="inlineStr">
        <is>
          <t>Oct-2027</t>
        </is>
      </c>
      <c r="B22" s="78">
        <f>SUMIFS('All Transactions'!O:O,'All Transactions'!C:C,$A22,'All Transactions'!E:E,"Building Materials")</f>
        <v/>
      </c>
      <c r="C22" s="78">
        <f>SUMIFS('All Transactions'!O:O,'All Transactions'!C:C,$A22,'All Transactions'!E:E,"Steel / Iron")</f>
        <v/>
      </c>
      <c r="D22" s="78">
        <f>SUMIFS('All Transactions'!O:O,'All Transactions'!C:C,$A22,'All Transactions'!E:E,"Electrical")</f>
        <v/>
      </c>
      <c r="E22" s="78">
        <f>SUMIFS('All Transactions'!O:O,'All Transactions'!C:C,$A22,'All Transactions'!E:E,"Labour")</f>
        <v/>
      </c>
      <c r="F22" s="78">
        <f>SUMIFS('All Transactions'!O:O,'All Transactions'!C:C,$A22,'All Transactions'!E:E,"Professional Fees")</f>
        <v/>
      </c>
      <c r="G22" s="78">
        <f>SUMIFS('All Transactions'!O:O,'All Transactions'!C:C,$A22,'All Transactions'!E:E,"Land Development")</f>
        <v/>
      </c>
      <c r="H22" s="78">
        <f>SUMIFS('All Transactions'!O:O,'All Transactions'!C:C,$A22,'All Transactions'!E:E,"Transport · Food · Misc")</f>
        <v/>
      </c>
      <c r="I22" s="78">
        <f>SUM(B22:H22)</f>
        <v/>
      </c>
      <c r="J22" s="78" t="n"/>
      <c r="K22" s="79" t="n"/>
    </row>
    <row r="23" ht="15.75" customHeight="1" s="99">
      <c r="A23" s="74" t="inlineStr">
        <is>
          <t>Nov-2027</t>
        </is>
      </c>
      <c r="B23" s="75">
        <f>SUMIFS('All Transactions'!O:O,'All Transactions'!C:C,$A23,'All Transactions'!E:E,"Building Materials")</f>
        <v/>
      </c>
      <c r="C23" s="75">
        <f>SUMIFS('All Transactions'!O:O,'All Transactions'!C:C,$A23,'All Transactions'!E:E,"Steel / Iron")</f>
        <v/>
      </c>
      <c r="D23" s="75">
        <f>SUMIFS('All Transactions'!O:O,'All Transactions'!C:C,$A23,'All Transactions'!E:E,"Electrical")</f>
        <v/>
      </c>
      <c r="E23" s="75">
        <f>SUMIFS('All Transactions'!O:O,'All Transactions'!C:C,$A23,'All Transactions'!E:E,"Labour")</f>
        <v/>
      </c>
      <c r="F23" s="75">
        <f>SUMIFS('All Transactions'!O:O,'All Transactions'!C:C,$A23,'All Transactions'!E:E,"Professional Fees")</f>
        <v/>
      </c>
      <c r="G23" s="75">
        <f>SUMIFS('All Transactions'!O:O,'All Transactions'!C:C,$A23,'All Transactions'!E:E,"Land Development")</f>
        <v/>
      </c>
      <c r="H23" s="75">
        <f>SUMIFS('All Transactions'!O:O,'All Transactions'!C:C,$A23,'All Transactions'!E:E,"Transport · Food · Misc")</f>
        <v/>
      </c>
      <c r="I23" s="75">
        <f>SUM(B23:H23)</f>
        <v/>
      </c>
      <c r="J23" s="75" t="n"/>
      <c r="K23" s="76" t="n"/>
    </row>
    <row r="24" ht="15.75" customHeight="1" s="99">
      <c r="A24" s="77" t="inlineStr">
        <is>
          <t>Dec-2027</t>
        </is>
      </c>
      <c r="B24" s="78">
        <f>SUMIFS('All Transactions'!O:O,'All Transactions'!C:C,$A24,'All Transactions'!E:E,"Building Materials")</f>
        <v/>
      </c>
      <c r="C24" s="78">
        <f>SUMIFS('All Transactions'!O:O,'All Transactions'!C:C,$A24,'All Transactions'!E:E,"Steel / Iron")</f>
        <v/>
      </c>
      <c r="D24" s="78">
        <f>SUMIFS('All Transactions'!O:O,'All Transactions'!C:C,$A24,'All Transactions'!E:E,"Electrical")</f>
        <v/>
      </c>
      <c r="E24" s="78">
        <f>SUMIFS('All Transactions'!O:O,'All Transactions'!C:C,$A24,'All Transactions'!E:E,"Labour")</f>
        <v/>
      </c>
      <c r="F24" s="78">
        <f>SUMIFS('All Transactions'!O:O,'All Transactions'!C:C,$A24,'All Transactions'!E:E,"Professional Fees")</f>
        <v/>
      </c>
      <c r="G24" s="78">
        <f>SUMIFS('All Transactions'!O:O,'All Transactions'!C:C,$A24,'All Transactions'!E:E,"Land Development")</f>
        <v/>
      </c>
      <c r="H24" s="78">
        <f>SUMIFS('All Transactions'!O:O,'All Transactions'!C:C,$A24,'All Transactions'!E:E,"Transport · Food · Misc")</f>
        <v/>
      </c>
      <c r="I24" s="78">
        <f>SUM(B24:H24)</f>
        <v/>
      </c>
      <c r="J24" s="78" t="n"/>
      <c r="K24" s="79" t="n"/>
    </row>
    <row r="25" ht="15.75" customHeight="1" s="99">
      <c r="A25" s="80" t="inlineStr">
        <is>
          <t>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 t="n"/>
      <c r="K25" s="81" t="n"/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7" t="inlineStr">
        <is>
          <t>Pappu Hardware</t>
        </is>
      </c>
      <c r="B5" s="87">
        <f>COUNTIF('All Transactions'!H:H,A5)</f>
        <v/>
      </c>
      <c r="C5" s="87">
        <f>SUMIF('All Transactions'!H:H,A5,'All Transactions'!O:O)</f>
        <v/>
      </c>
      <c r="D5" s="87">
        <f>SUMIF('Payment Tracker'!D:D,A5,'Payment Tracker'!G:G)</f>
        <v/>
      </c>
      <c r="E5" s="97">
        <f>C5-D5</f>
        <v/>
      </c>
      <c r="F5" s="89">
        <f>IF(E5&gt;0,"⚠️ DUE",IF(E5&lt;0,"🔵 ADV","✅ PAID"))</f>
        <v/>
      </c>
      <c r="G5" s="90" t="n"/>
      <c r="H5" s="77" t="n"/>
      <c r="I5" s="82" t="n"/>
    </row>
    <row r="6" ht="15.75" customHeight="1" s="99">
      <c r="A6" s="77" t="inlineStr">
        <is>
          <t>Econ Builder</t>
        </is>
      </c>
      <c r="B6" s="87">
        <f>COUNTIF('All Transactions'!H:H,A6)</f>
        <v/>
      </c>
      <c r="C6" s="87">
        <f>SUMIF('All Transactions'!H:H,A6,'All Transactions'!O:O)</f>
        <v/>
      </c>
      <c r="D6" s="87">
        <f>SUMIF('Payment Tracker'!D:D,A6,'Payment Tracker'!G:G)</f>
        <v/>
      </c>
      <c r="E6" s="97">
        <f>C6-D6</f>
        <v/>
      </c>
      <c r="F6" s="89">
        <f>IF(E6&gt;0,"⚠️ DUE",IF(E6&lt;0,"🔵 ADV","✅ PAID"))</f>
        <v/>
      </c>
      <c r="G6" s="90" t="n"/>
      <c r="H6" s="77" t="n"/>
      <c r="I6" s="82" t="n"/>
    </row>
    <row r="7" ht="15.75" customHeight="1" s="99">
      <c r="A7" s="77" t="inlineStr">
        <is>
          <t>Brick Company</t>
        </is>
      </c>
      <c r="B7" s="87">
        <f>COUNTIF('All Transactions'!H:H,A7)</f>
        <v/>
      </c>
      <c r="C7" s="87">
        <f>SUMIF('All Transactions'!H:H,A7,'All Transactions'!O:O)</f>
        <v/>
      </c>
      <c r="D7" s="87">
        <f>SUMIF('Payment Tracker'!D:D,A7,'Payment Tracker'!G:G)</f>
        <v/>
      </c>
      <c r="E7" s="97">
        <f>C7-D7</f>
        <v/>
      </c>
      <c r="F7" s="89">
        <f>IF(E7&gt;0,"⚠️ DUE",IF(E7&lt;0,"🔵 ADV","✅ PAID"))</f>
        <v/>
      </c>
      <c r="G7" s="90" t="n"/>
      <c r="H7" s="77" t="n"/>
      <c r="I7" s="82" t="n"/>
    </row>
    <row r="8" ht="15.75" customHeight="1" s="99">
      <c r="A8" s="77" t="inlineStr">
        <is>
          <t>Concrete Supplier</t>
        </is>
      </c>
      <c r="B8" s="87">
        <f>COUNTIF('All Transactions'!H:H,A8)</f>
        <v/>
      </c>
      <c r="C8" s="87">
        <f>SUMIF('All Transactions'!H:H,A8,'All Transactions'!O:O)</f>
        <v/>
      </c>
      <c r="D8" s="87">
        <f>SUMIF('Payment Tracker'!D:D,A8,'Payment Tracker'!G:G)</f>
        <v/>
      </c>
      <c r="E8" s="97">
        <f>C8-D8</f>
        <v/>
      </c>
      <c r="F8" s="89">
        <f>IF(E8&gt;0,"⚠️ DUE",IF(E8&lt;0,"🔵 ADV","✅ PAID"))</f>
        <v/>
      </c>
      <c r="G8" s="90" t="n"/>
      <c r="H8" s="77" t="n"/>
      <c r="I8" s="82" t="n"/>
    </row>
    <row r="9" ht="15.75" customHeight="1" s="99">
      <c r="A9" s="77" t="inlineStr">
        <is>
          <t>Sand Truck Wala</t>
        </is>
      </c>
      <c r="B9" s="87">
        <f>COUNTIF('All Transactions'!H:H,A9)</f>
        <v/>
      </c>
      <c r="C9" s="87">
        <f>SUMIF('All Transactions'!H:H,A9,'All Transactions'!O:O)</f>
        <v/>
      </c>
      <c r="D9" s="87">
        <f>SUMIF('Payment Tracker'!D:D,A9,'Payment Tracker'!G:G)</f>
        <v/>
      </c>
      <c r="E9" s="97">
        <f>C9-D9</f>
        <v/>
      </c>
      <c r="F9" s="89">
        <f>IF(E9&gt;0,"⚠️ DUE",IF(E9&lt;0,"🔵 ADV","✅ PAID"))</f>
        <v/>
      </c>
      <c r="G9" s="90" t="n"/>
      <c r="H9" s="77" t="n"/>
      <c r="I9" s="82" t="n"/>
    </row>
    <row r="10" ht="15.75" customHeight="1" s="99">
      <c r="A10" s="77" t="inlineStr">
        <is>
          <t>Mukesh Yadav</t>
        </is>
      </c>
      <c r="B10" s="87">
        <f>COUNTIF('All Transactions'!H:H,A10)</f>
        <v/>
      </c>
      <c r="C10" s="87">
        <f>SUMIF('All Transactions'!H:H,A10,'All Transactions'!O:O)</f>
        <v/>
      </c>
      <c r="D10" s="87">
        <f>SUMIF('Payment Tracker'!D:D,A10,'Payment Tracker'!G:G)</f>
        <v/>
      </c>
      <c r="E10" s="97">
        <f>C10-D10</f>
        <v/>
      </c>
      <c r="F10" s="89">
        <f>IF(E10&gt;0,"⚠️ DUE",IF(E10&lt;0,"🔵 ADV","✅ PAID"))</f>
        <v/>
      </c>
      <c r="G10" s="90" t="n"/>
      <c r="H10" s="77" t="n"/>
      <c r="I10" s="82" t="n"/>
    </row>
    <row r="11" ht="15.75" customHeight="1" s="99">
      <c r="A11" s="77" t="inlineStr">
        <is>
          <t>Daily Labour</t>
        </is>
      </c>
      <c r="B11" s="87">
        <f>COUNTIF('All Transactions'!H:H,A11)</f>
        <v/>
      </c>
      <c r="C11" s="87">
        <f>SUMIF('All Transactions'!H:H,A11,'All Transactions'!O:O)</f>
        <v/>
      </c>
      <c r="D11" s="87">
        <f>SUMIF('Payment Tracker'!D:D,A11,'Payment Tracker'!G:G)</f>
        <v/>
      </c>
      <c r="E11" s="97">
        <f>C11-D11</f>
        <v/>
      </c>
      <c r="F11" s="89">
        <f>IF(E11&gt;0,"⚠️ DUE",IF(E11&lt;0,"🔵 ADV","✅ PAID"))</f>
        <v/>
      </c>
      <c r="G11" s="90" t="n"/>
      <c r="H11" s="77" t="n"/>
      <c r="I11" s="82" t="n"/>
    </row>
    <row r="12" ht="15.75" customHeight="1" s="99">
      <c r="A12" s="77" t="inlineStr">
        <is>
          <t>Khutauna Chirai mill</t>
        </is>
      </c>
      <c r="B12" s="87">
        <f>COUNTIF('All Transactions'!H:H,A12)</f>
        <v/>
      </c>
      <c r="C12" s="87">
        <f>SUMIF('All Transactions'!H:H,A12,'All Transactions'!O:O)</f>
        <v/>
      </c>
      <c r="D12" s="87">
        <f>SUMIF('Payment Tracker'!D:D,A12,'Payment Tracker'!G:G)</f>
        <v/>
      </c>
      <c r="E12" s="97">
        <f>C12-D12</f>
        <v/>
      </c>
      <c r="F12" s="89">
        <f>IF(E12&gt;0,"⚠️ DUE",IF(E12&lt;0,"🔵 ADV","✅ PAID"))</f>
        <v/>
      </c>
      <c r="G12" s="90" t="n"/>
      <c r="H12" s="77" t="n"/>
      <c r="I12" s="82" t="n"/>
    </row>
    <row r="13" ht="15.75" customHeight="1" s="99">
      <c r="A13" s="77" t="inlineStr">
        <is>
          <t>Local Purchase</t>
        </is>
      </c>
      <c r="B13" s="87">
        <f>COUNTIF('All Transactions'!H:H,A13)</f>
        <v/>
      </c>
      <c r="C13" s="87">
        <f>SUMIF('All Transactions'!H:H,A13,'All Transactions'!O:O)</f>
        <v/>
      </c>
      <c r="D13" s="87">
        <f>SUMIF('Payment Tracker'!D:D,A13,'Payment Tracker'!G:G)</f>
        <v/>
      </c>
      <c r="E13" s="97">
        <f>C13-D13</f>
        <v/>
      </c>
      <c r="F13" s="89">
        <f>IF(E13&gt;0,"⚠️ DUE",IF(E13&lt;0,"🔵 ADV","✅ PAID"))</f>
        <v/>
      </c>
      <c r="G13" s="90" t="n"/>
      <c r="H13" s="77" t="n"/>
      <c r="I13" s="82" t="n"/>
    </row>
    <row r="14" ht="15.75" customHeight="1" s="99">
      <c r="A14" s="77" t="inlineStr">
        <is>
          <t>Mittal Electric</t>
        </is>
      </c>
      <c r="B14" s="87">
        <f>COUNTIF('All Transactions'!H:H,A14)</f>
        <v/>
      </c>
      <c r="C14" s="87">
        <f>SUMIF('All Transactions'!H:H,A14,'All Transactions'!O:O)</f>
        <v/>
      </c>
      <c r="D14" s="87">
        <f>SUMIF('Payment Tracker'!D:D,A14,'Payment Tracker'!G:G)</f>
        <v/>
      </c>
      <c r="E14" s="97">
        <f>C14-D14</f>
        <v/>
      </c>
      <c r="F14" s="89">
        <f>IF(E14&gt;0,"⚠️ DUE",IF(E14&lt;0,"🔵 ADV","✅ PAID"))</f>
        <v/>
      </c>
      <c r="G14" s="90" t="n"/>
      <c r="H14" s="77" t="n"/>
      <c r="I14" s="82" t="n"/>
    </row>
    <row r="15" ht="15.75" customHeight="1" s="99">
      <c r="A15" s="77" t="inlineStr">
        <is>
          <t>Naveen Hardware</t>
        </is>
      </c>
      <c r="B15" s="87">
        <f>COUNTIF('All Transactions'!H:H,A15)</f>
        <v/>
      </c>
      <c r="C15" s="87">
        <f>SUMIF('All Transactions'!H:H,A15,'All Transactions'!O:O)</f>
        <v/>
      </c>
      <c r="D15" s="87">
        <f>SUMIF('Payment Tracker'!D:D,A15,'Payment Tracker'!G:G)</f>
        <v/>
      </c>
      <c r="E15" s="97">
        <f>C15-D15</f>
        <v/>
      </c>
      <c r="F15" s="89">
        <f>IF(E15&gt;0,"⚠️ DUE",IF(E15&lt;0,"🔵 ADV","✅ PAID"))</f>
        <v/>
      </c>
      <c r="G15" s="90" t="n"/>
      <c r="H15" s="77" t="n"/>
      <c r="I15" s="82" t="n"/>
    </row>
    <row r="16" ht="15.75" customHeight="1" s="99">
      <c r="A16" s="77" t="inlineStr">
        <is>
          <t>Sonbhai-Coordinator</t>
        </is>
      </c>
      <c r="B16" s="87">
        <f>COUNTIF('All Transactions'!H:H,A16)</f>
        <v/>
      </c>
      <c r="C16" s="87">
        <f>SUMIF('All Transactions'!H:H,A16,'All Transactions'!O:O)</f>
        <v/>
      </c>
      <c r="D16" s="87">
        <f>SUMIF('Payment Tracker'!D:D,A16,'Payment Tracker'!G:G)</f>
        <v/>
      </c>
      <c r="E16" s="97">
        <f>C16-D16</f>
        <v/>
      </c>
      <c r="F16" s="89">
        <f>IF(E16&gt;0,"⚠️ DUE",IF(E16&lt;0,"🔵 ADV","✅ PAID"))</f>
        <v/>
      </c>
      <c r="G16" s="90" t="n"/>
      <c r="H16" s="77" t="n"/>
      <c r="I16" s="82" t="n"/>
    </row>
    <row r="17" ht="15.75" customHeight="1" s="99">
      <c r="A17" s="77" t="inlineStr">
        <is>
          <t>TOTAL</t>
        </is>
      </c>
      <c r="B17" s="87">
        <f>SUM(B5:B16)</f>
        <v/>
      </c>
      <c r="C17" s="87">
        <f>SUM(C5:C16)</f>
        <v/>
      </c>
      <c r="D17" s="87">
        <f>SUM(D5:D16)</f>
        <v/>
      </c>
      <c r="E17" s="97">
        <f>C17-D17</f>
        <v/>
      </c>
      <c r="F17" s="89" t="n"/>
      <c r="G17" s="90" t="n"/>
      <c r="H17" s="77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2026-10-14T06:30:21Z</dcterms:modified>
  <cp:lastModifiedBy>Avinash Karn</cp:lastModifiedBy>
  <cp:revision>49</cp:revision>
</cp:coreProperties>
</file>