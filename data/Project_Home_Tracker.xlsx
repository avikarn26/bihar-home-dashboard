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56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t="n">
        <v>558</v>
      </c>
      <c r="B564" s="128" t="n">
        <v>46256</v>
      </c>
      <c r="C564">
        <f>IF(B564="","",TEXT(B564,"MMM-YYYY"))</f>
        <v/>
      </c>
      <c r="D564" t="inlineStr">
        <is>
          <t>Plinth Phase</t>
        </is>
      </c>
      <c r="E564" t="inlineStr">
        <is>
          <t>Building Materials</t>
        </is>
      </c>
      <c r="F564" t="inlineStr">
        <is>
          <t>Bricks</t>
        </is>
      </c>
      <c r="G564" t="inlineStr">
        <is>
          <t>Brick delivery — tractor 21-27 (10,500 bricks @ ₹8.5)</t>
        </is>
      </c>
      <c r="H564" t="inlineStr">
        <is>
          <t>Brick Company</t>
        </is>
      </c>
      <c r="I564" t="n">
        <v>10500</v>
      </c>
      <c r="J564" t="inlineStr">
        <is>
          <t>pcs</t>
        </is>
      </c>
      <c r="K564" t="n">
        <v>8.5</v>
      </c>
      <c r="L564">
        <f>I564*K564</f>
        <v/>
      </c>
      <c r="N564">
        <f>M564*L564</f>
        <v/>
      </c>
      <c r="O564">
        <f>IF(L564="","",IF(M564="",L564,L564*(1-M564)))</f>
        <v/>
      </c>
    </row>
    <row r="565">
      <c r="A565" t="n">
        <v>559</v>
      </c>
      <c r="B565" s="128" t="n">
        <v>46258</v>
      </c>
      <c r="C565">
        <f>IF(B565="","",TEXT(B565,"MMM-YYYY"))</f>
        <v/>
      </c>
      <c r="D565" t="inlineStr">
        <is>
          <t>Plinth Phase</t>
        </is>
      </c>
      <c r="E565" t="inlineStr">
        <is>
          <t>Building Materials</t>
        </is>
      </c>
      <c r="F565" t="inlineStr">
        <is>
          <t>Cement</t>
        </is>
      </c>
      <c r="G565" t="inlineStr">
        <is>
          <t>Ultratech Super cement 30 bags @ ₹340</t>
        </is>
      </c>
      <c r="H565" t="inlineStr">
        <is>
          <t>Pappu Hardware</t>
        </is>
      </c>
      <c r="I565" t="n">
        <v>30</v>
      </c>
      <c r="J565" t="inlineStr">
        <is>
          <t>Bag</t>
        </is>
      </c>
      <c r="K565" t="n">
        <v>340</v>
      </c>
      <c r="L565">
        <f>I565*K565</f>
        <v/>
      </c>
      <c r="N565">
        <f>M565*L565</f>
        <v/>
      </c>
      <c r="O565">
        <f>IF(L565="","",IF(M565="",L565,L565*(1-M565)))</f>
        <v/>
      </c>
    </row>
    <row r="566">
      <c r="A566" t="n">
        <v>560</v>
      </c>
      <c r="B566" s="128" t="n">
        <v>46258</v>
      </c>
      <c r="C566">
        <f>IF(B566="","",TEXT(B566,"MMM-YYYY"))</f>
        <v/>
      </c>
      <c r="D566" t="inlineStr">
        <is>
          <t>Plinth Phase</t>
        </is>
      </c>
      <c r="E566" t="inlineStr">
        <is>
          <t>Building Materials</t>
        </is>
      </c>
      <c r="F566" t="inlineStr">
        <is>
          <t>Cement</t>
        </is>
      </c>
      <c r="G566" t="inlineStr">
        <is>
          <t>Ultratech Plain cement 20 bags @ ₹320</t>
        </is>
      </c>
      <c r="H566" t="inlineStr">
        <is>
          <t>Pappu Hardware</t>
        </is>
      </c>
      <c r="I566" t="n">
        <v>20</v>
      </c>
      <c r="J566" t="inlineStr">
        <is>
          <t>Bag</t>
        </is>
      </c>
      <c r="K566" t="n">
        <v>320</v>
      </c>
      <c r="L566">
        <f>I566*K566</f>
        <v/>
      </c>
      <c r="N566">
        <f>M566*L566</f>
        <v/>
      </c>
      <c r="O566">
        <f>IF(L566="","",IF(M566="",L566,L566*(1-M566)))</f>
        <v/>
      </c>
    </row>
    <row r="567">
      <c r="A567" t="n">
        <v>561</v>
      </c>
      <c r="B567" s="128" t="n">
        <v>46258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Labour</t>
        </is>
      </c>
      <c r="H567" t="inlineStr">
        <is>
          <t>Pappu Hardware</t>
        </is>
      </c>
      <c r="I567" t="n">
        <v>1</v>
      </c>
      <c r="J567" t="inlineStr">
        <is>
          <t>Service</t>
        </is>
      </c>
      <c r="K567" t="n">
        <v>500</v>
      </c>
      <c r="L567">
        <f>I567*K567</f>
        <v/>
      </c>
      <c r="N567">
        <f>M567*L567</f>
        <v/>
      </c>
      <c r="O567">
        <f>IF(L567="","",IF(M567="",L567,L567*(1-M567)))</f>
        <v/>
      </c>
    </row>
    <row r="568">
      <c r="A568" t="n">
        <v>562</v>
      </c>
      <c r="B568" s="128" t="n">
        <v>46257</v>
      </c>
      <c r="C568">
        <f>IF(B568="","",TEXT(B568,"MMM-YYYY"))</f>
        <v/>
      </c>
      <c r="D568" t="inlineStr">
        <is>
          <t>Plinth Phase</t>
        </is>
      </c>
      <c r="E568" t="inlineStr">
        <is>
          <t>Building Materials</t>
        </is>
      </c>
      <c r="F568" t="inlineStr">
        <is>
          <t>Bricks</t>
        </is>
      </c>
      <c r="G568" t="inlineStr">
        <is>
          <t>Brick delivery — tractor 28-29 (3,000 bricks @ ₹8.5)</t>
        </is>
      </c>
      <c r="H568" t="inlineStr">
        <is>
          <t>Brick Company</t>
        </is>
      </c>
      <c r="I568" t="n">
        <v>3000</v>
      </c>
      <c r="J568" t="inlineStr">
        <is>
          <t>pcs</t>
        </is>
      </c>
      <c r="K568" t="n">
        <v>8.5</v>
      </c>
      <c r="L568">
        <f>I568*K568</f>
        <v/>
      </c>
      <c r="N568">
        <f>M568*L568</f>
        <v/>
      </c>
      <c r="O568">
        <f>IF(L568="","",IF(M568="",L568,L568*(1-M568)))</f>
        <v/>
      </c>
    </row>
    <row r="569">
      <c r="A569" s="60" t="inlineStr">
        <is>
          <t>TOTALS</t>
        </is>
      </c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1">
        <f>SUM(L5:L568)</f>
        <v/>
      </c>
      <c r="M569" s="60" t="n"/>
      <c r="N569" s="60" t="n"/>
      <c r="O569" s="61">
        <f>SUM(O5:O528)</f>
        <v/>
      </c>
      <c r="P569" s="60" t="n"/>
      <c r="Q56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55</v>
      </c>
      <c r="B59" s="45" t="n">
        <v>46258</v>
      </c>
      <c r="C59" s="47" t="inlineStr">
        <is>
          <t>Self</t>
        </is>
      </c>
      <c r="D59" s="47" t="inlineStr">
        <is>
          <t>Pappu Hardware</t>
        </is>
      </c>
      <c r="E59" s="47" t="inlineStr">
        <is>
          <t>Building Materials + Labour</t>
        </is>
      </c>
      <c r="F59" s="47" t="inlineStr">
        <is>
          <t>Ultratech Super + Plain cement, labour</t>
        </is>
      </c>
      <c r="G59" s="62" t="n">
        <v>17100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2026-08-25T12:54:56Z</dcterms:modified>
  <cp:lastModifiedBy>Avinash Karn</cp:lastModifiedBy>
  <cp:revision>49</cp:revision>
</cp:coreProperties>
</file>