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30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Steel/Iron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Steel/Iron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Steel/Iron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55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55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Miscellaneous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Miscellaneous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Food/Provisions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Miscellaneous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Steel/Iron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Steel/Iron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Steel/Iron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Steel/Iron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Steel/Iron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Transport · Food · Misc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Building Materials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Labour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Steel / Iron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Labour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Steel / Iron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Labour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Labour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Labour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Labour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Labour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Labour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Labour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Labour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Labour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Labour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Steel / Iron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Transport · Food · Misc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Building Materials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Steel / Iron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Labour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Labour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Labour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Labour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Labour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Labour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Steel / Iron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Labour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Steel / Iron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Labour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Labour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Transport · Food · Misc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Labour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Labour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Labour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Labour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Labour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Labour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Labour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Transport · Food · Misc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t="n">
        <v>617</v>
      </c>
      <c r="B609" s="128" t="n">
        <v>46300</v>
      </c>
      <c r="C609">
        <f>IF(B609="","",TEXT(B609,"MMM-YYYY"))</f>
        <v/>
      </c>
      <c r="D609" t="inlineStr">
        <is>
          <t>Plinth Phase</t>
        </is>
      </c>
      <c r="E609" t="inlineStr">
        <is>
          <t>Steel / Iron</t>
        </is>
      </c>
      <c r="F609" t="inlineStr">
        <is>
          <t>Tiscon 16mm</t>
        </is>
      </c>
      <c r="G609" t="inlineStr">
        <is>
          <t>Tiscon 16mm rod 6 pcs</t>
        </is>
      </c>
      <c r="H609" t="inlineStr">
        <is>
          <t>Pappu Hardware</t>
        </is>
      </c>
      <c r="I609" t="n">
        <v>6</v>
      </c>
      <c r="J609" t="inlineStr">
        <is>
          <t>pcs</t>
        </is>
      </c>
      <c r="K609" t="n">
        <v>1459.166666666667</v>
      </c>
      <c r="L609">
        <f>IF(OR(I609="",K609=""),"",I609*K609)</f>
        <v/>
      </c>
      <c r="N609">
        <f>M609*L609</f>
        <v/>
      </c>
      <c r="O609">
        <f>IF(L609="","",IF(M609="",L609,L609*(1-M609)))</f>
        <v/>
      </c>
    </row>
    <row r="610">
      <c r="A610" t="n">
        <v>618</v>
      </c>
      <c r="B610" s="128" t="n">
        <v>46300</v>
      </c>
      <c r="C610">
        <f>IF(B610="","",TEXT(B610,"MMM-YYYY"))</f>
        <v/>
      </c>
      <c r="D610" t="inlineStr">
        <is>
          <t>Plinth Phase</t>
        </is>
      </c>
      <c r="E610" t="inlineStr">
        <is>
          <t>Steel / Iron</t>
        </is>
      </c>
      <c r="F610" t="inlineStr">
        <is>
          <t>Tiscon 12mm</t>
        </is>
      </c>
      <c r="G610" t="inlineStr">
        <is>
          <t>Tiscon 12mm rod 50 pcs</t>
        </is>
      </c>
      <c r="H610" t="inlineStr">
        <is>
          <t>Pappu Hardware</t>
        </is>
      </c>
      <c r="I610" t="n">
        <v>50</v>
      </c>
      <c r="J610" t="inlineStr">
        <is>
          <t>pcs</t>
        </is>
      </c>
      <c r="K610" t="n">
        <v>819.84</v>
      </c>
      <c r="L610">
        <f>IF(OR(I610="",K610=""),"",I610*K610)</f>
        <v/>
      </c>
      <c r="N610">
        <f>M610*L610</f>
        <v/>
      </c>
      <c r="O610">
        <f>IF(L610="","",IF(M610="",L610,L610*(1-M610)))</f>
        <v/>
      </c>
    </row>
    <row r="611">
      <c r="A611" t="n">
        <v>619</v>
      </c>
      <c r="B611" s="128" t="n">
        <v>46300</v>
      </c>
      <c r="C611">
        <f>IF(B611="","",TEXT(B611,"MMM-YYYY"))</f>
        <v/>
      </c>
      <c r="D611" t="inlineStr">
        <is>
          <t>Plinth Phase</t>
        </is>
      </c>
      <c r="E611" t="inlineStr">
        <is>
          <t>Steel / Iron</t>
        </is>
      </c>
      <c r="F611" t="inlineStr">
        <is>
          <t>Tiscon 10mm</t>
        </is>
      </c>
      <c r="G611" t="inlineStr">
        <is>
          <t>Tiscon 10mm rod 260 pcs</t>
        </is>
      </c>
      <c r="H611" t="inlineStr">
        <is>
          <t>Pappu Hardware</t>
        </is>
      </c>
      <c r="I611" t="n">
        <v>260</v>
      </c>
      <c r="J611" t="inlineStr">
        <is>
          <t>pcs</t>
        </is>
      </c>
      <c r="K611" t="n">
        <v>580.8</v>
      </c>
      <c r="L611">
        <f>IF(OR(I611="",K611=""),"",I611*K611)</f>
        <v/>
      </c>
      <c r="N611">
        <f>M611*L611</f>
        <v/>
      </c>
      <c r="O611">
        <f>IF(L611="","",IF(M611="",L611,L611*(1-M611)))</f>
        <v/>
      </c>
    </row>
    <row r="612">
      <c r="A612" t="n">
        <v>620</v>
      </c>
      <c r="B612" s="128" t="n">
        <v>46300</v>
      </c>
      <c r="C612">
        <f>IF(B612="","",TEXT(B612,"MMM-YYYY"))</f>
        <v/>
      </c>
      <c r="D612" t="inlineStr">
        <is>
          <t>Plinth Phase</t>
        </is>
      </c>
      <c r="E612" t="inlineStr">
        <is>
          <t>Steel / Iron</t>
        </is>
      </c>
      <c r="F612" t="inlineStr">
        <is>
          <t>Tiscon 8mm</t>
        </is>
      </c>
      <c r="G612" t="inlineStr">
        <is>
          <t>Tiscon 8mm rod 202 pcs</t>
        </is>
      </c>
      <c r="H612" t="inlineStr">
        <is>
          <t>Pappu Hardware</t>
        </is>
      </c>
      <c r="I612" t="n">
        <v>202</v>
      </c>
      <c r="J612" t="inlineStr">
        <is>
          <t>pcs</t>
        </is>
      </c>
      <c r="K612" t="n">
        <v>380.1584158415841</v>
      </c>
      <c r="L612">
        <f>IF(OR(I612="",K612=""),"",I612*K612)</f>
        <v/>
      </c>
      <c r="N612">
        <f>M612*L612</f>
        <v/>
      </c>
      <c r="O612">
        <f>IF(L612="","",IF(M612="",L612,L612*(1-M612)))</f>
        <v/>
      </c>
    </row>
    <row r="613">
      <c r="A613" t="n">
        <v>621</v>
      </c>
      <c r="B613" s="128" t="n">
        <v>46300</v>
      </c>
      <c r="C613">
        <f>IF(B613="","",TEXT(B613,"MMM-YYYY"))</f>
        <v/>
      </c>
      <c r="D613" t="inlineStr">
        <is>
          <t>Plinth Phase</t>
        </is>
      </c>
      <c r="E613" t="inlineStr">
        <is>
          <t>Steel / Iron</t>
        </is>
      </c>
      <c r="F613" t="inlineStr">
        <is>
          <t>Tiscon 6mm</t>
        </is>
      </c>
      <c r="G613" t="inlineStr">
        <is>
          <t>Tiscon 6mm rod 50 pcs</t>
        </is>
      </c>
      <c r="H613" t="inlineStr">
        <is>
          <t>Pappu Hardware</t>
        </is>
      </c>
      <c r="I613" t="n">
        <v>50</v>
      </c>
      <c r="J613" t="inlineStr">
        <is>
          <t>pcs</t>
        </is>
      </c>
      <c r="K613" t="n">
        <v>233</v>
      </c>
      <c r="L613">
        <f>IF(OR(I613="",K613=""),"",I613*K613)</f>
        <v/>
      </c>
      <c r="N613">
        <f>M613*L613</f>
        <v/>
      </c>
      <c r="O613">
        <f>IF(L613="","",IF(M613="",L613,L613*(1-M613)))</f>
        <v/>
      </c>
    </row>
    <row r="614">
      <c r="A614" t="n">
        <v>622</v>
      </c>
      <c r="B614" s="128" t="n">
        <v>46300</v>
      </c>
      <c r="C614">
        <f>IF(B614="","",TEXT(B614,"MMM-YYYY"))</f>
        <v/>
      </c>
      <c r="D614" t="inlineStr">
        <is>
          <t>Plinth Phase</t>
        </is>
      </c>
      <c r="E614" t="inlineStr">
        <is>
          <t>Building Materials</t>
        </is>
      </c>
      <c r="F614" t="inlineStr">
        <is>
          <t>Binding Wire</t>
        </is>
      </c>
      <c r="G614" t="inlineStr">
        <is>
          <t>Binding wire</t>
        </is>
      </c>
      <c r="H614" t="inlineStr">
        <is>
          <t>Pappu Hardware</t>
        </is>
      </c>
      <c r="I614" t="n">
        <v>1</v>
      </c>
      <c r="J614" t="inlineStr">
        <is>
          <t>Lumpsum</t>
        </is>
      </c>
      <c r="K614" t="n">
        <v>1700</v>
      </c>
      <c r="L614">
        <f>IF(OR(I614="",K614=""),"",I614*K614)</f>
        <v/>
      </c>
      <c r="N614">
        <f>M614*L614</f>
        <v/>
      </c>
      <c r="O614">
        <f>IF(L614="","",IF(M614="",L614,L614*(1-M614)))</f>
        <v/>
      </c>
    </row>
    <row r="615">
      <c r="A615" t="n">
        <v>623</v>
      </c>
      <c r="B615" s="128" t="n">
        <v>46300</v>
      </c>
      <c r="C615">
        <f>IF(B615="","",TEXT(B615,"MMM-YYYY"))</f>
        <v/>
      </c>
      <c r="D615" t="inlineStr">
        <is>
          <t>Plinth Phase</t>
        </is>
      </c>
      <c r="E615" t="inlineStr">
        <is>
          <t>Steel / Iron</t>
        </is>
      </c>
      <c r="F615" t="inlineStr">
        <is>
          <t>Wire</t>
        </is>
      </c>
      <c r="G615" t="inlineStr">
        <is>
          <t>Wire</t>
        </is>
      </c>
      <c r="H615" t="inlineStr">
        <is>
          <t>Pappu Hardware</t>
        </is>
      </c>
      <c r="I615" t="n">
        <v>1</v>
      </c>
      <c r="J615" t="inlineStr">
        <is>
          <t>Lumpsum</t>
        </is>
      </c>
      <c r="K615" t="n">
        <v>3300</v>
      </c>
      <c r="L615">
        <f>IF(OR(I615="",K615=""),"",I615*K615)</f>
        <v/>
      </c>
      <c r="N615">
        <f>M615*L615</f>
        <v/>
      </c>
      <c r="O615">
        <f>IF(L615="","",IF(M615="",L615,L615*(1-M615)))</f>
        <v/>
      </c>
    </row>
    <row r="616">
      <c r="A616" t="n">
        <v>624</v>
      </c>
      <c r="B616" s="128" t="n">
        <v>46300</v>
      </c>
      <c r="C616">
        <f>IF(B616="","",TEXT(B616,"MMM-YYYY"))</f>
        <v/>
      </c>
      <c r="D616" t="inlineStr">
        <is>
          <t>Plinth Phase</t>
        </is>
      </c>
      <c r="E616" t="inlineStr">
        <is>
          <t>Labour</t>
        </is>
      </c>
      <c r="F616" t="inlineStr">
        <is>
          <t>Site Labour</t>
        </is>
      </c>
      <c r="G616" t="inlineStr">
        <is>
          <t>Labour</t>
        </is>
      </c>
      <c r="H616" t="inlineStr">
        <is>
          <t>Pappu Hardware</t>
        </is>
      </c>
      <c r="I616" t="n">
        <v>1</v>
      </c>
      <c r="J616" t="inlineStr">
        <is>
          <t>Lumpsum</t>
        </is>
      </c>
      <c r="K616" t="n">
        <v>900</v>
      </c>
      <c r="L616">
        <f>IF(OR(I616="",K616=""),"",I616*K616)</f>
        <v/>
      </c>
      <c r="N616">
        <f>M616*L616</f>
        <v/>
      </c>
      <c r="O616">
        <f>IF(L616="","",IF(M616="",L616,L616*(1-M616)))</f>
        <v/>
      </c>
    </row>
    <row r="617">
      <c r="A617" t="n">
        <v>625</v>
      </c>
      <c r="B617" s="128" t="n">
        <v>46300</v>
      </c>
      <c r="C617">
        <f>IF(B617="","",TEXT(B617,"MMM-YYYY"))</f>
        <v/>
      </c>
      <c r="D617" t="inlineStr">
        <is>
          <t>Plinth Phase</t>
        </is>
      </c>
      <c r="E617" t="inlineStr">
        <is>
          <t>Steel / Iron</t>
        </is>
      </c>
      <c r="F617" t="inlineStr">
        <is>
          <t>Tiscon 8mm</t>
        </is>
      </c>
      <c r="G617" t="inlineStr">
        <is>
          <t>Tiscon 8mm rod 60 pcs</t>
        </is>
      </c>
      <c r="H617" t="inlineStr">
        <is>
          <t>Pappu Hardware</t>
        </is>
      </c>
      <c r="I617" t="n">
        <v>60</v>
      </c>
      <c r="J617" t="inlineStr">
        <is>
          <t>pcs</t>
        </is>
      </c>
      <c r="K617" t="n">
        <v>391.6833333333333</v>
      </c>
      <c r="L617">
        <f>IF(OR(I617="",K617=""),"",I617*K617)</f>
        <v/>
      </c>
      <c r="N617">
        <f>M617*L617</f>
        <v/>
      </c>
      <c r="O617">
        <f>IF(L617="","",IF(M617="",L617,L617*(1-M617)))</f>
        <v/>
      </c>
    </row>
    <row r="618">
      <c r="A618" t="n">
        <v>626</v>
      </c>
      <c r="B618" s="128" t="n">
        <v>46300</v>
      </c>
      <c r="C618">
        <f>IF(B618="","",TEXT(B618,"MMM-YYYY"))</f>
        <v/>
      </c>
      <c r="D618" t="inlineStr">
        <is>
          <t>Plinth Phase</t>
        </is>
      </c>
      <c r="E618" t="inlineStr">
        <is>
          <t>Labour</t>
        </is>
      </c>
      <c r="F618" t="inlineStr">
        <is>
          <t>Site Labour</t>
        </is>
      </c>
      <c r="G618" t="inlineStr">
        <is>
          <t>Labour</t>
        </is>
      </c>
      <c r="H618" t="inlineStr">
        <is>
          <t>Pappu Hardware</t>
        </is>
      </c>
      <c r="I618" t="n">
        <v>1</v>
      </c>
      <c r="J618" t="inlineStr">
        <is>
          <t>Lumpsum</t>
        </is>
      </c>
      <c r="K618" t="n">
        <v>350</v>
      </c>
      <c r="L618">
        <f>IF(OR(I618="",K618=""),"",I618*K618)</f>
        <v/>
      </c>
      <c r="N618">
        <f>M618*L618</f>
        <v/>
      </c>
      <c r="O618">
        <f>IF(L618="","",IF(M618="",L618,L618*(1-M618)))</f>
        <v/>
      </c>
    </row>
    <row r="619">
      <c r="A619" t="n">
        <v>627</v>
      </c>
      <c r="B619" s="128" t="n">
        <v>46300</v>
      </c>
      <c r="C619">
        <f>IF(B619="","",TEXT(B619,"MMM-YYYY"))</f>
        <v/>
      </c>
      <c r="D619" t="inlineStr">
        <is>
          <t>Plinth Phase</t>
        </is>
      </c>
      <c r="E619" t="inlineStr">
        <is>
          <t>Steel / Iron</t>
        </is>
      </c>
      <c r="F619" t="inlineStr">
        <is>
          <t>Tiscon 6mm</t>
        </is>
      </c>
      <c r="G619" t="inlineStr">
        <is>
          <t>Tiscon 6mm rod 24 pcs</t>
        </is>
      </c>
      <c r="H619" t="inlineStr">
        <is>
          <t>Pappu Hardware</t>
        </is>
      </c>
      <c r="I619" t="n">
        <v>24</v>
      </c>
      <c r="J619" t="inlineStr">
        <is>
          <t>pcs</t>
        </is>
      </c>
      <c r="K619" t="n">
        <v>240</v>
      </c>
      <c r="L619">
        <f>IF(OR(I619="",K619=""),"",I619*K619)</f>
        <v/>
      </c>
      <c r="N619">
        <f>M619*L619</f>
        <v/>
      </c>
      <c r="O619">
        <f>IF(L619="","",IF(M619="",L619,L619*(1-M619)))</f>
        <v/>
      </c>
    </row>
    <row r="620">
      <c r="A620" t="n">
        <v>628</v>
      </c>
      <c r="B620" s="128" t="n">
        <v>46300</v>
      </c>
      <c r="C620">
        <f>IF(B620="","",TEXT(B620,"MMM-YYYY"))</f>
        <v/>
      </c>
      <c r="D620" t="inlineStr">
        <is>
          <t>Plinth Phase</t>
        </is>
      </c>
      <c r="E620" t="inlineStr">
        <is>
          <t>Labour</t>
        </is>
      </c>
      <c r="F620" t="inlineStr">
        <is>
          <t>Site Labour</t>
        </is>
      </c>
      <c r="G620" t="inlineStr">
        <is>
          <t>Labour</t>
        </is>
      </c>
      <c r="H620" t="inlineStr">
        <is>
          <t>Pappu Hardware</t>
        </is>
      </c>
      <c r="I620" t="n">
        <v>1</v>
      </c>
      <c r="J620" t="inlineStr">
        <is>
          <t>Lumpsum</t>
        </is>
      </c>
      <c r="K620" t="n">
        <v>340</v>
      </c>
      <c r="L620">
        <f>IF(OR(I620="",K620=""),"",I620*K620)</f>
        <v/>
      </c>
      <c r="N620">
        <f>M620*L620</f>
        <v/>
      </c>
      <c r="O620">
        <f>IF(L620="","",IF(M620="",L620,L620*(1-M620)))</f>
        <v/>
      </c>
    </row>
    <row r="621">
      <c r="A621" t="n">
        <v>629</v>
      </c>
      <c r="B621" s="128" t="n">
        <v>46300</v>
      </c>
      <c r="C621">
        <f>IF(B621="","",TEXT(B621,"MMM-YYYY"))</f>
        <v/>
      </c>
      <c r="D621" t="inlineStr">
        <is>
          <t>Plinth Phase</t>
        </is>
      </c>
      <c r="E621" t="inlineStr">
        <is>
          <t>Steel / Iron</t>
        </is>
      </c>
      <c r="F621" t="inlineStr">
        <is>
          <t>Tiscon 6mm</t>
        </is>
      </c>
      <c r="G621" t="inlineStr">
        <is>
          <t>Tiscon 6mm rod 48 pcs</t>
        </is>
      </c>
      <c r="H621" t="inlineStr">
        <is>
          <t>Pappu Hardware</t>
        </is>
      </c>
      <c r="I621" t="n">
        <v>48</v>
      </c>
      <c r="J621" t="inlineStr">
        <is>
          <t>pcs</t>
        </is>
      </c>
      <c r="K621" t="n">
        <v>240</v>
      </c>
      <c r="L621">
        <f>IF(OR(I621="",K621=""),"",I621*K621)</f>
        <v/>
      </c>
      <c r="N621">
        <f>M621*L621</f>
        <v/>
      </c>
      <c r="O621">
        <f>IF(L621="","",IF(M621="",L621,L621*(1-M621)))</f>
        <v/>
      </c>
    </row>
    <row r="622">
      <c r="A622" t="n">
        <v>630</v>
      </c>
      <c r="B622" s="128" t="n">
        <v>46300</v>
      </c>
      <c r="C622">
        <f>IF(B622="","",TEXT(B622,"MMM-YYYY"))</f>
        <v/>
      </c>
      <c r="D622" t="inlineStr">
        <is>
          <t>Plinth Phase</t>
        </is>
      </c>
      <c r="E622" t="inlineStr">
        <is>
          <t>Steel / Iron</t>
        </is>
      </c>
      <c r="F622" t="inlineStr">
        <is>
          <t>Tiscon 12mm</t>
        </is>
      </c>
      <c r="G622" t="inlineStr">
        <is>
          <t>Tiscon 12mm rod 6 pcs</t>
        </is>
      </c>
      <c r="H622" t="inlineStr">
        <is>
          <t>Pappu Hardware</t>
        </is>
      </c>
      <c r="I622" t="n">
        <v>6</v>
      </c>
      <c r="J622" t="inlineStr">
        <is>
          <t>pcs</t>
        </is>
      </c>
      <c r="K622" t="n">
        <v>866</v>
      </c>
      <c r="L622">
        <f>IF(OR(I622="",K622=""),"",I622*K622)</f>
        <v/>
      </c>
      <c r="N622">
        <f>M622*L622</f>
        <v/>
      </c>
      <c r="O622">
        <f>IF(L622="","",IF(M622="",L622,L622*(1-M622)))</f>
        <v/>
      </c>
    </row>
    <row r="623">
      <c r="A623" t="n">
        <v>631</v>
      </c>
      <c r="B623" s="128" t="n">
        <v>46300</v>
      </c>
      <c r="C623">
        <f>IF(B623="","",TEXT(B623,"MMM-YYYY"))</f>
        <v/>
      </c>
      <c r="D623" t="inlineStr">
        <is>
          <t>Plinth Phase</t>
        </is>
      </c>
      <c r="E623" t="inlineStr">
        <is>
          <t>Labour</t>
        </is>
      </c>
      <c r="F623" t="inlineStr">
        <is>
          <t>Site Labour</t>
        </is>
      </c>
      <c r="G623" t="inlineStr">
        <is>
          <t>Labour</t>
        </is>
      </c>
      <c r="H623" t="inlineStr">
        <is>
          <t>Pappu Hardware</t>
        </is>
      </c>
      <c r="I623" t="n">
        <v>1</v>
      </c>
      <c r="J623" t="inlineStr">
        <is>
          <t>Lumpsum</t>
        </is>
      </c>
      <c r="K623" t="n">
        <v>350</v>
      </c>
      <c r="L623">
        <f>IF(OR(I623="",K623=""),"",I623*K623)</f>
        <v/>
      </c>
      <c r="N623">
        <f>M623*L623</f>
        <v/>
      </c>
      <c r="O623">
        <f>IF(L623="","",IF(M623="",L623,L623*(1-M623)))</f>
        <v/>
      </c>
    </row>
    <row r="624">
      <c r="A624" t="n">
        <v>632</v>
      </c>
      <c r="B624" s="128" t="n">
        <v>46300</v>
      </c>
      <c r="C624">
        <f>IF(B624="","",TEXT(B624,"MMM-YYYY"))</f>
        <v/>
      </c>
      <c r="D624" t="inlineStr">
        <is>
          <t>Plinth Phase</t>
        </is>
      </c>
      <c r="E624" t="inlineStr">
        <is>
          <t>Transport · Food · Misc</t>
        </is>
      </c>
      <c r="F624" t="inlineStr">
        <is>
          <t>Misc Expense</t>
        </is>
      </c>
      <c r="G624" t="inlineStr">
        <is>
          <t>Misc</t>
        </is>
      </c>
      <c r="H624" t="inlineStr">
        <is>
          <t>Pappu Hardware</t>
        </is>
      </c>
      <c r="I624" t="n">
        <v>1</v>
      </c>
      <c r="J624" t="inlineStr">
        <is>
          <t>Lumpsum</t>
        </is>
      </c>
      <c r="K624" t="n">
        <v>1170</v>
      </c>
      <c r="L624">
        <f>IF(OR(I624="",K624=""),"",I624*K624)</f>
        <v/>
      </c>
      <c r="N624">
        <f>M624*L624</f>
        <v/>
      </c>
      <c r="O624">
        <f>IF(L624="","",IF(M624="",L624,L624*(1-M624)))</f>
        <v/>
      </c>
    </row>
    <row r="625">
      <c r="A625" t="n">
        <v>633</v>
      </c>
      <c r="B625" s="128" t="n">
        <v>46300</v>
      </c>
      <c r="C625">
        <f>IF(B625="","",TEXT(B625,"MMM-YYYY"))</f>
        <v/>
      </c>
      <c r="D625" t="inlineStr">
        <is>
          <t>Plinth Phase</t>
        </is>
      </c>
      <c r="E625" t="inlineStr">
        <is>
          <t>Steel / Iron</t>
        </is>
      </c>
      <c r="F625" t="inlineStr">
        <is>
          <t>Rings</t>
        </is>
      </c>
      <c r="G625" t="inlineStr">
        <is>
          <t>Rings (stirrups)</t>
        </is>
      </c>
      <c r="H625" t="inlineStr">
        <is>
          <t>Pappu Hardware</t>
        </is>
      </c>
      <c r="I625" t="n">
        <v>1</v>
      </c>
      <c r="J625" t="inlineStr">
        <is>
          <t>Lumpsum</t>
        </is>
      </c>
      <c r="K625" t="n">
        <v>4040</v>
      </c>
      <c r="L625">
        <f>IF(OR(I625="",K625=""),"",I625*K625)</f>
        <v/>
      </c>
      <c r="N625">
        <f>M625*L625</f>
        <v/>
      </c>
      <c r="O625">
        <f>IF(L625="","",IF(M625="",L625,L625*(1-M625)))</f>
        <v/>
      </c>
    </row>
    <row r="626">
      <c r="A626" t="n">
        <v>634</v>
      </c>
      <c r="B626" s="128" t="n">
        <v>46300</v>
      </c>
      <c r="C626">
        <f>IF(B626="","",TEXT(B626,"MMM-YYYY"))</f>
        <v/>
      </c>
      <c r="D626" t="inlineStr">
        <is>
          <t>Plinth Phase</t>
        </is>
      </c>
      <c r="E626" t="inlineStr">
        <is>
          <t>Building Materials</t>
        </is>
      </c>
      <c r="F626" t="inlineStr">
        <is>
          <t>Cement</t>
        </is>
      </c>
      <c r="G626" t="inlineStr">
        <is>
          <t>Ultratech Weatherplus cement 300 bags @ ₹370</t>
        </is>
      </c>
      <c r="H626" t="inlineStr">
        <is>
          <t>Pappu Hardware</t>
        </is>
      </c>
      <c r="I626" t="n">
        <v>300</v>
      </c>
      <c r="J626" t="inlineStr">
        <is>
          <t>Bag</t>
        </is>
      </c>
      <c r="K626" t="n">
        <v>370</v>
      </c>
      <c r="L626">
        <f>IF(OR(I626="",K626=""),"",I626*K626)</f>
        <v/>
      </c>
      <c r="N626">
        <f>M626*L626</f>
        <v/>
      </c>
      <c r="O626">
        <f>IF(L626="","",IF(M626="",L626,L626*(1-M626)))</f>
        <v/>
      </c>
    </row>
    <row r="627">
      <c r="A627" t="n">
        <v>635</v>
      </c>
      <c r="B627" s="128" t="n">
        <v>46300</v>
      </c>
      <c r="C627">
        <f>IF(B627="","",TEXT(B627,"MMM-YYYY"))</f>
        <v/>
      </c>
      <c r="D627" t="inlineStr">
        <is>
          <t>Plinth Phase</t>
        </is>
      </c>
      <c r="E627" t="inlineStr">
        <is>
          <t>Labour</t>
        </is>
      </c>
      <c r="F627" t="inlineStr">
        <is>
          <t>Site Labour</t>
        </is>
      </c>
      <c r="G627" t="inlineStr">
        <is>
          <t>Labour</t>
        </is>
      </c>
      <c r="H627" t="inlineStr">
        <is>
          <t>Pappu Hardware</t>
        </is>
      </c>
      <c r="I627" t="n">
        <v>1</v>
      </c>
      <c r="J627" t="inlineStr">
        <is>
          <t>Lumpsum</t>
        </is>
      </c>
      <c r="K627" t="n">
        <v>900</v>
      </c>
      <c r="L627">
        <f>IF(OR(I627="",K627=""),"",I627*K627)</f>
        <v/>
      </c>
      <c r="N627">
        <f>M627*L627</f>
        <v/>
      </c>
      <c r="O627">
        <f>IF(L627="","",IF(M627="",L627,L627*(1-M627)))</f>
        <v/>
      </c>
    </row>
    <row r="628">
      <c r="A628" t="n">
        <v>636</v>
      </c>
      <c r="B628" s="128" t="n">
        <v>46300</v>
      </c>
      <c r="C628">
        <f>IF(B628="","",TEXT(B628,"MMM-YYYY"))</f>
        <v/>
      </c>
      <c r="D628" t="inlineStr">
        <is>
          <t>Plinth Phase</t>
        </is>
      </c>
      <c r="E628" t="inlineStr">
        <is>
          <t>Transport · Food · Misc</t>
        </is>
      </c>
      <c r="F628" t="inlineStr">
        <is>
          <t>Misc Expense</t>
        </is>
      </c>
      <c r="G628" t="inlineStr">
        <is>
          <t>Misc</t>
        </is>
      </c>
      <c r="H628" t="inlineStr">
        <is>
          <t>Pappu Hardware</t>
        </is>
      </c>
      <c r="I628" t="n">
        <v>1</v>
      </c>
      <c r="J628" t="inlineStr">
        <is>
          <t>Lumpsum</t>
        </is>
      </c>
      <c r="K628" t="n">
        <v>1200</v>
      </c>
      <c r="L628">
        <f>IF(OR(I628="",K628=""),"",I628*K628)</f>
        <v/>
      </c>
      <c r="N628">
        <f>M628*L628</f>
        <v/>
      </c>
      <c r="O628">
        <f>IF(L628="","",IF(M628="",L628,L628*(1-M628)))</f>
        <v/>
      </c>
    </row>
    <row r="629">
      <c r="A629" t="n">
        <v>637</v>
      </c>
      <c r="B629" s="128" t="n">
        <v>46300</v>
      </c>
      <c r="C629">
        <f>IF(B629="","",TEXT(B629,"MMM-YYYY"))</f>
        <v/>
      </c>
      <c r="D629" t="inlineStr">
        <is>
          <t>Plinth Phase</t>
        </is>
      </c>
      <c r="E629" t="inlineStr">
        <is>
          <t>Building Materials</t>
        </is>
      </c>
      <c r="F629" t="inlineStr">
        <is>
          <t>Dr Fixit</t>
        </is>
      </c>
      <c r="G629" t="inlineStr">
        <is>
          <t>Dr Fixit 40 litres</t>
        </is>
      </c>
      <c r="H629" t="inlineStr">
        <is>
          <t>Pappu Hardware</t>
        </is>
      </c>
      <c r="I629" t="n">
        <v>40</v>
      </c>
      <c r="J629" t="inlineStr">
        <is>
          <t>Litres</t>
        </is>
      </c>
      <c r="K629" t="n">
        <v>140</v>
      </c>
      <c r="L629">
        <f>IF(OR(I629="",K629=""),"",I629*K629)</f>
        <v/>
      </c>
      <c r="N629">
        <f>M629*L629</f>
        <v/>
      </c>
      <c r="O629">
        <f>IF(L629="","",IF(M629="",L629,L629*(1-M629)))</f>
        <v/>
      </c>
    </row>
    <row r="630">
      <c r="A630" s="60" t="inlineStr">
        <is>
          <t>TOTALS</t>
        </is>
      </c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1">
        <f>SUM(L5:L629)</f>
        <v/>
      </c>
      <c r="M630" s="60" t="n"/>
      <c r="N630" s="60" t="n"/>
      <c r="O630" s="61">
        <f>SUM(O5:O528)</f>
        <v/>
      </c>
      <c r="P630" s="60" t="n"/>
      <c r="Q630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IF(G7="","",IF(L6="",G7,L6+G7))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IF(G8="","",IF(L7="",G8,L7+G8))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IF(G9="","",IF(L8="",G9,L8+G9))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IF(G10="","",IF(L9="",G10,L9+G10))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IF(G11="","",IF(L10="",G11,L10+G11))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IF(G12="","",IF(L11="",G12,L11+G12))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IF(G13="","",IF(L12="",G13,L12+G13))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IF(G14="","",IF(L13="",G14,L13+G14))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IF(G16="","",IF(L15="",G16,L15+G16))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IF(G17="","",IF(L16="",G17,L16+G17))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IF(G18="","",IF(L17="",G18,L17+G18))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IF(G19="","",IF(L18="",G19,L18+G19))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IF(G20="","",IF(L19="",G20,L19+G20))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IF(G21="","",IF(L20="",G21,L20+G21))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IF(G22="","",IF(L21="",G22,L21+G22))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IF(G24="","",IF(L23="",G24,L23+G24))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IF(G25="","",IF(L24="",G25,L24+G25))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IF(G26="","",IF(L25="",G26,L25+G26))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IF(G27="","",IF(L26="",G27,L26+G27))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IF(G28="","",IF(L27="",G28,L27+G28))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IF(G29="","",IF(L28="",G29,L28+G29))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L29+G30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L30+G31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L31+G32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L32+G33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L33+G34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L35+G36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L36+G37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L37+G38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L38+G39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L39+G40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L41+G42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 t="n"/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 t="n"/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 t="n"/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 t="n"/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 t="n"/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 t="n"/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 t="n"/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 t="n"/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 t="n"/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 t="n"/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 t="n"/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 t="n"/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 t="n"/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 t="n"/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 t="n"/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 t="n"/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 t="n"/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 t="n"/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 t="n"/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 t="n"/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 t="n"/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 t="n"/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 t="n"/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 t="n"/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 t="n"/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 t="n"/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 t="n"/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 t="n"/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 t="n"/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 t="n"/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 t="n"/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 t="n"/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 t="n"/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 t="n"/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 t="n"/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 t="n"/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 t="n"/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 t="n"/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IF(G100="","",IF(L99="",G100,L99+G100))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IF(G101="","",IF(L100="",G101,L100+G101))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IF(G102="","",IF(L101="",G102,L101+G102))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IF(G103="","",IF(L102="",G103,L102+G103))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IF(G104="","",IF(L103="",G104,L103+G104))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IF(G105="","",IF(L104="",G105,L104+G105))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IF(G106="","",IF(L105="",G106,L105+G106))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IF(G107="","",IF(L106="",G107,L106+G107))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IF(G108="","",IF(L107="",G108,L107+G108))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IF(G109="","",IF(L108="",G109,L108+G109))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IF(G110="","",IF(L109="",G110,L109+G110))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IF(G111="","",IF(L110="",G111,L110+G111))</f>
        <v/>
      </c>
      <c r="M101" s="47" t="n"/>
    </row>
    <row r="102" ht="15.75" customHeight="1" s="99">
      <c r="A102" s="43" t="n">
        <v>108</v>
      </c>
      <c r="B102" s="53" t="n">
        <v>46300</v>
      </c>
      <c r="C102" s="55" t="inlineStr">
        <is>
          <t>Self</t>
        </is>
      </c>
      <c r="D102" s="55" t="inlineStr">
        <is>
          <t>Pappu Hardware</t>
        </is>
      </c>
      <c r="E102" s="55" t="inlineStr">
        <is>
          <t>Steel / Iron + Cement + Building Materials</t>
        </is>
      </c>
      <c r="F102" s="55" t="inlineStr">
        <is>
          <t>Part payment against 5-Oct bill (₹4,66,024)</t>
        </is>
      </c>
      <c r="G102" s="63" t="n">
        <v>450000</v>
      </c>
      <c r="H102" s="55" t="inlineStr">
        <is>
          <t>Cash</t>
        </is>
      </c>
      <c r="I102" s="55" t="n"/>
      <c r="J102" s="55" t="n"/>
      <c r="K102" s="55" t="inlineStr">
        <is>
          <t>Y</t>
        </is>
      </c>
      <c r="L102" s="58">
        <f>IF(G112="","",IF(L111="",G112,L111+G112))</f>
        <v/>
      </c>
      <c r="M102" s="55" t="n"/>
    </row>
    <row r="103" ht="15.75" customHeight="1" s="99">
      <c r="A103" s="41" t="n">
        <v>109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IF(G113="","",IF(L112="",G113,L112+G113))</f>
        <v/>
      </c>
      <c r="M103" s="47" t="n"/>
    </row>
    <row r="104" ht="15.75" customHeight="1" s="99">
      <c r="A104" s="43" t="n">
        <v>110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IF(G114="","",IF(L113="",G114,L113+G114))</f>
        <v/>
      </c>
      <c r="M104" s="55" t="n"/>
    </row>
    <row r="105" ht="15.75" customHeight="1" s="99">
      <c r="A105" s="41" t="n">
        <v>111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IF(G115="","",IF(L114="",G115,L114+G115))</f>
        <v/>
      </c>
      <c r="M105" s="47" t="n"/>
    </row>
    <row r="106" ht="15.75" customHeight="1" s="99">
      <c r="A106" s="43" t="n">
        <v>112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IF(G116="","",IF(L115="",G116,L115+G116))</f>
        <v/>
      </c>
      <c r="M106" s="55" t="n"/>
    </row>
    <row r="107" ht="15.75" customHeight="1" s="99">
      <c r="A107" s="41" t="n">
        <v>113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IF(G117="","",IF(L116="",G117,L116+G117))</f>
        <v/>
      </c>
      <c r="M107" s="47" t="n"/>
    </row>
    <row r="108" ht="15.75" customHeight="1" s="99">
      <c r="A108" s="43" t="n">
        <v>114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IF(G118="","",IF(L117="",G118,L117+G118))</f>
        <v/>
      </c>
      <c r="M108" s="55" t="n"/>
    </row>
    <row r="109" ht="15.75" customHeight="1" s="99">
      <c r="A109" s="41" t="n">
        <v>115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IF(G119="","",IF(L118="",G119,L118+G119))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IF(G120="","",IF(L119="",G120,L119+G120))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IF(G121="","",IF(L120="",G121,L120+G121))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IF(G122="","",IF(L121="",G122,L121+G122))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IF(G123="","",IF(L122="",G123,L122+G123))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IF(G124="","",IF(L123="",G124,L123+G124))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IF(G125="","",IF(L124="",G125,L124+G125))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IF(G126="","",IF(L125="",G126,L125+G126))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IF(G127="","",IF(L126="",G127,L126+G127))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IF(G128="","",IF(L127="",G128,L127+G128))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IF(G129="","",IF(L128="",G129,L128+G129))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IF(G130="","",IF(L129="",G130,L129+G130))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IF(G131="","",IF(L130="",G131,L130+G131))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IF(G132="","",IF(L131="",G132,L131+G132))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IF(G133="","",IF(L132="",G133,L132+G133))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IF(G134="","",IF(L133="",G134,L133+G134))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IF(G135="","",IF(L134="",G135,L134+G135))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IF(G136="","",IF(L135="",G136,L135+G136))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IF(G137="","",IF(L136="",G137,L136+G137))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IF(G138="","",IF(L137="",G138,L137+G138))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IF(G139="","",IF(L138="",G139,L138+G139))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IF(G140="","",IF(L139="",G140,L139+G140))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IF(G141="","",IF(L140="",G141,L140+G141))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IF(G142="","",IF(L141="",G142,L141+G142))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IF(G143="","",IF(L142="",G143,L142+G143))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IF(G144="","",IF(L143="",G144,L143+G144))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IF(G145="","",IF(L144="",G145,L144+G145))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IF(G146="","",IF(L145="",G146,L145+G146))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IF(G147="","",IF(L146="",G147,L146+G147))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IF(G148="","",IF(L147="",G148,L147+G148))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IF(G149="","",IF(L148="",G149,L148+G149))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IF(G150="","",IF(L149="",G150,L149+G150))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IF(G151="","",IF(L150="",G151,L150+G151))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IF(G152="","",IF(L151="",G152,L151+G152))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IF(G153="","",IF(L152="",G153,L152+G153))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IF(G154="","",IF(L153="",G154,L153+G154))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IF(G155="","",IF(L154="",G155,L154+G155))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IF(G156="","",IF(L155="",G156,L155+G156))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IF(G157="","",IF(L156="",G157,L156+G157))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IF(G158="","",IF(L157="",G158,L157+G158))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IF(G159="","",IF(L158="",G159,L158+G159))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IF(G160="","",IF(L159="",G160,L159+G160))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IF(G161="","",IF(L160="",G161,L160+G161))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IF(G162="","",IF(L161="",G162,L161+G162))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IF(G163="","",IF(L162="",G163,L162+G163))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IF(G164="","",IF(L163="",G164,L163+G164))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IF(G165="","",IF(L164="",G165,L164+G165))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IF(G166="","",IF(L165="",G166,L165+G166))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IF(G167="","",IF(L166="",G167,L166+G167))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IF(G168="","",IF(L167="",G168,L167+G168))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IF(G169="","",IF(L168="",G169,L168+G169))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IF(G170="","",IF(L169="",G170,L169+G170))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IF(G171="","",IF(L170="",G171,L170+G171))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IF(G172="","",IF(L171="",G172,L171+G172))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IF(G173="","",IF(L172="",G173,L172+G173))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IF(G174="","",IF(L173="",G174,L173+G174))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IF(G175="","",IF(L174="",G175,L174+G175))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IF(G176="","",IF(L175="",G176,L175+G176))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IF(G177="","",IF(L176="",G177,L176+G177))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IF(G178="","",IF(L177="",G178,L177+G178))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IF(G179="","",IF(L178="",G179,L178+G179))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IF(G180="","",IF(L179="",G180,L179+G180))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IF(G181="","",IF(L180="",G181,L180+G181))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IF(G182="","",IF(L181="",G182,L181+G182))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IF(G183="","",IF(L182="",G183,L182+G183))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IF(G184="","",IF(L183="",G184,L183+G184))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IF(G185="","",IF(L184="",G185,L184+G185))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IF(G186="","",IF(L185="",G186,L185+G186))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IF(G187="","",IF(L186="",G187,L186+G187))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IF(G188="","",IF(L187="",G188,L187+G188))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IF(G189="","",IF(L188="",G189,L188+G189))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IF(G190="","",IF(L189="",G190,L189+G190))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IF(G191="","",IF(L190="",G191,L190+G191))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IF(G192="","",IF(L191="",G192,L191+G192))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IF(G193="","",IF(L192="",G193,L192+G193))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IF(G194="","",IF(L193="",G194,L193+G194))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IF(G195="","",IF(L194="",G195,L194+G195))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IF(G196="","",IF(L195="",G196,L195+G196))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IF(G197="","",IF(L196="",G197,L196+G197))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IF(G198="","",IF(L197="",G198,L197+G198))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IF(G199="","",IF(L198="",G199,L198+G199))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IF(G200="","",IF(L199="",G200,L199+G200))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IF(G201="","",IF(L200="",G201,L200+G201))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IF(G202="","",IF(L201="",G202,L201+G202))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IF(G203="","",IF(L202="",G203,L202+G203))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IF(G204="","",IF(L203="",G204,L203+G204))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IF(G205="","",IF(L204="",G205,L204+G205))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IF(G206="","",IF(L205="",G206,L205+G206))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IF(G207="","",IF(L206="",G207,L206+G207))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IF(G208="","",IF(L207="",G208,L207+G208))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IF(G209="","",IF(L208="",G209,L208+G209))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IF(G210="","",IF(L209="",G210,L209+G210))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IF(G211="","",IF(L210="",G211,L210+G211))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IF(G212="","",IF(L211="",G212,L211+G212))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IF(G213="","",IF(L212="",G213,L212+G213))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IF(G214="","",IF(L213="",G214,L213+G214))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IF(G215="","",IF(L214="",G215,L214+G215))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IF(G216="","",IF(L215="",G216,L215+G216))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IF(G217="","",IF(L216="",G217,L216+G217))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IF(G218="","",IF(L217="",G218,L217+G218))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IF(G219="","",IF(L218="",G219,L218+G219))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IF(G220="","",IF(L219="",G220,L219+G220))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IF(G221="","",IF(L220="",G221,L220+G221))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IF(G222="","",IF(L221="",G222,L221+G222))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IF(G223="","",IF(L222="",G223,L222+G223))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IF(G224="","",IF(L223="",G224,L223+G224))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IF(G225="","",IF(L224="",G225,L224+G225))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IF(G226="","",IF(L225="",G226,L225+G226))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IF(G227="","",IF(L226="",G227,L226+G227))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IF(G228="","",IF(L227="",G228,L227+G228))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IF(G229="","",IF(L228="",G229,L228+G229))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IF(G230="","",IF(L229="",G230,L229+G230))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IF(G231="","",IF(L230="",G231,L230+G231))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IF(G232="","",IF(L231="",G232,L231+G232))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IF(G233="","",IF(L232="",G233,L232+G233))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IF(G234="","",IF(L233="",G234,L233+G234))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IF(G235="","",IF(L234="",G235,L234+G235))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IF(G236="","",IF(L235="",G236,L235+G236))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IF(G237="","",IF(L236="",G237,L236+G237))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IF(G238="","",IF(L237="",G238,L237+G238))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IF(G239="","",IF(L238="",G239,L238+G239))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IF(G240="","",IF(L239="",G240,L239+G240))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IF(G241="","",IF(L240="",G241,L240+G241))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IF(G242="","",IF(L241="",G242,L241+G242))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IF(G243="","",IF(L242="",G243,L242+G243))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IF(G244="","",IF(L243="",G244,L243+G244))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IF(G245="","",IF(L244="",G245,L244+G245))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IF(G246="","",IF(L245="",G246,L245+G246))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IF(G247="","",IF(L246="",G247,L246+G247))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IF(G248="","",IF(L247="",G248,L247+G248))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IF(G249="","",IF(L248="",G249,L248+G249))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IF(G250="","",IF(L249="",G250,L249+G250))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IF(G251="","",IF(L250="",G251,L250+G251))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IF(G252="","",IF(L251="",G252,L251+G252))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IF(G253="","",IF(L252="",G253,L252+G253))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IF(G254="","",IF(L253="",G254,L253+G254))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IF(G255="","",IF(L254="",G255,L254+G255))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IF(G256="","",IF(L255="",G256,L255+G256))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IF(G257="","",IF(L256="",G257,L256+G257))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IF(G258="","",IF(L257="",G258,L257+G258))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IF(G259="","",IF(L258="",G259,L258+G259))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IF(G260="","",IF(L259="",G260,L259+G260))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IF(G261="","",IF(L260="",G261,L260+G261))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IF(G262="","",IF(L261="",G262,L261+G262))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IF(G263="","",IF(L262="",G263,L262+G263))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IF(G264="","",IF(L263="",G264,L263+G264))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IF(G265="","",IF(L264="",G265,L264+G265))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IF(G266="","",IF(L265="",G266,L265+G266))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IF(G267="","",IF(L266="",G267,L266+G267))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IF(G268="","",IF(L267="",G268,L267+G268))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IF(G269="","",IF(L268="",G269,L268+G269))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IF(G270="","",IF(L269="",G270,L269+G270))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IF(G271="","",IF(L270="",G271,L270+G271))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IF(G272="","",IF(L271="",G272,L271+G272))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IF(G273="","",IF(L272="",G273,L272+G273))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IF(G274="","",IF(L273="",G274,L273+G274))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IF(G275="","",IF(L274="",G275,L274+G275))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IF(G276="","",IF(L275="",G276,L275+G276))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IF(G277="","",IF(L276="",G277,L276+G277))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IF(G278="","",IF(L277="",G278,L277+G278))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IF(G279="","",IF(L278="",G279,L278+G279))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IF(G280="","",IF(L279="",G280,L279+G280))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IF(G281="","",IF(L280="",G281,L280+G281))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IF(G282="","",IF(L281="",G282,L281+G282))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IF(G283="","",IF(L282="",G283,L282+G283))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IF(G284="","",IF(L283="",G284,L283+G284))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IF(G285="","",IF(L284="",G285,L284+G285))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IF(G286="","",IF(L285="",G286,L285+G286))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IF(G287="","",IF(L286="",G287,L286+G287))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IF(G288="","",IF(L287="",G288,L287+G288))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IF(G289="","",IF(L288="",G289,L288+G289))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IF(G290="","",IF(L289="",G290,L289+G290))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IF(G291="","",IF(L290="",G291,L290+G291))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IF(G292="","",IF(L291="",G292,L291+G292))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IF(G293="","",IF(L292="",G293,L292+G293))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IF(G294="","",IF(L293="",G294,L293+G294))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IF(G295="","",IF(L294="",G295,L294+G295))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IF(G296="","",IF(L295="",G296,L295+G296))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IF(G297="","",IF(L296="",G297,L296+G297))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IF(G298="","",IF(L297="",G298,L297+G298))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IF(G299="","",IF(L298="",G299,L298+G299))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IF(G300="","",IF(L299="",G300,L299+G300))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IF(G301="","",IF(L300="",G301,L300+G301))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IF(G302="","",IF(L301="",G302,L301+G302))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IF(G303="","",IF(L302="",G303,L302+G303))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IF(G304="","",IF(L303="",G304,L303+G304))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IF(G305="","",IF(L304="",G305,L304+G305))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IF(G306="","",IF(L305="",G306,L305+G306))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IF(G307="","",IF(L306="",G307,L306+G307))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IF(G308="","",IF(L307="",G308,L307+G308))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IF(G309="","",IF(L308="",G309,L308+G309))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IF(G310="","",IF(L309="",G310,L309+G310))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IF(G311="","",IF(L310="",G311,L310+G311))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IF(G312="","",IF(L311="",G312,L311+G312))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IF(G313="","",IF(L312="",G313,L312+G313))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IF(G314="","",IF(L313="",G314,L313+G314))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IF(G315="","",IF(L314="",G315,L314+G315))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IF(G316="","",IF(L315="",G316,L315+G316))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IF(G317="","",IF(L316="",G317,L316+G317))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IF(G318="","",IF(L317="",G318,L317+G318))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IF(G319="","",IF(L318="",G319,L318+G319))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IF(G320="","",IF(L319="",G320,L319+G320))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IF(G321="","",IF(L320="",G321,L320+G321))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IF(G322="","",IF(L321="",G322,L321+G322))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IF(G323="","",IF(L322="",G323,L322+G323))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IF(G324="","",IF(L323="",G324,L323+G324))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IF(G325="","",IF(L324="",G325,L324+G325))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IF(G326="","",IF(L325="",G326,L325+G326))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IF(G327="","",IF(L326="",G327,L326+G327))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IF(G328="","",IF(L327="",G328,L327+G328))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IF(G329="","",IF(L328="",G329,L328+G329))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IF(G330="","",IF(L329="",G330,L329+G330))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IF(G331="","",IF(L330="",G331,L330+G331))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IF(G332="","",IF(L331="",G332,L331+G332))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IF(G333="","",IF(L332="",G333,L332+G333))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IF(G334="","",IF(L333="",G334,L333+G334))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IF(G335="","",IF(L334="",G335,L334+G335))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IF(G336="","",IF(L335="",G336,L335+G336))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IF(G337="","",IF(L336="",G337,L336+G337))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IF(G338="","",IF(L337="",G338,L337+G338))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IF(G339="","",IF(L338="",G339,L338+G339))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IF(G340="","",IF(L339="",G340,L339+G340))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IF(G341="","",IF(L340="",G341,L340+G341))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IF(G342="","",IF(L341="",G342,L341+G342))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IF(G343="","",IF(L342="",G343,L342+G343))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IF(G344="","",IF(L343="",G344,L343+G344))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IF(G345="","",IF(L344="",G345,L344+G345))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IF(G346="","",IF(L345="",G346,L345+G346))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IF(G347="","",IF(L346="",G347,L346+G347))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IF(G348="","",IF(L347="",G348,L347+G348))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IF(G349="","",IF(L348="",G349,L348+G349))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IF(G350="","",IF(L349="",G350,L349+G350))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IF(G351="","",IF(L350="",G351,L350+G351))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IF(G352="","",IF(L351="",G352,L351+G352))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IF(G353="","",IF(L352="",G353,L352+G353))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IF(G354="","",IF(L353="",G354,L353+G354))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IF(G355="","",IF(L354="",G355,L354+G355))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IF(G356="","",IF(L355="",G356,L355+G356))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IF(G357="","",IF(L356="",G357,L356+G357))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IF(G358="","",IF(L357="",G358,L357+G358))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IF(G359="","",IF(L358="",G359,L358+G359))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IF(G360="","",IF(L359="",G360,L359+G360))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IF(G361="","",IF(L360="",G361,L360+G361))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IF(G362="","",IF(L361="",G362,L361+G362))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IF(G363="","",IF(L362="",G363,L362+G363))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IF(G364="","",IF(L363="",G364,L363+G364))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IF(G365="","",IF(L364="",G365,L364+G365))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IF(G366="","",IF(L365="",G366,L365+G366))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IF(G367="","",IF(L366="",G367,L366+G367))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IF(G368="","",IF(L367="",G368,L367+G368))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IF(G369="","",IF(L368="",G369,L368+G369))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IF(G370="","",IF(L369="",G370,L369+G370))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IF(G371="","",IF(L370="",G371,L370+G371))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IF(G372="","",IF(L371="",G372,L371+G372))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IF(G373="","",IF(L372="",G373,L372+G373))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IF(G374="","",IF(L373="",G374,L373+G374))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IF(G375="","",IF(L374="",G375,L374+G375))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IF(G376="","",IF(L375="",G376,L375+G376))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IF(G377="","",IF(L376="",G377,L376+G377))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IF(G378="","",IF(L377="",G378,L377+G378))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IF(G379="","",IF(L378="",G379,L378+G379))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IF(G380="","",IF(L379="",G380,L379+G380))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IF(G381="","",IF(L380="",G381,L380+G381))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IF(G382="","",IF(L381="",G382,L381+G382))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IF(G383="","",IF(L382="",G383,L382+G383))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IF(G384="","",IF(L383="",G384,L383+G384))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IF(G385="","",IF(L384="",G385,L384+G385))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IF(G386="","",IF(L385="",G386,L385+G386))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IF(G387="","",IF(L386="",G387,L386+G387))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IF(G388="","",IF(L387="",G388,L387+G388))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IF(G389="","",IF(L388="",G389,L388+G389))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IF(G390="","",IF(L389="",G390,L389+G390))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IF(G391="","",IF(L390="",G391,L390+G391))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IF(G392="","",IF(L391="",G392,L391+G392))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IF(G393="","",IF(L392="",G393,L392+G393))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IF(G394="","",IF(L393="",G394,L393+G394))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IF(G395="","",IF(L394="",G395,L394+G395))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IF(G396="","",IF(L395="",G396,L395+G396))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IF(G397="","",IF(L396="",G397,L396+G397))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IF(G398="","",IF(L397="",G398,L397+G398))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IF(G399="","",IF(L398="",G399,L398+G399))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IF(G400="","",IF(L399="",G400,L399+G400))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IF(G401="","",IF(L400="",G401,L400+G401))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IF(G402="","",IF(L401="",G402,L401+G402))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IF(G403="","",IF(L402="",G403,L402+G403))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IF(G404="","",IF(L403="",G404,L403+G404))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IF(G405="","",IF(L404="",G405,L404+G405))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IF(G406="","",IF(L405="",G406,L405+G406))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IF(G407="","",IF(L406="",G407,L406+G407))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IF(G408="","",IF(L407="",G408,L407+G408))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IF(G409="","",IF(L408="",G409,L408+G409))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IF(G410="","",IF(L409="",G410,L409+G410))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IF(G411="","",IF(L410="",G411,L410+G411))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IF(G412="","",IF(L411="",G412,L411+G412))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IF(G413="","",IF(L412="",G413,L412+G413))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IF(G414="","",IF(L413="",G414,L413+G414))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IF(G415="","",IF(L414="",G415,L414+G415))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IF(G416="","",IF(L415="",G416,L415+G416))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IF(G417="","",IF(L416="",G417,L416+G417))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IF(G418="","",IF(L417="",G418,L417+G418))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IF(G419="","",IF(L418="",G419,L418+G419))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IF(G420="","",IF(L419="",G420,L419+G420))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IF(G421="","",IF(L420="",G421,L420+G421))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IF(G422="","",IF(L421="",G422,L421+G422))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IF(G423="","",IF(L422="",G423,L422+G423))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IF(G424="","",IF(L423="",G424,L423+G424))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IF(G425="","",IF(L424="",G425,L424+G425))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IF(G426="","",IF(L425="",G426,L425+G426))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IF(G427="","",IF(L426="",G427,L426+G427))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IF(G428="","",IF(L427="",G428,L427+G428))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IF(G429="","",IF(L428="",G429,L428+G429))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IF(G430="","",IF(L429="",G430,L429+G430))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IF(G431="","",IF(L430="",G431,L430+G431))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IF(G432="","",IF(L431="",G432,L431+G432))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IF(G433="","",IF(L432="",G433,L432+G433))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IF(G434="","",IF(L433="",G434,L433+G434))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IF(G435="","",IF(L434="",G435,L434+G435))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IF(G436="","",IF(L435="",G436,L435+G436))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IF(G437="","",IF(L436="",G437,L436+G437))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IF(G438="","",IF(L437="",G438,L437+G438))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IF(G439="","",IF(L438="",G439,L438+G439))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IF(G440="","",IF(L439="",G440,L439+G440))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IF(G441="","",IF(L440="",G441,L440+G441))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IF(G442="","",IF(L441="",G442,L441+G442))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IF(G443="","",IF(L442="",G443,L442+G443))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IF(G444="","",IF(L443="",G444,L443+G444))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IF(G445="","",IF(L444="",G445,L444+G445))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IF(G446="","",IF(L445="",G446,L445+G446))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IF(G447="","",IF(L446="",G447,L446+G447))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IF(G448="","",IF(L447="",G448,L447+G448))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IF(G449="","",IF(L448="",G449,L448+G449))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IF(G450="","",IF(L449="",G450,L449+G450))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IF(G451="","",IF(L450="",G451,L450+G451))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IF(G452="","",IF(L451="",G452,L451+G452))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IF(G453="","",IF(L452="",G453,L452+G453))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IF(G454="","",IF(L453="",G454,L453+G454))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IF(G455="","",IF(L454="",G455,L454+G455))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IF(G456="","",IF(L455="",G456,L455+G456))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IF(G457="","",IF(L456="",G457,L456+G457))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IF(G458="","",IF(L457="",G458,L457+G458))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IF(G459="","",IF(L458="",G459,L458+G459))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IF(G460="","",IF(L459="",G460,L459+G460))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IF(G461="","",IF(L460="",G461,L460+G461))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IF(G462="","",IF(L461="",G462,L461+G462))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IF(G463="","",IF(L462="",G463,L462+G463))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IF(G464="","",IF(L463="",G464,L463+G464))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IF(G465="","",IF(L464="",G465,L464+G465))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IF(G466="","",IF(L465="",G466,L465+G466))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IF(G467="","",IF(L466="",G467,L466+G467))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IF(G468="","",IF(L467="",G468,L467+G468))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IF(G469="","",IF(L468="",G469,L468+G469))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IF(G470="","",IF(L469="",G470,L469+G470))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IF(G471="","",IF(L470="",G471,L470+G471))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IF(G472="","",IF(L471="",G472,L471+G472))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IF(G473="","",IF(L472="",G473,L472+G473))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IF(G474="","",IF(L473="",G474,L473+G474))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IF(G475="","",IF(L474="",G475,L474+G475))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IF(G476="","",IF(L475="",G476,L475+G476))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IF(G477="","",IF(L476="",G477,L476+G477))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IF(G478="","",IF(L477="",G478,L477+G478))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IF(G479="","",IF(L478="",G479,L478+G479))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IF(G480="","",IF(L479="",G480,L479+G480))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IF(G481="","",IF(L480="",G481,L480+G481))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IF(G482="","",IF(L481="",G482,L481+G482))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IF(G483="","",IF(L482="",G483,L482+G483))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IF(G484="","",IF(L483="",G484,L483+G484))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IF(G485="","",IF(L484="",G485,L484+G485))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IF(G486="","",IF(L485="",G486,L485+G486))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IF(G487="","",IF(L486="",G487,L486+G487))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IF(G488="","",IF(L487="",G488,L487+G488))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IF(G489="","",IF(L488="",G489,L488+G489))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IF(G490="","",IF(L489="",G490,L489+G490))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IF(G491="","",IF(L490="",G491,L490+G491))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IF(G492="","",IF(L491="",G492,L491+G492))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IF(G493="","",IF(L492="",G493,L492+G493))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IF(G494="","",IF(L493="",G494,L493+G494))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IF(G495="","",IF(L494="",G495,L494+G495))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IF(G496="","",IF(L495="",G496,L495+G496))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IF(G497="","",IF(L496="",G497,L496+G497))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IF(G498="","",IF(L497="",G498,L497+G498))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IF(G499="","",IF(L498="",G499,L498+G499))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IF(G500="","",IF(L499="",G500,L499+G500))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IF(G501="","",IF(L500="",G501,L500+G501))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IF(G502="","",IF(L501="",G502,L501+G502))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IF(G503="","",IF(L502="",G503,L502+G503))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IF(G504="","",IF(L503="",G504,L503+G504))</f>
        <v/>
      </c>
      <c r="M494" s="55" t="n"/>
    </row>
    <row r="495" ht="15.75" customHeight="1" s="99">
      <c r="B495" s="128" t="n"/>
      <c r="K495" t="inlineStr">
        <is>
          <t>Y</t>
        </is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2026-10-05T13:42:30Z</dcterms:modified>
  <cp:lastModifiedBy>Avinash Karn</cp:lastModifiedBy>
  <cp:revision>49</cp:revision>
</cp:coreProperties>
</file>