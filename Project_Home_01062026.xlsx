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📖 How to Use" sheetId="1" state="visible" r:id="rId3"/>
    <sheet name="Dashboard" sheetId="2" state="visible" r:id="rId4"/>
    <sheet name="Master Data" sheetId="3" state="visible" r:id="rId5"/>
    <sheet name="All Transactions" sheetId="4" state="visible" r:id="rId6"/>
    <sheet name="Bill Entry" sheetId="5" state="visible" r:id="rId7"/>
    <sheet name="Payment Tracker" sheetId="6" state="visible" r:id="rId8"/>
    <sheet name="Material Summary" sheetId="7" state="visible" r:id="rId9"/>
    <sheet name="Labour Tracker" sheetId="8" state="visible" r:id="rId10"/>
    <sheet name="Monthly Summary" sheetId="9" state="visible" r:id="rId11"/>
    <sheet name="Vendor Summary" sheetId="10" state="visible" r:id="rId12"/>
  </sheets>
  <definedNames>
    <definedName function="false" hidden="true" localSheetId="3" name="_xlnm._FilterDatabase" vbProcedure="false">'All Transactions'!$A$4:$Q$504</definedName>
    <definedName function="false" hidden="true" localSheetId="4" name="_xlnm._FilterDatabase" vbProcedure="false">'Bill Entry'!$A$4:$O$504</definedName>
    <definedName function="false" hidden="true" localSheetId="5" name="_xlnm._FilterDatabase" vbProcedure="false">'Payment Tracker'!$A$4:$M$504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<sst xmlns="http://schemas.openxmlformats.org/spreadsheetml/2006/main" count="1438" uniqueCount="504">
  <si>
    <t xml:space="preserve">📖 How to Use This Tracker</t>
  </si>
  <si>
    <t xml:space="preserve">Bihar Home Construction — Project Home Tracker</t>
  </si>
  <si>
    <t xml:space="preserve">🏗️ OVERVIEW</t>
  </si>
  <si>
    <t xml:space="preserve">This workbook tracks ALL expenses for your home construction in Bihar.</t>
  </si>
  <si>
    <t xml:space="preserve">It has 9 sheets. You mainly enter data in 2 sheets and the rest auto-calculate.</t>
  </si>
  <si>
    <t xml:space="preserve">👉 YOU ENTER DATA IN:</t>
  </si>
  <si>
    <t xml:space="preserve">   1. "All Transactions" — Every material/service received</t>
  </si>
  <si>
    <t xml:space="preserve">   2. "Payment Tracker" — Every payment you make</t>
  </si>
  <si>
    <t xml:space="preserve">👉 THESE AUTO-CALCULATE (don't edit formulas):</t>
  </si>
  <si>
    <t xml:space="preserve">   3. Material Summary — Total by material type</t>
  </si>
  <si>
    <t xml:space="preserve">   4. Monthly Summary — Spend by month</t>
  </si>
  <si>
    <t xml:space="preserve">   5. Vendor Summary — Billed vs Paid per vendor</t>
  </si>
  <si>
    <t xml:space="preserve">   6. Dashboard — KPI overview</t>
  </si>
  <si>
    <t xml:space="preserve">👉 OPTIONAL SHEETS:</t>
  </si>
  <si>
    <t xml:space="preserve">   7. Bill Entry — Line-by-line vendor bill breakup</t>
  </si>
  <si>
    <t xml:space="preserve">   8. Labour Tracker — Engineer and daily labour log</t>
  </si>
  <si>
    <t xml:space="preserve">   9. Master Data — Categories, vendors, payers, phases</t>
  </si>
  <si>
    <t xml:space="preserve">📝 SHEET: "All Transactions" — YOUR MAIN ENTRY SHEET</t>
  </si>
  <si>
    <t xml:space="preserve">What to enter:</t>
  </si>
  <si>
    <t xml:space="preserve">One row for every material/item/service received.</t>
  </si>
  <si>
    <t xml:space="preserve">When to enter:</t>
  </si>
  <si>
    <t xml:space="preserve">Same day the material arrives or service is done.</t>
  </si>
  <si>
    <t xml:space="preserve">COLUMNS:</t>
  </si>
  <si>
    <t xml:space="preserve">Column A — Sr</t>
  </si>
  <si>
    <t xml:space="preserve">Auto-increment serial number (1, 2, 3...)</t>
  </si>
  <si>
    <t xml:space="preserve">Column B — Date</t>
  </si>
  <si>
    <t xml:space="preserve">Date of delivery/service (DD-MM-YYYY format)</t>
  </si>
  <si>
    <t xml:space="preserve">Column C — Month</t>
  </si>
  <si>
    <t xml:space="preserve">Text like "May-2026", "Jun-2026" (for SUMIFS)</t>
  </si>
  <si>
    <t xml:space="preserve">Column D — Phase</t>
  </si>
  <si>
    <t xml:space="preserve">Foundation / Plinth / Superstructure / Finishing</t>
  </si>
  <si>
    <t xml:space="preserve">Column E — Category</t>
  </si>
  <si>
    <t xml:space="preserve">Building Materials / Steel/Iron / Professional Fees / Land Development / Labour / Transport / etc.</t>
  </si>
  <si>
    <t xml:space="preserve">Column F — Subcategory</t>
  </si>
  <si>
    <t xml:space="preserve">Bricks / Cement-Ultratech Super / Tiscon-12mm / JCB / Earth Filling Labour / etc.</t>
  </si>
  <si>
    <t xml:space="preserve">Column G — Item Description</t>
  </si>
  <si>
    <t xml:space="preserve">Detailed description: "Tiscon 12mm TMT - 100 PC @ ₹908 (Bill 2)"</t>
  </si>
  <si>
    <t xml:space="preserve">Column H — Vendor</t>
  </si>
  <si>
    <t xml:space="preserve">Pappu Hardware / Brick Company / Econ Builder / etc.</t>
  </si>
  <si>
    <t xml:space="preserve">Column I — Qty</t>
  </si>
  <si>
    <t xml:space="preserve">Quantity (100, 50, 27.5, 17.5 etc.)</t>
  </si>
  <si>
    <t xml:space="preserve">Column J — Unit</t>
  </si>
  <si>
    <t xml:space="preserve">Pcs / Bags / Ton / CFT / Nos / Hrs / Lumpsum / L / Kg</t>
  </si>
  <si>
    <t xml:space="preserve">Column K — Rate</t>
  </si>
  <si>
    <t xml:space="preserve">Price per unit (₹908, ₹360, ₹8.5 etc.)</t>
  </si>
  <si>
    <t xml:space="preserve">Column L — Gross Amount</t>
  </si>
  <si>
    <t xml:space="preserve">Qty × Rate (enter manually: 100 × 908 = 90800)</t>
  </si>
  <si>
    <t xml:space="preserve">Column M — Discount %</t>
  </si>
  <si>
    <t xml:space="preserve">Leave BLANK if no discount. Enter 0.04 for 4% (NOT "4")</t>
  </si>
  <si>
    <t xml:space="preserve">Column N — Discount Amount</t>
  </si>
  <si>
    <t xml:space="preserve">⚡ FORMULA — auto-calculates from L × M. DO NOT EDIT.</t>
  </si>
  <si>
    <t xml:space="preserve">Column O — Net Amount</t>
  </si>
  <si>
    <t xml:space="preserve">⚡ FORMULA — auto-calculates Gross − Discount. DO NOT EDIT.</t>
  </si>
  <si>
    <t xml:space="preserve">Column P — Paid By</t>
  </si>
  <si>
    <t xml:space="preserve">"Self-GPay" / "Self-Bank Transfer" / "Papa" / "Chota Bhai"</t>
  </si>
  <si>
    <t xml:space="preserve">Column Q — Payment Mode</t>
  </si>
  <si>
    <t xml:space="preserve">"GPay" / "Bank Transfer" / "Cash"</t>
  </si>
  <si>
    <t xml:space="preserve">💡 TIP: Copy formulas from the row above when adding new rows (Col N and O).</t>
  </si>
  <si>
    <t xml:space="preserve">💳 SHEET: "Payment Tracker" — CASH FLOW LOG</t>
  </si>
  <si>
    <t xml:space="preserve">One row for every payment made (GPay, Bank, Cash).</t>
  </si>
  <si>
    <t xml:space="preserve">Same day the payment is made.</t>
  </si>
  <si>
    <t xml:space="preserve">Why separate from Transactions?</t>
  </si>
  <si>
    <t xml:space="preserve">Because payments don't always match deliveries:</t>
  </si>
  <si>
    <t xml:space="preserve">  • Advance payments (Brick Company ₹3.69L before delivery)</t>
  </si>
  <si>
    <t xml:space="preserve">  • Part payments (Pappu Hardware Bill 63 paid in 2 parts)</t>
  </si>
  <si>
    <t xml:space="preserve">  • One payment for multiple items (Bill 2 covers 8 items)</t>
  </si>
  <si>
    <t xml:space="preserve">Payment date</t>
  </si>
  <si>
    <t xml:space="preserve">Column C — Paid By</t>
  </si>
  <si>
    <t xml:space="preserve">Column D — Paid To</t>
  </si>
  <si>
    <t xml:space="preserve">Vendor name (must match vendor name in All Transactions)</t>
  </si>
  <si>
    <t xml:space="preserve">Main category of what was paid for</t>
  </si>
  <si>
    <t xml:space="preserve">Column F — Description</t>
  </si>
  <si>
    <t xml:space="preserve">Details: "Bill 2: Steel + Cement + Dr Fixit"</t>
  </si>
  <si>
    <t xml:space="preserve">Column G — Amount</t>
  </si>
  <si>
    <t xml:space="preserve">Exact amount paid (₹202830, ₹95982 etc.)</t>
  </si>
  <si>
    <t xml:space="preserve">Column H — Mode</t>
  </si>
  <si>
    <t xml:space="preserve">Column L — Running Total</t>
  </si>
  <si>
    <t xml:space="preserve">⚡ FORMULA — auto-sums all payments. DO NOT EDIT.</t>
  </si>
  <si>
    <t xml:space="preserve">Column M — Notes</t>
  </si>
  <si>
    <t xml:space="preserve">Any extra context</t>
  </si>
  <si>
    <t xml:space="preserve">💡 TIP: Copy Running Total formula from row above when adding new payment rows.</t>
  </si>
  <si>
    <t xml:space="preserve">⚠️ IMPORTANT RULES</t>
  </si>
  <si>
    <t xml:space="preserve">1. NEVER edit cells with formulas (Col N, O in Transactions; Col L in Payments).</t>
  </si>
  <si>
    <t xml:space="preserve">2. Month column must be TEXT like "May-2026" not a date. Type it manually.</t>
  </si>
  <si>
    <t xml:space="preserve">3. Discount % is a DECIMAL: 4% = 0.04, not "4". Leave blank if no discount.</t>
  </si>
  <si>
    <t xml:space="preserve">4. Vendor names must be EXACTLY the same across sheets (case-sensitive).</t>
  </si>
  <si>
    <t xml:space="preserve">5. When adding a new row, ALWAYS copy formulas from the row above.</t>
  </si>
  <si>
    <t xml:space="preserve">6. Don't insert rows in the MIDDLE — always add at the BOTTOM of existing data.</t>
  </si>
  <si>
    <t xml:space="preserve">7. Brick deliveries go in All Transactions but NO payment (advance already paid).</t>
  </si>
  <si>
    <t xml:space="preserve">8. The advance balance auto-tracks in Vendor Summary sheet.</t>
  </si>
  <si>
    <t xml:space="preserve">9. For lumpsum items (transport, labour), use Qty=1, Rate=total amount.</t>
  </si>
  <si>
    <t xml:space="preserve">10. Keep Sr numbers sequential — no gaps.</t>
  </si>
  <si>
    <t xml:space="preserve">📋 EXAMPLE: Adding a new cement delivery</t>
  </si>
  <si>
    <t xml:space="preserve">Step 1:</t>
  </si>
  <si>
    <t xml:space="preserve">Go to "All Transactions" sheet, find the last row with data.</t>
  </si>
  <si>
    <t xml:space="preserve">Step 2:</t>
  </si>
  <si>
    <t xml:space="preserve">In the next empty row, enter:</t>
  </si>
  <si>
    <t xml:space="preserve">  B: 02-06-2026  |  C: Jun-2026  |  D: Plinth</t>
  </si>
  <si>
    <t xml:space="preserve">  E: Building Materials  |  F: Cement-Ultratech Super</t>
  </si>
  <si>
    <t xml:space="preserve">  G: Cement Ultratech Super - 50 bags  |  H: Pappu Hardware</t>
  </si>
  <si>
    <t xml:space="preserve">  I: 50  |  J: Bags  |  K: 360  |  L: 18000</t>
  </si>
  <si>
    <t xml:space="preserve">  M: (leave blank)  |  P: Self-GPay  |  Q: GPay</t>
  </si>
  <si>
    <t xml:space="preserve">Step 3:</t>
  </si>
  <si>
    <t xml:space="preserve">Copy formulas from the row above into Col N and Col O.</t>
  </si>
  <si>
    <t xml:space="preserve">Step 4:</t>
  </si>
  <si>
    <t xml:space="preserve">Go to "Payment Tracker" sheet, add payment row.</t>
  </si>
  <si>
    <t xml:space="preserve">Step 5:</t>
  </si>
  <si>
    <t xml:space="preserve">All summary sheets will auto-update!</t>
  </si>
  <si>
    <t xml:space="preserve">🏪 CURRENT VENDORS (use exact names)</t>
  </si>
  <si>
    <t xml:space="preserve">Pappu Hardware</t>
  </si>
  <si>
    <t xml:space="preserve">Steel, Cement, Wire, Dr Fixit, Hardware</t>
  </si>
  <si>
    <t xml:space="preserve">Brick Company</t>
  </si>
  <si>
    <t xml:space="preserve">Bricks (advance-based, track delivery vs advance)</t>
  </si>
  <si>
    <t xml:space="preserve">Econ Builder</t>
  </si>
  <si>
    <t xml:space="preserve">Engineer — construction supervision</t>
  </si>
  <si>
    <t xml:space="preserve">Concrete Supplier</t>
  </si>
  <si>
    <t xml:space="preserve">Gitti / Crushed Stone</t>
  </si>
  <si>
    <t xml:space="preserve">Sand Truck Wala</t>
  </si>
  <si>
    <t xml:space="preserve">Sand (CFT)</t>
  </si>
  <si>
    <t xml:space="preserve">Mukesh Yadav</t>
  </si>
  <si>
    <t xml:space="preserve">JCB + Mitti filling (trailers)</t>
  </si>
  <si>
    <t xml:space="preserve">Naveen Hardware</t>
  </si>
  <si>
    <t xml:space="preserve">Cement (alternate supplier)</t>
  </si>
  <si>
    <t xml:space="preserve">Daily Labour</t>
  </si>
  <si>
    <t xml:space="preserve">Earth filling and site labour</t>
  </si>
  <si>
    <t xml:space="preserve">Local + Sonbhai</t>
  </si>
  <si>
    <t xml:space="preserve">Panni, Tools, Food, Site cleaning</t>
  </si>
  <si>
    <t xml:space="preserve">👤 PAYER CODES (use exact text in "Paid By" column)</t>
  </si>
  <si>
    <t xml:space="preserve">Self-GPay</t>
  </si>
  <si>
    <t xml:space="preserve">Avinash pays via Google Pay</t>
  </si>
  <si>
    <t xml:space="preserve">Self-Bank Transfer</t>
  </si>
  <si>
    <t xml:space="preserve">Avinash pays via net banking / NEFT</t>
  </si>
  <si>
    <t xml:space="preserve">Papa</t>
  </si>
  <si>
    <t xml:space="preserve">Papa pays via GPay</t>
  </si>
  <si>
    <t xml:space="preserve">Chota Bhai</t>
  </si>
  <si>
    <t xml:space="preserve">Chota Bhai pays via GPay</t>
  </si>
  <si>
    <t xml:space="preserve">Last updated: 01 Jun 2026 | Created by Claude for Avinash</t>
  </si>
  <si>
    <t xml:space="preserve">  🏠  BIHAR HOME BUILD — PROJECT DASHBOARD</t>
  </si>
  <si>
    <t xml:space="preserve">  Plinth Phase · Started 7 May 2026</t>
  </si>
  <si>
    <t xml:space="preserve">Auto-updates from All Transactions &amp; Payment Tracker  </t>
  </si>
  <si>
    <t xml:space="preserve">TOTAL CASH PAID</t>
  </si>
  <si>
    <t xml:space="preserve">MATERIAL ON SITE</t>
  </si>
  <si>
    <t xml:space="preserve">VENDOR ADVANCE</t>
  </si>
  <si>
    <t xml:space="preserve">BALANCE DUE</t>
  </si>
  <si>
    <t xml:space="preserve">All payments made to date</t>
  </si>
  <si>
    <t xml:space="preserve">Billed value received</t>
  </si>
  <si>
    <t xml:space="preserve">Advance with Brick Co.</t>
  </si>
  <si>
    <t xml:space="preserve">Unpaid vendor bills</t>
  </si>
  <si>
    <t xml:space="preserve">👥  WHO PAID</t>
  </si>
  <si>
    <t xml:space="preserve">📊  CATEGORY BREAKDOWN</t>
  </si>
  <si>
    <t xml:space="preserve">🏪  VENDOR STATUS</t>
  </si>
  <si>
    <t xml:space="preserve">Payer</t>
  </si>
  <si>
    <t xml:space="preserve">Amount ₹</t>
  </si>
  <si>
    <t xml:space="preserve">Category</t>
  </si>
  <si>
    <t xml:space="preserve">Vendor</t>
  </si>
  <si>
    <t xml:space="preserve">Billed ₹</t>
  </si>
  <si>
    <t xml:space="preserve">Paid ₹</t>
  </si>
  <si>
    <t xml:space="preserve">Pending ₹</t>
  </si>
  <si>
    <t xml:space="preserve">Status</t>
  </si>
  <si>
    <t xml:space="preserve">Building Materials</t>
  </si>
  <si>
    <t xml:space="preserve">Steel/Iron</t>
  </si>
  <si>
    <t xml:space="preserve">Professional Fees</t>
  </si>
  <si>
    <t xml:space="preserve">Land Development</t>
  </si>
  <si>
    <t xml:space="preserve">Through Sonbhai</t>
  </si>
  <si>
    <t xml:space="preserve">Labour</t>
  </si>
  <si>
    <t xml:space="preserve">TOTAL</t>
  </si>
  <si>
    <t xml:space="preserve">Transport</t>
  </si>
  <si>
    <t xml:space="preserve">Food/Provisions</t>
  </si>
  <si>
    <t xml:space="preserve">Miscellaneous</t>
  </si>
  <si>
    <t xml:space="preserve">Local Purchase</t>
  </si>
  <si>
    <t xml:space="preserve">Sonbhai-Coordinator</t>
  </si>
  <si>
    <t xml:space="preserve">📦  MATERIALS ON SITE</t>
  </si>
  <si>
    <t xml:space="preserve">📅  MONTHLY TREND</t>
  </si>
  <si>
    <t xml:space="preserve">Material</t>
  </si>
  <si>
    <t xml:space="preserve">Qty</t>
  </si>
  <si>
    <t xml:space="preserve">Unit</t>
  </si>
  <si>
    <t xml:space="preserve">Avg Rate</t>
  </si>
  <si>
    <t xml:space="preserve">Gross ₹</t>
  </si>
  <si>
    <t xml:space="preserve">Disc ₹</t>
  </si>
  <si>
    <t xml:space="preserve">Net ₹</t>
  </si>
  <si>
    <t xml:space="preserve">% Share</t>
  </si>
  <si>
    <t xml:space="preserve">Month</t>
  </si>
  <si>
    <t xml:space="preserve">Spend ₹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</si>
  <si>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</si>
  <si>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</si>
  <si>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</si>
  <si>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</si>
  <si>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</si>
  <si>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</si>
  <si>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</si>
  <si>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</si>
  <si>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Jan-2027</t>
  </si>
  <si>
    <t xml:space="preserve">Feb-2027</t>
  </si>
  <si>
    <t xml:space="preserve">Mar-2027</t>
  </si>
  <si>
    <t xml:space="preserve">Apr-2027</t>
  </si>
  <si>
    <t xml:space="preserve">MASTER DATA — Categories, Vendors &amp; Reference Lists</t>
  </si>
  <si>
    <t xml:space="preserve">Add new categories/vendors here. All dropdowns across sheets pull from these lists.</t>
  </si>
  <si>
    <t xml:space="preserve">CATEGORY</t>
  </si>
  <si>
    <t xml:space="preserve">SUB-CATEGORY</t>
  </si>
  <si>
    <t xml:space="preserve">UNIT</t>
  </si>
  <si>
    <t xml:space="preserve">VENDOR NAME</t>
  </si>
  <si>
    <t xml:space="preserve">VENDOR TYPE</t>
  </si>
  <si>
    <t xml:space="preserve">DEFAULT PAY MODE</t>
  </si>
  <si>
    <t xml:space="preserve">PAID BY</t>
  </si>
  <si>
    <t xml:space="preserve">PAYMENT MODE</t>
  </si>
  <si>
    <t xml:space="preserve">CONSTRUCTION PHASE</t>
  </si>
  <si>
    <t xml:space="preserve">SubCatList</t>
  </si>
  <si>
    <t xml:space="preserve">UnitList</t>
  </si>
  <si>
    <t xml:space="preserve">Bricks</t>
  </si>
  <si>
    <t xml:space="preserve">Nos/Trailor</t>
  </si>
  <si>
    <t xml:space="preserve">Hardware/Steel</t>
  </si>
  <si>
    <t xml:space="preserve">GPay</t>
  </si>
  <si>
    <t xml:space="preserve">Auto/Taxi</t>
  </si>
  <si>
    <t xml:space="preserve">Bags</t>
  </si>
  <si>
    <t xml:space="preserve">Sand</t>
  </si>
  <si>
    <t xml:space="preserve">CFT</t>
  </si>
  <si>
    <t xml:space="preserve">Self-Paytm</t>
  </si>
  <si>
    <t xml:space="preserve">Paytm</t>
  </si>
  <si>
    <t xml:space="preserve">Foundation</t>
  </si>
  <si>
    <t xml:space="preserve">Bamboo/Shuttering</t>
  </si>
  <si>
    <t xml:space="preserve">Bundle/Metres</t>
  </si>
  <si>
    <t xml:space="preserve">Concrete/Gitti</t>
  </si>
  <si>
    <t xml:space="preserve">Tonnes/Trailor</t>
  </si>
  <si>
    <t xml:space="preserve">Self-Cash</t>
  </si>
  <si>
    <t xml:space="preserve">Cash</t>
  </si>
  <si>
    <t xml:space="preserve">Plinth</t>
  </si>
  <si>
    <t xml:space="preserve">Binding Wire</t>
  </si>
  <si>
    <t xml:space="preserve">Cement-Ultratech Super</t>
  </si>
  <si>
    <t xml:space="preserve">GPay/Paytm</t>
  </si>
  <si>
    <t xml:space="preserve">Bank Transfer</t>
  </si>
  <si>
    <t xml:space="preserve">Superstructure</t>
  </si>
  <si>
    <t xml:space="preserve">Blade</t>
  </si>
  <si>
    <t xml:space="preserve">Days</t>
  </si>
  <si>
    <t xml:space="preserve">Cement-Ultratech Normal</t>
  </si>
  <si>
    <t xml:space="preserve">Dinesh-Electrician</t>
  </si>
  <si>
    <t xml:space="preserve">Electrical Items</t>
  </si>
  <si>
    <t xml:space="preserve">UPI</t>
  </si>
  <si>
    <t xml:space="preserve">Roof/Dhalai</t>
  </si>
  <si>
    <t xml:space="preserve">Boards/Plates</t>
  </si>
  <si>
    <t xml:space="preserve">Days/Lumpsum</t>
  </si>
  <si>
    <t xml:space="preserve">Cement-Ultratech Prem</t>
  </si>
  <si>
    <t xml:space="preserve">Mitti Bharai/JCB</t>
  </si>
  <si>
    <t xml:space="preserve">Through Engineer</t>
  </si>
  <si>
    <t xml:space="preserve">Cheque</t>
  </si>
  <si>
    <t xml:space="preserve">Electrical</t>
  </si>
  <si>
    <t xml:space="preserve">Kg</t>
  </si>
  <si>
    <t xml:space="preserve">Dr Fixit</t>
  </si>
  <si>
    <t xml:space="preserve">Litres</t>
  </si>
  <si>
    <t xml:space="preserve">Chand Ansari</t>
  </si>
  <si>
    <t xml:space="preserve">Dhalai Machine</t>
  </si>
  <si>
    <t xml:space="preserve">Through Ajay</t>
  </si>
  <si>
    <t xml:space="preserve">Plumbing</t>
  </si>
  <si>
    <t xml:space="preserve">Kg/Bags</t>
  </si>
  <si>
    <t xml:space="preserve">Pipe PVC/GI</t>
  </si>
  <si>
    <t xml:space="preserve">Pcs</t>
  </si>
  <si>
    <t xml:space="preserve">Ajay Mahto</t>
  </si>
  <si>
    <t xml:space="preserve">Labour/Transport</t>
  </si>
  <si>
    <t xml:space="preserve">Plastering</t>
  </si>
  <si>
    <t xml:space="preserve">Cover Block</t>
  </si>
  <si>
    <t xml:space="preserve">Packets</t>
  </si>
  <si>
    <t xml:space="preserve">Mukhiya</t>
  </si>
  <si>
    <t xml:space="preserve">Bamboo/Misc</t>
  </si>
  <si>
    <t xml:space="preserve">Flooring</t>
  </si>
  <si>
    <t xml:space="preserve">Lumpsum</t>
  </si>
  <si>
    <t xml:space="preserve">Kala Panni/Tar</t>
  </si>
  <si>
    <t xml:space="preserve">Labour Payments/Misc</t>
  </si>
  <si>
    <t xml:space="preserve">Painting</t>
  </si>
  <si>
    <t xml:space="preserve">Nos</t>
  </si>
  <si>
    <t xml:space="preserve">Engineering/Labour</t>
  </si>
  <si>
    <t xml:space="preserve">Finishing</t>
  </si>
  <si>
    <t xml:space="preserve">Conduit Pipe</t>
  </si>
  <si>
    <t xml:space="preserve">Nails</t>
  </si>
  <si>
    <t xml:space="preserve">Rinku Devi A/c</t>
  </si>
  <si>
    <t xml:space="preserve">Labour Account</t>
  </si>
  <si>
    <t xml:space="preserve">Boundary Wall</t>
  </si>
  <si>
    <t xml:space="preserve">Cement/Building Materials</t>
  </si>
  <si>
    <t xml:space="preserve">Daily Labour-Mitti Bharai</t>
  </si>
  <si>
    <t xml:space="preserve">Dhalai Machine Rent</t>
  </si>
  <si>
    <t xml:space="preserve">Tiscon 16mm</t>
  </si>
  <si>
    <t xml:space="preserve">Trips</t>
  </si>
  <si>
    <t xml:space="preserve">Tiscon 12mm</t>
  </si>
  <si>
    <t xml:space="preserve">Engineer Labour Charge</t>
  </si>
  <si>
    <t xml:space="preserve">Visit</t>
  </si>
  <si>
    <t xml:space="preserve">Tiscon 10mm</t>
  </si>
  <si>
    <t xml:space="preserve">Engineer Visit Charge</t>
  </si>
  <si>
    <t xml:space="preserve">Tiscon 8mm</t>
  </si>
  <si>
    <t xml:space="preserve">Fan Hooks/Holders</t>
  </si>
  <si>
    <t xml:space="preserve">Tiscon 6mm</t>
  </si>
  <si>
    <t xml:space="preserve">Junction/Bend/Fitting</t>
  </si>
  <si>
    <t xml:space="preserve">Wire 4mm</t>
  </si>
  <si>
    <t xml:space="preserve">Wire 2.5mm</t>
  </si>
  <si>
    <t xml:space="preserve">Labour Food-Rice/Wheat/Gas</t>
  </si>
  <si>
    <t xml:space="preserve">Wire 1.5mm</t>
  </si>
  <si>
    <t xml:space="preserve">Ladies Labour-Bricks</t>
  </si>
  <si>
    <t xml:space="preserve">Wire 1mm</t>
  </si>
  <si>
    <t xml:space="preserve">Land Levelling/Filling</t>
  </si>
  <si>
    <t xml:space="preserve">Wire 0.75mm</t>
  </si>
  <si>
    <t xml:space="preserve">MCB/Distribution Board</t>
  </si>
  <si>
    <t xml:space="preserve">Switches/Sockets</t>
  </si>
  <si>
    <t xml:space="preserve">Map/Drawing Charge</t>
  </si>
  <si>
    <t xml:space="preserve">Skilled Labour</t>
  </si>
  <si>
    <t xml:space="preserve">Tips/Bhoj</t>
  </si>
  <si>
    <t xml:space="preserve">Truck/Tempo Freight</t>
  </si>
  <si>
    <t xml:space="preserve">Tractor Tips</t>
  </si>
  <si>
    <t xml:space="preserve">Tools/Consumables</t>
  </si>
  <si>
    <t xml:space="preserve">HOME CONSTRUCTION — EXPENSE REGISTER</t>
  </si>
  <si>
    <t xml:space="preserve">Enter every payment/expense as one row. Blue cells = input. Black cells = auto-calculated formulas.</t>
  </si>
  <si>
    <t xml:space="preserve">Sr No</t>
  </si>
  <si>
    <t xml:space="preserve">Date</t>
  </si>
  <si>
    <t xml:space="preserve">Construction Phase</t>
  </si>
  <si>
    <t xml:space="preserve">Sub-Category</t>
  </si>
  <si>
    <t xml:space="preserve">Item Description</t>
  </si>
  <si>
    <t xml:space="preserve">Vendor/Paid To</t>
  </si>
  <si>
    <t xml:space="preserve">Rate ₹</t>
  </si>
  <si>
    <t xml:space="preserve">Gross Amt ₹</t>
  </si>
  <si>
    <t xml:space="preserve">Discount %</t>
  </si>
  <si>
    <t xml:space="preserve">Discount amount</t>
  </si>
  <si>
    <t xml:space="preserve">Net Amt ₹</t>
  </si>
  <si>
    <t xml:space="preserve">Paid By</t>
  </si>
  <si>
    <t xml:space="preserve">Payment Mode</t>
  </si>
  <si>
    <t xml:space="preserve">Advance to Engineer</t>
  </si>
  <si>
    <t xml:space="preserve">Site cleaning by Chanarveer (adhoc labour)</t>
  </si>
  <si>
    <t xml:space="preserve">Bill 63 - Ultratech Super 40 bags</t>
  </si>
  <si>
    <t xml:space="preserve">Bill 63 - Tiscon 12mm 100pcs</t>
  </si>
  <si>
    <t xml:space="preserve">Bill 63 - Tiscon 10mm 100pcs</t>
  </si>
  <si>
    <t xml:space="preserve">Bill 63 - Tiscon 6mm 50pcs</t>
  </si>
  <si>
    <t xml:space="preserve">Bill 63 - Binding Wire 20kg</t>
  </si>
  <si>
    <t xml:space="preserve">Bill 63 - Dr Fixit 10L x 2pcs</t>
  </si>
  <si>
    <t xml:space="preserve">Bill 63 - Transport from Pappu Hardware</t>
  </si>
  <si>
    <t xml:space="preserve">Bill 63 - Loading labour</t>
  </si>
  <si>
    <t xml:space="preserve">Bill 63 - Kanti (Nails) 2"x1" 1 bag</t>
  </si>
  <si>
    <t xml:space="preserve">Bill 63 - Additional discount from Pappu Hardware</t>
  </si>
  <si>
    <t xml:space="preserve">JCB work 17.5 hrs @ ₹1,000/hr</t>
  </si>
  <si>
    <t xml:space="preserve">Hrs</t>
  </si>
  <si>
    <t xml:space="preserve">Sand 1st truck (920 CFT)</t>
  </si>
  <si>
    <t xml:space="preserve">Sand 2nd truck (918 CFT)</t>
  </si>
  <si>
    <t xml:space="preserve">Bricks - tractor 1 delivery (1500 pcs)</t>
  </si>
  <si>
    <t xml:space="preserve">Crushed stone / Gitti - 27.5 Ton (600 CFT)</t>
  </si>
  <si>
    <t xml:space="preserve">Ton</t>
  </si>
  <si>
    <t xml:space="preserve">Engineering</t>
  </si>
  <si>
    <t xml:space="preserve">Layout mapping / Naksha by Econ Builder</t>
  </si>
  <si>
    <t xml:space="preserve">Engineer advance to Econ Builder (construction supervision)</t>
  </si>
  <si>
    <t xml:space="preserve">Bricks - tractor 2 delivery (1500 pcs)</t>
  </si>
  <si>
    <t xml:space="preserve">Bricks - tractor 3 delivery (1500 pcs)</t>
  </si>
  <si>
    <t xml:space="preserve">Bricks - tractor 4 delivery (1500 pcs)</t>
  </si>
  <si>
    <t xml:space="preserve">Bricks - tractor 5 delivery (1500 pcs)</t>
  </si>
  <si>
    <t xml:space="preserve">Polythene / Panni</t>
  </si>
  <si>
    <t xml:space="preserve">Tools/Equipment</t>
  </si>
  <si>
    <t xml:space="preserve">Construction equipment - Tegadi &amp; Kudal</t>
  </si>
  <si>
    <t xml:space="preserve">Food/Ration</t>
  </si>
  <si>
    <t xml:space="preserve">Food ration for labour</t>
  </si>
  <si>
    <t xml:space="preserve">Soft wire</t>
  </si>
  <si>
    <t xml:space="preserve">Cover blocks - 6 packets</t>
  </si>
  <si>
    <t xml:space="preserve">Helper Labour</t>
  </si>
  <si>
    <t xml:space="preserve">Labour charges</t>
  </si>
  <si>
    <t xml:space="preserve">Cement Ultratech Super - 60 bags</t>
  </si>
  <si>
    <t xml:space="preserve">Material Transport</t>
  </si>
  <si>
    <t xml:space="preserve">Cement transportation</t>
  </si>
  <si>
    <t xml:space="preserve">Labour for cement unloading</t>
  </si>
  <si>
    <t xml:space="preserve">Temp Construction</t>
  </si>
  <si>
    <t xml:space="preserve">Color metal sheet for temp toilet roof</t>
  </si>
  <si>
    <t xml:space="preserve">Engineer advance to Econ Builder</t>
  </si>
  <si>
    <t xml:space="preserve">Bricks - tractor 6 delivery (1500 pcs)</t>
  </si>
  <si>
    <t xml:space="preserve">Bricks - tractor 7 delivery (1500 pcs)</t>
  </si>
  <si>
    <t xml:space="preserve">Bricks - tractor 8 delivery (1500 pcs)</t>
  </si>
  <si>
    <t xml:space="preserve">Crushed stone / Gitti - 37.64 Ton @ ₹2,550/ton</t>
  </si>
  <si>
    <t xml:space="preserve">Mitti filling - 19 trailers @ ₹600 each</t>
  </si>
  <si>
    <t xml:space="preserve">Cement Ultratech Super - 50 bags (Naveen Hardware)</t>
  </si>
  <si>
    <t xml:space="preserve">Loading/unloading labour for cement</t>
  </si>
  <si>
    <t xml:space="preserve">Bricks - tractor 9 delivery (1500 pcs)</t>
  </si>
  <si>
    <t xml:space="preserve">Engineer payment to Econ Builder</t>
  </si>
  <si>
    <t xml:space="preserve">Bricks - tractor 10 delivery (1500 pcs)</t>
  </si>
  <si>
    <t xml:space="preserve">Bricks - tractor 11 delivery (1500 pcs)</t>
  </si>
  <si>
    <t xml:space="preserve">Bricks - tractor 12 delivery (1500 pcs)</t>
  </si>
  <si>
    <t xml:space="preserve">Mitti filling - 22 trailers @ ₹600 each</t>
  </si>
  <si>
    <t xml:space="preserve">Tiscon 12mm TMT - 100 PC @ ₹908 (Bill 2)</t>
  </si>
  <si>
    <t xml:space="preserve">Tiscon 10mm TMT - 100 PC @ ₹642 (Bill 2)</t>
  </si>
  <si>
    <t xml:space="preserve">Tiscon 8mm TMT - 50 PC @ ₹420 (NEW)</t>
  </si>
  <si>
    <t xml:space="preserve">Tiscon 6mm TMT - 50 PC @ ₹246 (Bill 2)</t>
  </si>
  <si>
    <t xml:space="preserve">Cement Ultratech Super - 50 bags (Bill 2)</t>
  </si>
  <si>
    <t xml:space="preserve">Dr Fixit 20 litre - 1 pack</t>
  </si>
  <si>
    <t xml:space="preserve">L</t>
  </si>
  <si>
    <t xml:space="preserve">Transport (Gada) for Bill 2 delivery</t>
  </si>
  <si>
    <t xml:space="preserve">Loading/unloading labour - Bill 2</t>
  </si>
  <si>
    <t xml:space="preserve">Earth Filling Labour</t>
  </si>
  <si>
    <t xml:space="preserve">Earth filling (mitti) labour - 66 labourers @ ₹350 each</t>
  </si>
  <si>
    <t xml:space="preserve">TOTALS</t>
  </si>
  <si>
    <t xml:space="preserve">VENDOR BILL / INVOICE — LINE ENTRY</t>
  </si>
  <si>
    <t xml:space="preserve">When a paper bill arrives, enter each line item here. Same Bill No groups items of one bill.</t>
  </si>
  <si>
    <t xml:space="preserve">Bill No</t>
  </si>
  <si>
    <t xml:space="preserve">Bill Date</t>
  </si>
  <si>
    <t xml:space="preserve">HSN/SAC</t>
  </si>
  <si>
    <t xml:space="preserve">Line Amt ₹</t>
  </si>
  <si>
    <t xml:space="preserve">Discount/Adj ₹</t>
  </si>
  <si>
    <t xml:space="preserve">Transport ₹</t>
  </si>
  <si>
    <t xml:space="preserve">Labour Charge ₹</t>
  </si>
  <si>
    <t xml:space="preserve">Bill Total ₹</t>
  </si>
  <si>
    <t xml:space="preserve">63</t>
  </si>
  <si>
    <t xml:space="preserve">Ultratech Super Cement</t>
  </si>
  <si>
    <t xml:space="preserve">Binding Wire 20kg</t>
  </si>
  <si>
    <t xml:space="preserve">Dr Fixit 10L x 2pcs</t>
  </si>
  <si>
    <t xml:space="preserve">Loading labour</t>
  </si>
  <si>
    <t xml:space="preserve">Kanti (Nails) 2"x1" - 1 bag</t>
  </si>
  <si>
    <t xml:space="preserve">PAYMENT TRACKER — Full Audit Trail</t>
  </si>
  <si>
    <t xml:space="preserve">Track every payment: who paid, to whom, how, reference number.</t>
  </si>
  <si>
    <t xml:space="preserve">Paid To (Vendor)</t>
  </si>
  <si>
    <t xml:space="preserve">Purpose/Description</t>
  </si>
  <si>
    <t xml:space="preserve">UPI/Txn Ref</t>
  </si>
  <si>
    <t xml:space="preserve">Phone No</t>
  </si>
  <si>
    <t xml:space="preserve">Receipt Y/N</t>
  </si>
  <si>
    <t xml:space="preserve">Running Total ₹</t>
  </si>
  <si>
    <t xml:space="preserve">Remarks</t>
  </si>
  <si>
    <t xml:space="preserve">Advance to Engineer for new construction</t>
  </si>
  <si>
    <t xml:space="preserve">Pending</t>
  </si>
  <si>
    <t xml:space="preserve">First advance payment</t>
  </si>
  <si>
    <t xml:space="preserve">Chanarveer - adhoc labour site cleaning</t>
  </si>
  <si>
    <t xml:space="preserve">No</t>
  </si>
  <si>
    <t xml:space="preserve">Adhoc daily labour</t>
  </si>
  <si>
    <t xml:space="preserve">Bill 63 - Part payment 1 of 2 (Cement+Steel+Wire+DrFixit+Nails)</t>
  </si>
  <si>
    <t xml:space="preserve">Balance ₹93,000 to be paid 12-May</t>
  </si>
  <si>
    <t xml:space="preserve">Bill 63 - Part payment 2 of 2 (Final, incl ₹400 extra discount)</t>
  </si>
  <si>
    <t xml:space="preserve">Bill 63 fully settled. Total paid ₹1,83,000 against bill ₹1,83,400 (₹400 additional discount)</t>
  </si>
  <si>
    <t xml:space="preserve">JCB work 17 hrs @ ₹1,000/hr - Advance payment</t>
  </si>
  <si>
    <t xml:space="preserve">Total JCB bill ₹17,000. Balance ₹12,000 pending</t>
  </si>
  <si>
    <t xml:space="preserve">Sand 1st truck (920 CFT) - Full payment</t>
  </si>
  <si>
    <t xml:space="preserve">Paid in full</t>
  </si>
  <si>
    <t xml:space="preserve">Sand 2nd truck (918 CFT) - Full payment</t>
  </si>
  <si>
    <t xml:space="preserve">Brick advance - Self share (₹2L of ₹3.69L total)</t>
  </si>
  <si>
    <t xml:space="preserve">N</t>
  </si>
  <si>
    <t xml:space="preserve">Part of ₹3,69,000 total brick advance</t>
  </si>
  <si>
    <t xml:space="preserve">Brick advance - Chota Bhai share</t>
  </si>
  <si>
    <t xml:space="preserve">Crushed stone / Gitti 600 CFT - Full payment</t>
  </si>
  <si>
    <t xml:space="preserve">Layout mapping / Naksha</t>
  </si>
  <si>
    <t xml:space="preserve">Layout mapping payment</t>
  </si>
  <si>
    <t xml:space="preserve">Engineer advance for construction supervision</t>
  </si>
  <si>
    <t xml:space="preserve">Engineer advance</t>
  </si>
  <si>
    <t xml:space="preserve">Panni ₹600 + Tegadi/Kudal ₹1,175 + Food ration ₹3,285</t>
  </si>
  <si>
    <t xml:space="preserve">Misc site purchases</t>
  </si>
  <si>
    <t xml:space="preserve">Soft wire ₹1,300 + Cover blocks 6×₹350 + Labour ₹100</t>
  </si>
  <si>
    <t xml:space="preserve">Wire + cover blocks + labour</t>
  </si>
  <si>
    <t xml:space="preserve">Cement 60bags ₹21,600 + Transport ₹250 + Labour ₹250 + Metal sheet ₹2,700</t>
  </si>
  <si>
    <t xml:space="preserve">Cement + transport + labour + metal sheet</t>
  </si>
  <si>
    <t xml:space="preserve">Engineer advance - Net Banking</t>
  </si>
  <si>
    <t xml:space="preserve">Net banking transfer</t>
  </si>
  <si>
    <t xml:space="preserve">Gitti 37.64 Ton @ ₹2,550/ton</t>
  </si>
  <si>
    <t xml:space="preserve">Gitti 2nd delivery</t>
  </si>
  <si>
    <t xml:space="preserve">Cement 50 bags ₹18,000 + Transport ₹300 + Labour ₹350</t>
  </si>
  <si>
    <t xml:space="preserve">New vendor - Naveen Hardware, Net Banking</t>
  </si>
  <si>
    <t xml:space="preserve">Engineer payment</t>
  </si>
  <si>
    <t xml:space="preserve">Papa to Econ Builder</t>
  </si>
  <si>
    <t xml:space="preserve">Steel/Iron + Building Materials</t>
  </si>
  <si>
    <t xml:space="preserve">Bill 2: Steel 12/10/8/6mm + Cement 50bags + Dr Fixit 20L + Transport + Labour</t>
  </si>
  <si>
    <t xml:space="preserve">Pappu Hardware Bill 2 - Net Banking</t>
  </si>
  <si>
    <t xml:space="preserve">Earth filling labour - 66 labourers @ ₹350</t>
  </si>
  <si>
    <t xml:space="preserve">Papa to Daily Labour - earth filling labour</t>
  </si>
  <si>
    <t xml:space="preserve">Engineer payment ₹1L</t>
  </si>
  <si>
    <t xml:space="preserve">Self to Econ Builder</t>
  </si>
  <si>
    <t xml:space="preserve">MATERIAL PURCHASE SUMMARY</t>
  </si>
  <si>
    <t xml:space="preserve">Auto-calculated from All Transactions using SUMIFS. No manual entry needed.</t>
  </si>
  <si>
    <t xml:space="preserve">Total Qty</t>
  </si>
  <si>
    <t xml:space="preserve">Avg Rate ₹</t>
  </si>
  <si>
    <t xml:space="preserve">Total Gross ₹</t>
  </si>
  <si>
    <t xml:space="preserve">Total Discount ₹</t>
  </si>
  <si>
    <t xml:space="preserve">Total Net ₹</t>
  </si>
  <si>
    <t xml:space="preserve">% of Total</t>
  </si>
  <si>
    <t xml:space="preserve">TOTAL MATERIALS</t>
  </si>
  <si>
    <t xml:space="preserve">ENGINEER &amp; LABOUR PAYMENT TRACKER</t>
  </si>
  <si>
    <t xml:space="preserve">All payments to Engineer, Sonbhai, daily labour. Track by shift and purpose.</t>
  </si>
  <si>
    <t xml:space="preserve">Shift/Period</t>
  </si>
  <si>
    <t xml:space="preserve">Paid To</t>
  </si>
  <si>
    <t xml:space="preserve">Purpose</t>
  </si>
  <si>
    <t xml:space="preserve">One-time</t>
  </si>
  <si>
    <t xml:space="preserve">Visit Charge</t>
  </si>
  <si>
    <t xml:space="preserve">Advance for new house construction</t>
  </si>
  <si>
    <t xml:space="preserve">Daily</t>
  </si>
  <si>
    <t xml:space="preserve">Labour Wages</t>
  </si>
  <si>
    <t xml:space="preserve">Chanarveer - site cleaning</t>
  </si>
  <si>
    <t xml:space="preserve">MONTH-WISE EXPENSE SUMMARY</t>
  </si>
  <si>
    <t xml:space="preserve">Auto-calculated from All Transactions using SUMIFS by month and category.</t>
  </si>
  <si>
    <t xml:space="preserve">Building Materials ₹</t>
  </si>
  <si>
    <t xml:space="preserve">Steel/Iron ₹</t>
  </si>
  <si>
    <t xml:space="preserve">Electrical ₹</t>
  </si>
  <si>
    <t xml:space="preserve">Labour ₹</t>
  </si>
  <si>
    <t xml:space="preserve">Food/Provisions ₹</t>
  </si>
  <si>
    <t xml:space="preserve">Professional Fees ₹</t>
  </si>
  <si>
    <t xml:space="preserve">Land Development ₹</t>
  </si>
  <si>
    <t xml:space="preserve">Miscellaneous ₹</t>
  </si>
  <si>
    <t xml:space="preserve">TOTAL ₹</t>
  </si>
  <si>
    <t xml:space="preserve">May-2027</t>
  </si>
  <si>
    <t xml:space="preserve">Jun-2027</t>
  </si>
  <si>
    <t xml:space="preserve">Jul-2027</t>
  </si>
  <si>
    <t xml:space="preserve">Aug-2027</t>
  </si>
  <si>
    <t xml:space="preserve">Sep-2027</t>
  </si>
  <si>
    <t xml:space="preserve">Oct-2027</t>
  </si>
  <si>
    <t xml:space="preserve">Nov-2027</t>
  </si>
  <si>
    <t xml:space="preserve">Dec-2027</t>
  </si>
  <si>
    <t xml:space="preserve">GRAND TOTAL</t>
  </si>
  <si>
    <t xml:space="preserve">VENDOR-WISE PAYMENT SUMMARY</t>
  </si>
  <si>
    <t xml:space="preserve">Billed from All Transactions | Paid from Payment Tracker | Pending = Billed - Paid</t>
  </si>
  <si>
    <t xml:space="preserve">Txn Count</t>
  </si>
  <si>
    <t xml:space="preserve">Total Billed ₹</t>
  </si>
  <si>
    <t xml:space="preserve">Total Paid ₹</t>
  </si>
  <si>
    <t xml:space="preserve">% of Billed</t>
  </si>
  <si>
    <t xml:space="preserve">Top Category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</si>
</sst>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"/>
    <numFmt numFmtId="166" formatCode="#,##0.00"/>
    <numFmt numFmtId="167" formatCode="\₹#,##0.00"/>
    <numFmt numFmtId="168" formatCode="0.0%"/>
    <numFmt numFmtId="169" formatCode="dd\-mmm\-yyyy"/>
    <numFmt numFmtId="170" formatCode="_(* #,##0.00_);_(* \(#,##0.00\);_(* \-??_);_(@_)"/>
    <numFmt numFmtId="171" formatCode="#,##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10"/>
      <color rgb="FF00660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22"/>
      <color rgb="FF3B82F6"/>
      <name val="Arial"/>
      <family val="0"/>
      <charset val="1"/>
    </font>
    <font>
      <b val="true"/>
      <sz val="22"/>
      <color rgb="FF10B981"/>
      <name val="Arial"/>
      <family val="0"/>
      <charset val="1"/>
    </font>
    <font>
      <b val="true"/>
      <sz val="22"/>
      <color rgb="FFF59E0B"/>
      <name val="Arial"/>
      <family val="0"/>
      <charset val="1"/>
    </font>
    <font>
      <b val="true"/>
      <sz val="22"/>
      <color rgb="FFEF4444"/>
      <name val="Arial"/>
      <family val="0"/>
      <charset val="1"/>
    </font>
    <font>
      <sz val="8"/>
      <color rgb="FF94A3B8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9"/>
      <color rgb="FF3341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2A4A"/>
      <name val="Arial"/>
      <family val="2"/>
      <charset val="1"/>
    </font>
    <font>
      <i val="true"/>
      <sz val="9"/>
      <color rgb="FF6B728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color rgb="FF374151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37415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E3F2FD"/>
        <bgColor rgb="FFEFF6FF"/>
      </patternFill>
    </fill>
    <fill>
      <patternFill patternType="solid">
        <fgColor rgb="FFE8F5E9"/>
        <bgColor rgb="FFF1F5F9"/>
      </patternFill>
    </fill>
    <fill>
      <patternFill patternType="solid">
        <fgColor rgb="FFFFF9C4"/>
        <bgColor rgb="FFFFEBEE"/>
      </patternFill>
    </fill>
    <fill>
      <patternFill patternType="solid">
        <fgColor rgb="FFFFEBEE"/>
        <bgColor rgb="FFF1F5F9"/>
      </patternFill>
    </fill>
    <fill>
      <patternFill patternType="solid">
        <fgColor rgb="FFF8FAFC"/>
        <bgColor rgb="FFFFFFFF"/>
      </patternFill>
    </fill>
    <fill>
      <patternFill patternType="solid">
        <fgColor rgb="FF1E293B"/>
        <bgColor rgb="FF1B2A4A"/>
      </patternFill>
    </fill>
    <fill>
      <patternFill patternType="solid">
        <fgColor rgb="FF3B82F6"/>
        <bgColor rgb="FF0066CC"/>
      </patternFill>
    </fill>
    <fill>
      <patternFill patternType="solid">
        <fgColor rgb="FF10B981"/>
        <bgColor rgb="FF0D9488"/>
      </patternFill>
    </fill>
    <fill>
      <patternFill patternType="solid">
        <fgColor rgb="FFF59E0B"/>
        <bgColor rgb="FFF97316"/>
      </patternFill>
    </fill>
    <fill>
      <patternFill patternType="solid">
        <fgColor rgb="FFEF4444"/>
        <bgColor rgb="FFDC2626"/>
      </patternFill>
    </fill>
    <fill>
      <patternFill patternType="solid">
        <fgColor rgb="FFFFFFFF"/>
        <bgColor rgb="FFF8FAFC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medium">
        <color rgb="FF3B82F6"/>
      </top>
      <bottom/>
      <diagonal/>
    </border>
    <border diagonalUp="false" diagonalDown="false">
      <left/>
      <right/>
      <top style="medium">
        <color rgb="FF10B981"/>
      </top>
      <bottom/>
      <diagonal/>
    </border>
    <border diagonalUp="false" diagonalDown="false">
      <left/>
      <right/>
      <top style="medium">
        <color rgb="FFF59E0B"/>
      </top>
      <bottom/>
      <diagonal/>
    </border>
    <border diagonalUp="false" diagonalDown="false">
      <left/>
      <right/>
      <top style="medium">
        <color rgb="FFEF4444"/>
      </top>
      <bottom/>
      <diagonal/>
    </border>
    <border diagonalUp="false" diagonalDown="false">
      <left style="thin">
        <color rgb="FFE2E8F0"/>
      </left>
      <right style="thin">
        <color rgb="FFE2E8F0"/>
      </right>
      <top/>
      <bottom/>
      <diagonal/>
    </border>
    <border diagonalUp="false" diagonalDown="false"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1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1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1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1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1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1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7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7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7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0" fillId="14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4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14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0" fillId="7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7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7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7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36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4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4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4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4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4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8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5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5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5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0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1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0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1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4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8FAFC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CCCCC"/>
      <rgbColor rgb="FF808080"/>
      <rgbColor rgb="FF94A3B8"/>
      <rgbColor rgb="FFDC2626"/>
      <rgbColor rgb="FFFFF9C4"/>
      <rgbColor rgb="FFE3F2FD"/>
      <rgbColor rgb="FF374151"/>
      <rgbColor rgb="FFEF4444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8F5E9"/>
      <rgbColor rgb="FFE2E8F0"/>
      <rgbColor rgb="FFFFEBEE"/>
      <rgbColor rgb="FFB3B3B3"/>
      <rgbColor rgb="FFF1F5F9"/>
      <rgbColor rgb="FFEFF6FF"/>
      <rgbColor rgb="FFD9D9D9"/>
      <rgbColor rgb="FF3B82F6"/>
      <rgbColor rgb="FF33CCCC"/>
      <rgbColor rgb="FF99CC00"/>
      <rgbColor rgb="FFFFCC00"/>
      <rgbColor rgb="FFF59E0B"/>
      <rgbColor rgb="FFF97316"/>
      <rgbColor rgb="FF6B7280"/>
      <rgbColor rgb="FF999999"/>
      <rgbColor rgb="FF1B2A4A"/>
      <rgbColor rgb="FF10B981"/>
      <rgbColor rgb="FF006600"/>
      <rgbColor rgb="FF1E293B"/>
      <rgbColor rgb="FFB45309"/>
      <rgbColor rgb="FF7C3AED"/>
      <rgbColor rgb="FF3341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Dashboard!L25</c:f>
              <c:strCache>
                <c:ptCount val="1"/>
                <c:pt idx="0">
                  <c:v>Spend ₹</c:v>
                </c:pt>
              </c:strCache>
            </c:strRef>
          </c:tx>
          <c:spPr>
            <a:solidFill>
              <a:srgbClr val="3b82f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Dashboard!$K$26:$K$37</c:f>
              <c:strCache>
                <c:ptCount val="12"/>
                <c:pt idx="0">
                  <c:v>May-2026</c:v>
                </c:pt>
                <c:pt idx="1">
                  <c:v>Jun-2026</c:v>
                </c:pt>
                <c:pt idx="2">
                  <c:v>Jul-2026</c:v>
                </c:pt>
                <c:pt idx="3">
                  <c:v>Aug-2026</c:v>
                </c:pt>
                <c:pt idx="4">
                  <c:v>Sep-2026</c:v>
                </c:pt>
                <c:pt idx="5">
                  <c:v>Oct-2026</c:v>
                </c:pt>
                <c:pt idx="6">
                  <c:v>Nov-2026</c:v>
                </c:pt>
                <c:pt idx="7">
                  <c:v>Dec-2026</c:v>
                </c:pt>
                <c:pt idx="8">
                  <c:v>Jan-2027</c:v>
                </c:pt>
                <c:pt idx="9">
                  <c:v>Feb-2027</c:v>
                </c:pt>
                <c:pt idx="10">
                  <c:v>Mar-2027</c:v>
                </c:pt>
                <c:pt idx="11">
                  <c:v>Apr-2027</c:v>
                </c:pt>
              </c:strCache>
            </c:strRef>
          </c:cat>
          <c:val>
            <c:numRef>
              <c:f>Dashboard!$L$26:$L$37</c:f>
              <c:numCache>
                <c:formatCode>\₹#,##0</c:formatCode>
                <c:ptCount val="12"/>
                <c:pt idx="0">
                  <c:v>829592</c:v>
                </c:pt>
                <c:pt idx="1">
                  <c:v>325930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8443607"/>
        <c:axId val="54945074"/>
      </c:barChart>
      <c:catAx>
        <c:axId val="384436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45074"/>
        <c:crosses val="autoZero"/>
        <c:auto val="1"/>
        <c:lblAlgn val="ctr"/>
        <c:lblOffset val="100"/>
        <c:noMultiLvlLbl val="0"/>
      </c:catAx>
      <c:valAx>
        <c:axId val="549450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43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47</xdr:row>
      <xdr:rowOff>0</xdr:rowOff>
    </xdr:from>
    <xdr:to>
      <xdr:col>10</xdr:col>
      <xdr:colOff>730080</xdr:colOff>
      <xdr:row>69</xdr:row>
      <xdr:rowOff>128520</xdr:rowOff>
    </xdr:to>
    <xdr:graphicFrame>
      <xdr:nvGraphicFramePr>
        <xdr:cNvPr id="0" name="Chart 1"/>
        <xdr:cNvGraphicFramePr/>
      </xdr:nvGraphicFramePr>
      <xdr:xfrm>
        <a:off x="141120" y="959184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</row>
    <row r="2" customFormat="false" ht="24.75" hidden="false" customHeight="true" outlineLevel="0" collapsed="false">
      <c r="A2" s="2" t="s">
        <v>1</v>
      </c>
      <c r="B2" s="2"/>
      <c r="C2" s="2"/>
      <c r="D2" s="2"/>
    </row>
    <row r="4" customFormat="false" ht="16.15" hidden="false" customHeight="false" outlineLevel="0" collapsed="false">
      <c r="B4" s="3" t="s">
        <v>2</v>
      </c>
      <c r="C4" s="3"/>
    </row>
    <row r="5" customFormat="false" ht="15" hidden="false" customHeight="false" outlineLevel="0" collapsed="false">
      <c r="B5" s="4" t="s">
        <v>3</v>
      </c>
      <c r="C5" s="4"/>
    </row>
    <row r="6" customFormat="false" ht="15" hidden="false" customHeight="false" outlineLevel="0" collapsed="false">
      <c r="B6" s="5" t="s">
        <v>4</v>
      </c>
      <c r="C6" s="5"/>
    </row>
    <row r="7" customFormat="false" ht="15" hidden="false" customHeight="false" outlineLevel="0" collapsed="false">
      <c r="B7" s="4"/>
      <c r="C7" s="4"/>
    </row>
    <row r="8" customFormat="false" ht="15" hidden="false" customHeight="false" outlineLevel="0" collapsed="false">
      <c r="B8" s="6" t="s">
        <v>5</v>
      </c>
      <c r="C8" s="6"/>
    </row>
    <row r="9" customFormat="false" ht="15" hidden="false" customHeight="false" outlineLevel="0" collapsed="false">
      <c r="B9" s="4" t="s">
        <v>6</v>
      </c>
      <c r="C9" s="4"/>
    </row>
    <row r="10" customFormat="false" ht="15" hidden="false" customHeight="false" outlineLevel="0" collapsed="false">
      <c r="B10" s="4" t="s">
        <v>7</v>
      </c>
      <c r="C10" s="4"/>
    </row>
    <row r="11" customFormat="false" ht="15" hidden="false" customHeight="false" outlineLevel="0" collapsed="false">
      <c r="B11" s="4"/>
      <c r="C11" s="4"/>
    </row>
    <row r="12" customFormat="false" ht="15" hidden="false" customHeight="false" outlineLevel="0" collapsed="false">
      <c r="B12" s="6" t="s">
        <v>8</v>
      </c>
      <c r="C12" s="6"/>
    </row>
    <row r="13" customFormat="false" ht="15" hidden="false" customHeight="false" outlineLevel="0" collapsed="false">
      <c r="B13" s="4" t="s">
        <v>9</v>
      </c>
      <c r="C13" s="4"/>
    </row>
    <row r="14" customFormat="false" ht="15" hidden="false" customHeight="false" outlineLevel="0" collapsed="false">
      <c r="B14" s="4" t="s">
        <v>10</v>
      </c>
      <c r="C14" s="4"/>
    </row>
    <row r="15" customFormat="false" ht="15" hidden="false" customHeight="false" outlineLevel="0" collapsed="false">
      <c r="B15" s="4" t="s">
        <v>11</v>
      </c>
      <c r="C15" s="4"/>
    </row>
    <row r="16" customFormat="false" ht="15" hidden="false" customHeight="false" outlineLevel="0" collapsed="false">
      <c r="B16" s="4" t="s">
        <v>12</v>
      </c>
      <c r="C16" s="4"/>
    </row>
    <row r="17" customFormat="false" ht="15" hidden="false" customHeight="false" outlineLevel="0" collapsed="false">
      <c r="B17" s="4"/>
      <c r="C17" s="4"/>
    </row>
    <row r="18" customFormat="false" ht="15" hidden="false" customHeight="false" outlineLevel="0" collapsed="false">
      <c r="B18" s="6" t="s">
        <v>13</v>
      </c>
      <c r="C18" s="6"/>
    </row>
    <row r="19" customFormat="false" ht="15" hidden="false" customHeight="false" outlineLevel="0" collapsed="false">
      <c r="B19" s="4" t="s">
        <v>14</v>
      </c>
      <c r="C19" s="4"/>
    </row>
    <row r="20" customFormat="false" ht="15" hidden="false" customHeight="false" outlineLevel="0" collapsed="false">
      <c r="B20" s="4" t="s">
        <v>15</v>
      </c>
      <c r="C20" s="4"/>
    </row>
    <row r="21" customFormat="false" ht="15" hidden="false" customHeight="false" outlineLevel="0" collapsed="false">
      <c r="B21" s="4" t="s">
        <v>16</v>
      </c>
      <c r="C21" s="4"/>
    </row>
    <row r="23" customFormat="false" ht="16.15" hidden="false" customHeight="false" outlineLevel="0" collapsed="false">
      <c r="B23" s="7" t="s">
        <v>17</v>
      </c>
      <c r="C23" s="7"/>
    </row>
    <row r="24" customFormat="false" ht="15" hidden="false" customHeight="false" outlineLevel="0" collapsed="false">
      <c r="B24" s="8" t="s">
        <v>18</v>
      </c>
      <c r="C24" s="9" t="s">
        <v>19</v>
      </c>
    </row>
    <row r="25" customFormat="false" ht="15" hidden="false" customHeight="false" outlineLevel="0" collapsed="false">
      <c r="B25" s="8" t="s">
        <v>20</v>
      </c>
      <c r="C25" s="9" t="s">
        <v>21</v>
      </c>
    </row>
    <row r="26" customFormat="false" ht="15" hidden="false" customHeight="false" outlineLevel="0" collapsed="false">
      <c r="B26" s="9"/>
      <c r="C26" s="9"/>
    </row>
    <row r="27" customFormat="false" ht="15" hidden="false" customHeight="false" outlineLevel="0" collapsed="false">
      <c r="B27" s="8" t="s">
        <v>22</v>
      </c>
      <c r="C27" s="9"/>
    </row>
    <row r="28" customFormat="false" ht="15" hidden="false" customHeight="false" outlineLevel="0" collapsed="false">
      <c r="B28" s="9" t="s">
        <v>23</v>
      </c>
      <c r="C28" s="9" t="s">
        <v>24</v>
      </c>
    </row>
    <row r="29" customFormat="false" ht="15" hidden="false" customHeight="false" outlineLevel="0" collapsed="false">
      <c r="B29" s="9" t="s">
        <v>25</v>
      </c>
      <c r="C29" s="9" t="s">
        <v>26</v>
      </c>
    </row>
    <row r="30" customFormat="false" ht="15" hidden="false" customHeight="false" outlineLevel="0" collapsed="false">
      <c r="B30" s="9" t="s">
        <v>27</v>
      </c>
      <c r="C30" s="9" t="s">
        <v>28</v>
      </c>
    </row>
    <row r="31" customFormat="false" ht="15" hidden="false" customHeight="false" outlineLevel="0" collapsed="false">
      <c r="B31" s="9" t="s">
        <v>29</v>
      </c>
      <c r="C31" s="9" t="s">
        <v>30</v>
      </c>
    </row>
    <row r="32" customFormat="false" ht="15" hidden="false" customHeight="false" outlineLevel="0" collapsed="false">
      <c r="B32" s="9" t="s">
        <v>31</v>
      </c>
      <c r="C32" s="9" t="s">
        <v>32</v>
      </c>
    </row>
    <row r="33" customFormat="false" ht="15" hidden="false" customHeight="false" outlineLevel="0" collapsed="false">
      <c r="B33" s="9" t="s">
        <v>33</v>
      </c>
      <c r="C33" s="9" t="s">
        <v>34</v>
      </c>
    </row>
    <row r="34" customFormat="false" ht="15" hidden="false" customHeight="false" outlineLevel="0" collapsed="false">
      <c r="B34" s="9" t="s">
        <v>35</v>
      </c>
      <c r="C34" s="9" t="s">
        <v>36</v>
      </c>
    </row>
    <row r="35" customFormat="false" ht="15" hidden="false" customHeight="false" outlineLevel="0" collapsed="false">
      <c r="B35" s="9" t="s">
        <v>37</v>
      </c>
      <c r="C35" s="9" t="s">
        <v>38</v>
      </c>
    </row>
    <row r="36" customFormat="false" ht="15" hidden="false" customHeight="false" outlineLevel="0" collapsed="false">
      <c r="B36" s="9" t="s">
        <v>39</v>
      </c>
      <c r="C36" s="9" t="s">
        <v>40</v>
      </c>
    </row>
    <row r="37" customFormat="false" ht="15" hidden="false" customHeight="false" outlineLevel="0" collapsed="false">
      <c r="B37" s="9" t="s">
        <v>41</v>
      </c>
      <c r="C37" s="9" t="s">
        <v>42</v>
      </c>
    </row>
    <row r="38" customFormat="false" ht="15" hidden="false" customHeight="false" outlineLevel="0" collapsed="false">
      <c r="B38" s="9" t="s">
        <v>43</v>
      </c>
      <c r="C38" s="9" t="s">
        <v>44</v>
      </c>
    </row>
    <row r="39" customFormat="false" ht="15" hidden="false" customHeight="false" outlineLevel="0" collapsed="false">
      <c r="B39" s="9" t="s">
        <v>45</v>
      </c>
      <c r="C39" s="9" t="s">
        <v>46</v>
      </c>
    </row>
    <row r="40" customFormat="false" ht="15" hidden="false" customHeight="false" outlineLevel="0" collapsed="false">
      <c r="B40" s="9" t="s">
        <v>47</v>
      </c>
      <c r="C40" s="9" t="s">
        <v>48</v>
      </c>
    </row>
    <row r="41" customFormat="false" ht="15" hidden="false" customHeight="false" outlineLevel="0" collapsed="false">
      <c r="B41" s="9" t="s">
        <v>49</v>
      </c>
      <c r="C41" s="10" t="s">
        <v>50</v>
      </c>
    </row>
    <row r="42" customFormat="false" ht="15" hidden="false" customHeight="false" outlineLevel="0" collapsed="false">
      <c r="B42" s="9" t="s">
        <v>51</v>
      </c>
      <c r="C42" s="10" t="s">
        <v>52</v>
      </c>
    </row>
    <row r="43" customFormat="false" ht="15" hidden="false" customHeight="false" outlineLevel="0" collapsed="false">
      <c r="B43" s="9" t="s">
        <v>53</v>
      </c>
      <c r="C43" s="9" t="s">
        <v>54</v>
      </c>
    </row>
    <row r="44" customFormat="false" ht="15" hidden="false" customHeight="false" outlineLevel="0" collapsed="false">
      <c r="B44" s="9" t="s">
        <v>55</v>
      </c>
      <c r="C44" s="9" t="s">
        <v>56</v>
      </c>
    </row>
    <row r="46" customFormat="false" ht="15" hidden="false" customHeight="false" outlineLevel="0" collapsed="false">
      <c r="B46" s="11" t="s">
        <v>57</v>
      </c>
      <c r="C46" s="11"/>
    </row>
    <row r="48" customFormat="false" ht="16.15" hidden="false" customHeight="false" outlineLevel="0" collapsed="false">
      <c r="B48" s="7" t="s">
        <v>58</v>
      </c>
      <c r="C48" s="7"/>
    </row>
    <row r="49" customFormat="false" ht="15" hidden="false" customHeight="false" outlineLevel="0" collapsed="false">
      <c r="B49" s="8" t="s">
        <v>18</v>
      </c>
      <c r="C49" s="9" t="s">
        <v>59</v>
      </c>
    </row>
    <row r="50" customFormat="false" ht="15" hidden="false" customHeight="false" outlineLevel="0" collapsed="false">
      <c r="B50" s="8" t="s">
        <v>20</v>
      </c>
      <c r="C50" s="9" t="s">
        <v>60</v>
      </c>
    </row>
    <row r="51" customFormat="false" ht="15" hidden="false" customHeight="false" outlineLevel="0" collapsed="false">
      <c r="B51" s="8" t="s">
        <v>61</v>
      </c>
      <c r="C51" s="9" t="s">
        <v>62</v>
      </c>
    </row>
    <row r="52" customFormat="false" ht="15" hidden="false" customHeight="false" outlineLevel="0" collapsed="false">
      <c r="B52" s="9"/>
      <c r="C52" s="9" t="s">
        <v>63</v>
      </c>
    </row>
    <row r="53" customFormat="false" ht="15" hidden="false" customHeight="false" outlineLevel="0" collapsed="false">
      <c r="B53" s="9"/>
      <c r="C53" s="9" t="s">
        <v>64</v>
      </c>
    </row>
    <row r="54" customFormat="false" ht="15" hidden="false" customHeight="false" outlineLevel="0" collapsed="false">
      <c r="B54" s="9"/>
      <c r="C54" s="9" t="s">
        <v>65</v>
      </c>
    </row>
    <row r="55" customFormat="false" ht="15" hidden="false" customHeight="false" outlineLevel="0" collapsed="false">
      <c r="B55" s="9"/>
      <c r="C55" s="9"/>
    </row>
    <row r="56" customFormat="false" ht="15" hidden="false" customHeight="false" outlineLevel="0" collapsed="false">
      <c r="B56" s="8" t="s">
        <v>22</v>
      </c>
      <c r="C56" s="9"/>
    </row>
    <row r="57" customFormat="false" ht="15" hidden="false" customHeight="false" outlineLevel="0" collapsed="false">
      <c r="B57" s="9" t="s">
        <v>25</v>
      </c>
      <c r="C57" s="9" t="s">
        <v>66</v>
      </c>
    </row>
    <row r="58" customFormat="false" ht="15" hidden="false" customHeight="false" outlineLevel="0" collapsed="false">
      <c r="B58" s="9" t="s">
        <v>67</v>
      </c>
      <c r="C58" s="9" t="s">
        <v>54</v>
      </c>
    </row>
    <row r="59" customFormat="false" ht="15" hidden="false" customHeight="false" outlineLevel="0" collapsed="false">
      <c r="B59" s="9" t="s">
        <v>68</v>
      </c>
      <c r="C59" s="9" t="s">
        <v>69</v>
      </c>
    </row>
    <row r="60" customFormat="false" ht="15" hidden="false" customHeight="false" outlineLevel="0" collapsed="false">
      <c r="B60" s="9" t="s">
        <v>31</v>
      </c>
      <c r="C60" s="9" t="s">
        <v>70</v>
      </c>
    </row>
    <row r="61" customFormat="false" ht="15" hidden="false" customHeight="false" outlineLevel="0" collapsed="false">
      <c r="B61" s="9" t="s">
        <v>71</v>
      </c>
      <c r="C61" s="9" t="s">
        <v>72</v>
      </c>
    </row>
    <row r="62" customFormat="false" ht="15" hidden="false" customHeight="false" outlineLevel="0" collapsed="false">
      <c r="B62" s="9" t="s">
        <v>73</v>
      </c>
      <c r="C62" s="9" t="s">
        <v>74</v>
      </c>
    </row>
    <row r="63" customFormat="false" ht="15" hidden="false" customHeight="false" outlineLevel="0" collapsed="false">
      <c r="B63" s="9" t="s">
        <v>75</v>
      </c>
      <c r="C63" s="9" t="s">
        <v>56</v>
      </c>
    </row>
    <row r="64" customFormat="false" ht="15" hidden="false" customHeight="false" outlineLevel="0" collapsed="false">
      <c r="B64" s="9" t="s">
        <v>76</v>
      </c>
      <c r="C64" s="10" t="s">
        <v>77</v>
      </c>
    </row>
    <row r="65" customFormat="false" ht="15" hidden="false" customHeight="false" outlineLevel="0" collapsed="false">
      <c r="B65" s="9" t="s">
        <v>78</v>
      </c>
      <c r="C65" s="9" t="s">
        <v>79</v>
      </c>
    </row>
    <row r="67" customFormat="false" ht="15" hidden="false" customHeight="false" outlineLevel="0" collapsed="false">
      <c r="B67" s="11" t="s">
        <v>80</v>
      </c>
      <c r="C67" s="11"/>
    </row>
    <row r="69" customFormat="false" ht="16.15" hidden="false" customHeight="false" outlineLevel="0" collapsed="false">
      <c r="B69" s="12" t="s">
        <v>81</v>
      </c>
      <c r="C69" s="12"/>
    </row>
    <row r="70" customFormat="false" ht="15" hidden="false" customHeight="false" outlineLevel="0" collapsed="false">
      <c r="B70" s="13" t="s">
        <v>82</v>
      </c>
      <c r="C70" s="13"/>
    </row>
    <row r="71" customFormat="false" ht="15" hidden="false" customHeight="false" outlineLevel="0" collapsed="false">
      <c r="B71" s="4" t="s">
        <v>83</v>
      </c>
      <c r="C71" s="4"/>
    </row>
    <row r="72" customFormat="false" ht="15" hidden="false" customHeight="false" outlineLevel="0" collapsed="false">
      <c r="B72" s="4" t="s">
        <v>84</v>
      </c>
      <c r="C72" s="4"/>
    </row>
    <row r="73" customFormat="false" ht="15" hidden="false" customHeight="false" outlineLevel="0" collapsed="false">
      <c r="B73" s="4" t="s">
        <v>85</v>
      </c>
      <c r="C73" s="4"/>
    </row>
    <row r="74" customFormat="false" ht="15" hidden="false" customHeight="false" outlineLevel="0" collapsed="false">
      <c r="B74" s="4" t="s">
        <v>86</v>
      </c>
      <c r="C74" s="4"/>
    </row>
    <row r="75" customFormat="false" ht="15" hidden="false" customHeight="false" outlineLevel="0" collapsed="false">
      <c r="B75" s="4" t="s">
        <v>87</v>
      </c>
      <c r="C75" s="4"/>
    </row>
    <row r="76" customFormat="false" ht="15" hidden="false" customHeight="false" outlineLevel="0" collapsed="false">
      <c r="B76" s="4" t="s">
        <v>88</v>
      </c>
      <c r="C76" s="4"/>
    </row>
    <row r="77" customFormat="false" ht="15" hidden="false" customHeight="false" outlineLevel="0" collapsed="false">
      <c r="B77" s="4" t="s">
        <v>89</v>
      </c>
      <c r="C77" s="4"/>
    </row>
    <row r="78" customFormat="false" ht="15" hidden="false" customHeight="false" outlineLevel="0" collapsed="false">
      <c r="B78" s="4" t="s">
        <v>90</v>
      </c>
      <c r="C78" s="4"/>
    </row>
    <row r="79" customFormat="false" ht="15" hidden="false" customHeight="false" outlineLevel="0" collapsed="false">
      <c r="B79" s="4" t="s">
        <v>91</v>
      </c>
      <c r="C79" s="4"/>
    </row>
    <row r="81" customFormat="false" ht="16.15" hidden="false" customHeight="false" outlineLevel="0" collapsed="false">
      <c r="B81" s="3" t="s">
        <v>92</v>
      </c>
      <c r="C81" s="3"/>
    </row>
    <row r="82" customFormat="false" ht="15" hidden="false" customHeight="false" outlineLevel="0" collapsed="false">
      <c r="B82" s="8" t="s">
        <v>93</v>
      </c>
      <c r="C82" s="9" t="s">
        <v>94</v>
      </c>
    </row>
    <row r="83" customFormat="false" ht="15" hidden="false" customHeight="false" outlineLevel="0" collapsed="false">
      <c r="B83" s="8" t="s">
        <v>95</v>
      </c>
      <c r="C83" s="9" t="s">
        <v>96</v>
      </c>
    </row>
    <row r="84" customFormat="false" ht="15" hidden="false" customHeight="false" outlineLevel="0" collapsed="false">
      <c r="B84" s="8"/>
      <c r="C84" s="9" t="s">
        <v>97</v>
      </c>
    </row>
    <row r="85" customFormat="false" ht="15" hidden="false" customHeight="false" outlineLevel="0" collapsed="false">
      <c r="B85" s="8"/>
      <c r="C85" s="9" t="s">
        <v>98</v>
      </c>
    </row>
    <row r="86" customFormat="false" ht="15" hidden="false" customHeight="false" outlineLevel="0" collapsed="false">
      <c r="B86" s="8"/>
      <c r="C86" s="9" t="s">
        <v>99</v>
      </c>
    </row>
    <row r="87" customFormat="false" ht="15" hidden="false" customHeight="false" outlineLevel="0" collapsed="false">
      <c r="B87" s="8"/>
      <c r="C87" s="9" t="s">
        <v>100</v>
      </c>
    </row>
    <row r="88" customFormat="false" ht="15" hidden="false" customHeight="false" outlineLevel="0" collapsed="false">
      <c r="B88" s="8"/>
      <c r="C88" s="9" t="s">
        <v>101</v>
      </c>
    </row>
    <row r="89" customFormat="false" ht="15" hidden="false" customHeight="false" outlineLevel="0" collapsed="false">
      <c r="B89" s="8" t="s">
        <v>102</v>
      </c>
      <c r="C89" s="9" t="s">
        <v>103</v>
      </c>
    </row>
    <row r="90" customFormat="false" ht="15" hidden="false" customHeight="false" outlineLevel="0" collapsed="false">
      <c r="B90" s="8" t="s">
        <v>104</v>
      </c>
      <c r="C90" s="9" t="s">
        <v>105</v>
      </c>
    </row>
    <row r="91" customFormat="false" ht="15" hidden="false" customHeight="false" outlineLevel="0" collapsed="false">
      <c r="B91" s="8" t="s">
        <v>106</v>
      </c>
      <c r="C91" s="9" t="s">
        <v>107</v>
      </c>
    </row>
    <row r="93" customFormat="false" ht="16.15" hidden="false" customHeight="false" outlineLevel="0" collapsed="false">
      <c r="B93" s="3" t="s">
        <v>108</v>
      </c>
      <c r="C93" s="3"/>
    </row>
    <row r="94" customFormat="false" ht="15" hidden="false" customHeight="false" outlineLevel="0" collapsed="false">
      <c r="B94" s="14" t="s">
        <v>109</v>
      </c>
      <c r="C94" s="15" t="s">
        <v>110</v>
      </c>
    </row>
    <row r="95" customFormat="false" ht="15" hidden="false" customHeight="false" outlineLevel="0" collapsed="false">
      <c r="B95" s="14" t="s">
        <v>111</v>
      </c>
      <c r="C95" s="15" t="s">
        <v>112</v>
      </c>
    </row>
    <row r="96" customFormat="false" ht="15" hidden="false" customHeight="false" outlineLevel="0" collapsed="false">
      <c r="B96" s="14" t="s">
        <v>113</v>
      </c>
      <c r="C96" s="15" t="s">
        <v>114</v>
      </c>
    </row>
    <row r="97" customFormat="false" ht="15" hidden="false" customHeight="false" outlineLevel="0" collapsed="false">
      <c r="B97" s="14" t="s">
        <v>115</v>
      </c>
      <c r="C97" s="15" t="s">
        <v>116</v>
      </c>
    </row>
    <row r="98" customFormat="false" ht="15" hidden="false" customHeight="false" outlineLevel="0" collapsed="false">
      <c r="B98" s="14" t="s">
        <v>117</v>
      </c>
      <c r="C98" s="15" t="s">
        <v>118</v>
      </c>
    </row>
    <row r="99" customFormat="false" ht="15" hidden="false" customHeight="false" outlineLevel="0" collapsed="false">
      <c r="B99" s="14" t="s">
        <v>119</v>
      </c>
      <c r="C99" s="15" t="s">
        <v>120</v>
      </c>
    </row>
    <row r="100" customFormat="false" ht="15" hidden="false" customHeight="false" outlineLevel="0" collapsed="false">
      <c r="B100" s="14" t="s">
        <v>121</v>
      </c>
      <c r="C100" s="15" t="s">
        <v>122</v>
      </c>
    </row>
    <row r="101" customFormat="false" ht="15" hidden="false" customHeight="false" outlineLevel="0" collapsed="false">
      <c r="B101" s="14" t="s">
        <v>123</v>
      </c>
      <c r="C101" s="15" t="s">
        <v>124</v>
      </c>
    </row>
    <row r="102" customFormat="false" ht="15" hidden="false" customHeight="false" outlineLevel="0" collapsed="false">
      <c r="B102" s="14" t="s">
        <v>125</v>
      </c>
      <c r="C102" s="15" t="s">
        <v>126</v>
      </c>
    </row>
    <row r="104" customFormat="false" ht="16.15" hidden="false" customHeight="false" outlineLevel="0" collapsed="false">
      <c r="B104" s="3" t="s">
        <v>127</v>
      </c>
      <c r="C104" s="3"/>
    </row>
    <row r="105" customFormat="false" ht="15" hidden="false" customHeight="false" outlineLevel="0" collapsed="false">
      <c r="B105" s="14" t="s">
        <v>128</v>
      </c>
      <c r="C105" s="15" t="s">
        <v>129</v>
      </c>
    </row>
    <row r="106" customFormat="false" ht="15" hidden="false" customHeight="false" outlineLevel="0" collapsed="false">
      <c r="B106" s="14" t="s">
        <v>130</v>
      </c>
      <c r="C106" s="15" t="s">
        <v>131</v>
      </c>
    </row>
    <row r="107" customFormat="false" ht="15" hidden="false" customHeight="false" outlineLevel="0" collapsed="false">
      <c r="B107" s="14" t="s">
        <v>132</v>
      </c>
      <c r="C107" s="15" t="s">
        <v>133</v>
      </c>
    </row>
    <row r="108" customFormat="false" ht="15" hidden="false" customHeight="false" outlineLevel="0" collapsed="false">
      <c r="B108" s="14" t="s">
        <v>134</v>
      </c>
      <c r="C108" s="15" t="s">
        <v>135</v>
      </c>
    </row>
    <row r="110" customFormat="false" ht="15" hidden="false" customHeight="false" outlineLevel="0" collapsed="false">
      <c r="B110" s="16" t="s">
        <v>136</v>
      </c>
      <c r="C110" s="16"/>
    </row>
  </sheetData>
  <mergeCells count="39">
    <mergeCell ref="A1:D1"/>
    <mergeCell ref="A2:D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3:C23"/>
    <mergeCell ref="B46:C46"/>
    <mergeCell ref="B48:C48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C81"/>
    <mergeCell ref="B93:C93"/>
    <mergeCell ref="B104:C104"/>
    <mergeCell ref="B110:C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2"/>
    <col collapsed="false" customWidth="true" hidden="false" outlineLevel="0" max="2" min="2" style="17" width="18"/>
    <col collapsed="false" customWidth="true" hidden="false" outlineLevel="0" max="3" min="3" style="17" width="14"/>
    <col collapsed="false" customWidth="true" hidden="false" outlineLevel="0" max="4" min="4" style="17" width="2"/>
    <col collapsed="false" customWidth="true" hidden="false" outlineLevel="0" max="5" min="5" style="17" width="18"/>
    <col collapsed="false" customWidth="true" hidden="false" outlineLevel="0" max="6" min="6" style="17" width="14"/>
    <col collapsed="false" customWidth="true" hidden="false" outlineLevel="0" max="7" min="7" style="17" width="2"/>
    <col collapsed="false" customWidth="true" hidden="false" outlineLevel="0" max="8" min="8" style="17" width="18"/>
    <col collapsed="false" customWidth="true" hidden="false" outlineLevel="0" max="9" min="9" style="17" width="14"/>
    <col collapsed="false" customWidth="true" hidden="false" outlineLevel="0" max="10" min="10" style="17" width="2"/>
    <col collapsed="false" customWidth="true" hidden="false" outlineLevel="0" max="11" min="11" style="17" width="18"/>
    <col collapsed="false" customWidth="true" hidden="false" outlineLevel="0" max="12" min="12" style="17" width="14"/>
    <col collapsed="false" customWidth="true" hidden="false" outlineLevel="0" max="14" min="13" style="17" width="2"/>
  </cols>
  <sheetData>
    <row r="1" customFormat="false" ht="6" hidden="false" customHeight="true" outlineLevel="0" collapsed="false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customFormat="false" ht="37.5" hidden="false" customHeight="true" outlineLevel="0" collapsed="false">
      <c r="A2" s="20" t="s">
        <v>137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9"/>
    </row>
    <row r="3" customFormat="false" ht="24" hidden="false" customHeight="true" outlineLevel="0" collapsed="false">
      <c r="A3" s="21" t="s">
        <v>138</v>
      </c>
      <c r="B3" s="21"/>
      <c r="C3" s="21"/>
      <c r="D3" s="21"/>
      <c r="E3" s="21"/>
      <c r="F3" s="21"/>
      <c r="G3" s="22" t="s">
        <v>139</v>
      </c>
      <c r="H3" s="22"/>
      <c r="I3" s="22"/>
      <c r="J3" s="22"/>
      <c r="K3" s="22"/>
      <c r="L3" s="22"/>
      <c r="M3" s="22"/>
      <c r="N3" s="19"/>
    </row>
    <row r="4" customFormat="false" ht="9.75" hidden="false" customHeight="true" outlineLevel="0" collapsed="false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customFormat="false" ht="3.75" hidden="false" customHeight="true" outlineLevel="0" collapsed="false">
      <c r="A5" s="19"/>
      <c r="B5" s="23"/>
      <c r="C5" s="23"/>
      <c r="D5" s="19"/>
      <c r="E5" s="24"/>
      <c r="F5" s="24"/>
      <c r="G5" s="19"/>
      <c r="H5" s="25"/>
      <c r="I5" s="25"/>
      <c r="J5" s="19"/>
      <c r="K5" s="26"/>
      <c r="L5" s="26"/>
      <c r="M5" s="19"/>
      <c r="N5" s="19"/>
    </row>
    <row r="6" customFormat="false" ht="19.5" hidden="false" customHeight="true" outlineLevel="0" collapsed="false">
      <c r="A6" s="19"/>
      <c r="B6" s="27" t="s">
        <v>140</v>
      </c>
      <c r="C6" s="27"/>
      <c r="D6" s="19"/>
      <c r="E6" s="27" t="s">
        <v>141</v>
      </c>
      <c r="F6" s="27"/>
      <c r="G6" s="19"/>
      <c r="H6" s="27" t="s">
        <v>142</v>
      </c>
      <c r="I6" s="27"/>
      <c r="J6" s="19"/>
      <c r="K6" s="27" t="s">
        <v>143</v>
      </c>
      <c r="L6" s="27"/>
      <c r="M6" s="19"/>
      <c r="N6" s="19"/>
    </row>
    <row r="7" customFormat="false" ht="33.75" hidden="false" customHeight="true" outlineLevel="0" collapsed="false">
      <c r="A7" s="19"/>
      <c r="B7" s="28" t="n">
        <f aca="false">SUM('Payment Tracker'!G5:G100)</f>
        <v>1334422</v>
      </c>
      <c r="C7" s="28"/>
      <c r="D7" s="19"/>
      <c r="E7" s="29" t="n">
        <f aca="false">'Vendor Summary'!C17</f>
        <v>1108712</v>
      </c>
      <c r="F7" s="29"/>
      <c r="G7" s="19"/>
      <c r="H7" s="30" t="n">
        <f aca="false">SUM('Payment Tracker'!G5:G100)-'Vendor Summary'!C17</f>
        <v>225710</v>
      </c>
      <c r="I7" s="30"/>
      <c r="J7" s="19"/>
      <c r="K7" s="31" t="n">
        <f aca="false">'Vendor Summary'!E17</f>
        <v>-178900</v>
      </c>
      <c r="L7" s="31"/>
      <c r="M7" s="19"/>
      <c r="N7" s="19"/>
    </row>
    <row r="8" customFormat="false" ht="18" hidden="false" customHeight="true" outlineLevel="0" collapsed="false">
      <c r="A8" s="19"/>
      <c r="B8" s="32" t="s">
        <v>144</v>
      </c>
      <c r="C8" s="32"/>
      <c r="D8" s="19"/>
      <c r="E8" s="32" t="s">
        <v>145</v>
      </c>
      <c r="F8" s="32"/>
      <c r="G8" s="19"/>
      <c r="H8" s="32" t="s">
        <v>146</v>
      </c>
      <c r="I8" s="32"/>
      <c r="J8" s="19"/>
      <c r="K8" s="32" t="s">
        <v>147</v>
      </c>
      <c r="L8" s="32"/>
      <c r="M8" s="19"/>
      <c r="N8" s="19"/>
    </row>
    <row r="9" customFormat="false" ht="12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customFormat="false" ht="25.5" hidden="false" customHeight="true" outlineLevel="0" collapsed="false">
      <c r="A10" s="19"/>
      <c r="B10" s="33" t="s">
        <v>148</v>
      </c>
      <c r="C10" s="33"/>
      <c r="D10" s="19"/>
      <c r="E10" s="33" t="s">
        <v>149</v>
      </c>
      <c r="F10" s="33"/>
      <c r="G10" s="19"/>
      <c r="H10" s="33" t="s">
        <v>150</v>
      </c>
      <c r="I10" s="33"/>
      <c r="J10" s="33"/>
      <c r="K10" s="33"/>
      <c r="L10" s="33"/>
      <c r="M10" s="19"/>
      <c r="N10" s="19"/>
    </row>
    <row r="11" customFormat="false" ht="15" hidden="false" customHeight="true" outlineLevel="0" collapsed="false">
      <c r="A11" s="19"/>
      <c r="B11" s="34" t="s">
        <v>151</v>
      </c>
      <c r="C11" s="34" t="s">
        <v>152</v>
      </c>
      <c r="D11" s="19"/>
      <c r="E11" s="34" t="s">
        <v>153</v>
      </c>
      <c r="F11" s="34" t="s">
        <v>152</v>
      </c>
      <c r="G11" s="19"/>
      <c r="H11" s="34" t="s">
        <v>154</v>
      </c>
      <c r="I11" s="34" t="s">
        <v>155</v>
      </c>
      <c r="J11" s="34" t="s">
        <v>156</v>
      </c>
      <c r="K11" s="34" t="s">
        <v>157</v>
      </c>
      <c r="L11" s="34" t="s">
        <v>158</v>
      </c>
      <c r="M11" s="19"/>
      <c r="N11" s="19"/>
    </row>
    <row r="12" customFormat="false" ht="15" hidden="false" customHeight="true" outlineLevel="0" collapsed="false">
      <c r="A12" s="19"/>
      <c r="B12" s="35" t="s">
        <v>128</v>
      </c>
      <c r="C12" s="36" t="n">
        <f aca="false">SUMIF('Payment Tracker'!C:C,B12,'Payment Tracker'!G:G)</f>
        <v>658782</v>
      </c>
      <c r="D12" s="19"/>
      <c r="E12" s="35" t="s">
        <v>159</v>
      </c>
      <c r="F12" s="37" t="n">
        <f aca="false">SUMIFS('All Transactions'!O:O,'All Transactions'!E:E,E12)</f>
        <v>509782</v>
      </c>
      <c r="G12" s="19"/>
      <c r="H12" s="35" t="s">
        <v>109</v>
      </c>
      <c r="I12" s="38" t="n">
        <f aca="false">SUMIF('All Transactions'!H:H,H12,'All Transactions'!O:O)</f>
        <v>414130</v>
      </c>
      <c r="J12" s="38" t="n">
        <f aca="false">SUMIF('Payment Tracker'!D:D,H12,'Payment Tracker'!G:G)</f>
        <v>414130</v>
      </c>
      <c r="K12" s="38" t="n">
        <f aca="false">IF(I12=0,"—",I12-J12)</f>
        <v>0</v>
      </c>
      <c r="L12" s="39" t="str">
        <f aca="false">IF(I12=0,"—",IF(K12&gt;0,"⚠ DUE",IF(K12&lt;0,"🔵 ADV","✅ PAID")))</f>
        <v>✅ PAID</v>
      </c>
      <c r="M12" s="19"/>
      <c r="N12" s="19"/>
    </row>
    <row r="13" customFormat="false" ht="15" hidden="false" customHeight="true" outlineLevel="0" collapsed="false">
      <c r="A13" s="19"/>
      <c r="B13" s="40" t="s">
        <v>130</v>
      </c>
      <c r="C13" s="41" t="n">
        <f aca="false">SUMIF('Payment Tracker'!C:C,B13,'Payment Tracker'!G:G)</f>
        <v>271480</v>
      </c>
      <c r="D13" s="19"/>
      <c r="E13" s="40" t="s">
        <v>160</v>
      </c>
      <c r="F13" s="42" t="n">
        <f aca="false">SUMIFS('All Transactions'!O:O,'All Transactions'!E:E,E13)</f>
        <v>342360</v>
      </c>
      <c r="G13" s="19"/>
      <c r="H13" s="40" t="s">
        <v>111</v>
      </c>
      <c r="I13" s="43" t="n">
        <f aca="false">SUMIF('All Transactions'!H:H,H13,'All Transactions'!O:O)</f>
        <v>153000</v>
      </c>
      <c r="J13" s="43" t="n">
        <f aca="false">SUMIF('Payment Tracker'!D:D,H13,'Payment Tracker'!G:G)</f>
        <v>369000</v>
      </c>
      <c r="K13" s="43" t="n">
        <f aca="false">IF(I13=0,"—",I13-J13)</f>
        <v>-216000</v>
      </c>
      <c r="L13" s="44" t="str">
        <f aca="false">IF(I13=0,"—",IF(K13&gt;0,"⚠ DUE",IF(K13&lt;0,"🔵 ADV","✅ PAID")))</f>
        <v>🔵 ADV</v>
      </c>
      <c r="M13" s="19"/>
      <c r="N13" s="19"/>
    </row>
    <row r="14" customFormat="false" ht="15" hidden="false" customHeight="true" outlineLevel="0" collapsed="false">
      <c r="A14" s="19"/>
      <c r="B14" s="35" t="s">
        <v>132</v>
      </c>
      <c r="C14" s="36" t="n">
        <f aca="false">SUMIF('Payment Tracker'!C:C,B14,'Payment Tracker'!G:G)</f>
        <v>235160</v>
      </c>
      <c r="D14" s="19"/>
      <c r="E14" s="35" t="s">
        <v>161</v>
      </c>
      <c r="F14" s="37" t="n">
        <f aca="false">SUMIFS('All Transactions'!O:O,'All Transactions'!E:E,E14)</f>
        <v>226000</v>
      </c>
      <c r="G14" s="19"/>
      <c r="H14" s="35" t="s">
        <v>113</v>
      </c>
      <c r="I14" s="38" t="n">
        <f aca="false">SUMIF('All Transactions'!H:H,H14,'All Transactions'!O:O)</f>
        <v>226000</v>
      </c>
      <c r="J14" s="38" t="n">
        <f aca="false">SUMIF('Payment Tracker'!D:D,H14,'Payment Tracker'!G:G)</f>
        <v>226000</v>
      </c>
      <c r="K14" s="38" t="n">
        <f aca="false">IF(I14=0,"—",I14-J14)</f>
        <v>0</v>
      </c>
      <c r="L14" s="39" t="str">
        <f aca="false">IF(I14=0,"—",IF(K14&gt;0,"⚠ DUE",IF(K14&lt;0,"🔵 ADV","✅ PAID")))</f>
        <v>✅ PAID</v>
      </c>
      <c r="M14" s="19"/>
      <c r="N14" s="19"/>
    </row>
    <row r="15" customFormat="false" ht="15" hidden="false" customHeight="true" outlineLevel="0" collapsed="false">
      <c r="A15" s="19"/>
      <c r="B15" s="40" t="s">
        <v>134</v>
      </c>
      <c r="C15" s="41" t="n">
        <f aca="false">SUMIF('Payment Tracker'!C:C,B15,'Payment Tracker'!G:G)</f>
        <v>169000</v>
      </c>
      <c r="D15" s="19"/>
      <c r="E15" s="40" t="s">
        <v>162</v>
      </c>
      <c r="F15" s="42" t="n">
        <f aca="false">SUMIFS('All Transactions'!O:O,'All Transactions'!E:E,E15)</f>
        <v>42100</v>
      </c>
      <c r="G15" s="19"/>
      <c r="H15" s="40" t="s">
        <v>115</v>
      </c>
      <c r="I15" s="43" t="n">
        <f aca="false">SUMIF('All Transactions'!H:H,H15,'All Transactions'!O:O)</f>
        <v>161982</v>
      </c>
      <c r="J15" s="43" t="n">
        <f aca="false">SUMIF('Payment Tracker'!D:D,H15,'Payment Tracker'!G:G)</f>
        <v>161982</v>
      </c>
      <c r="K15" s="43" t="n">
        <f aca="false">IF(I15=0,"—",I15-J15)</f>
        <v>0</v>
      </c>
      <c r="L15" s="44" t="str">
        <f aca="false">IF(I15=0,"—",IF(K15&gt;0,"⚠ DUE",IF(K15&lt;0,"🔵 ADV","✅ PAID")))</f>
        <v>✅ PAID</v>
      </c>
      <c r="M15" s="19"/>
      <c r="N15" s="19"/>
    </row>
    <row r="16" customFormat="false" ht="15" hidden="false" customHeight="true" outlineLevel="0" collapsed="false">
      <c r="A16" s="19"/>
      <c r="B16" s="35" t="s">
        <v>163</v>
      </c>
      <c r="C16" s="36" t="n">
        <f aca="false">SUMIF('Payment Tracker'!C:C,B16,'Payment Tracker'!G:G)</f>
        <v>0</v>
      </c>
      <c r="D16" s="19"/>
      <c r="E16" s="35" t="s">
        <v>164</v>
      </c>
      <c r="F16" s="37" t="n">
        <f aca="false">SUMIFS('All Transactions'!O:O,'All Transactions'!E:E,E16)</f>
        <v>26220</v>
      </c>
      <c r="G16" s="19"/>
      <c r="H16" s="35" t="s">
        <v>117</v>
      </c>
      <c r="I16" s="38" t="n">
        <f aca="false">SUMIF('All Transactions'!H:H,H16,'All Transactions'!O:O)</f>
        <v>110000</v>
      </c>
      <c r="J16" s="38" t="n">
        <f aca="false">SUMIF('Payment Tracker'!D:D,H16,'Payment Tracker'!G:G)</f>
        <v>110000</v>
      </c>
      <c r="K16" s="38" t="n">
        <f aca="false">IF(I16=0,"—",I16-J16)</f>
        <v>0</v>
      </c>
      <c r="L16" s="39" t="str">
        <f aca="false">IF(I16=0,"—",IF(K16&gt;0,"⚠ DUE",IF(K16&lt;0,"🔵 ADV","✅ PAID")))</f>
        <v>✅ PAID</v>
      </c>
      <c r="M16" s="19"/>
      <c r="N16" s="19"/>
    </row>
    <row r="17" customFormat="false" ht="15" hidden="false" customHeight="true" outlineLevel="0" collapsed="false">
      <c r="A17" s="19"/>
      <c r="B17" s="45" t="s">
        <v>165</v>
      </c>
      <c r="C17" s="46" t="n">
        <f aca="false">SUM(C12:C16)</f>
        <v>1334422</v>
      </c>
      <c r="D17" s="19"/>
      <c r="E17" s="40" t="s">
        <v>166</v>
      </c>
      <c r="F17" s="42" t="n">
        <f aca="false">SUMIFS('All Transactions'!O:O,'All Transactions'!E:E,E17)</f>
        <v>1300</v>
      </c>
      <c r="G17" s="19"/>
      <c r="H17" s="40" t="s">
        <v>119</v>
      </c>
      <c r="I17" s="43" t="n">
        <f aca="false">SUMIF('All Transactions'!H:H,H17,'All Transactions'!O:O)</f>
        <v>42100</v>
      </c>
      <c r="J17" s="43" t="n">
        <f aca="false">SUMIF('Payment Tracker'!D:D,H17,'Payment Tracker'!G:G)</f>
        <v>5000</v>
      </c>
      <c r="K17" s="43" t="n">
        <f aca="false">IF(I17=0,"—",I17-J17)</f>
        <v>37100</v>
      </c>
      <c r="L17" s="44" t="str">
        <f aca="false">IF(I17=0,"—",IF(K17&gt;0,"⚠ DUE",IF(K17&lt;0,"🔵 ADV","✅ PAID")))</f>
        <v>⚠ DUE</v>
      </c>
      <c r="M17" s="19"/>
      <c r="N17" s="19"/>
    </row>
    <row r="18" customFormat="false" ht="15" hidden="false" customHeight="true" outlineLevel="0" collapsed="false">
      <c r="A18" s="19"/>
      <c r="B18" s="19"/>
      <c r="C18" s="19"/>
      <c r="D18" s="19"/>
      <c r="E18" s="35" t="s">
        <v>167</v>
      </c>
      <c r="F18" s="37" t="n">
        <f aca="false">SUMIFS('All Transactions'!O:O,'All Transactions'!E:E,E18)</f>
        <v>3285</v>
      </c>
      <c r="G18" s="19"/>
      <c r="H18" s="35" t="s">
        <v>121</v>
      </c>
      <c r="I18" s="38" t="n">
        <f aca="false">SUMIF('All Transactions'!H:H,H18,'All Transactions'!O:O)</f>
        <v>18650</v>
      </c>
      <c r="J18" s="38" t="n">
        <f aca="false">SUMIF('Payment Tracker'!D:D,H18,'Payment Tracker'!G:G)</f>
        <v>18650</v>
      </c>
      <c r="K18" s="38" t="n">
        <f aca="false">IF(I18=0,"—",I18-J18)</f>
        <v>0</v>
      </c>
      <c r="L18" s="39" t="str">
        <f aca="false">IF(I18=0,"—",IF(K18&gt;0,"⚠ DUE",IF(K18&lt;0,"🔵 ADV","✅ PAID")))</f>
        <v>✅ PAID</v>
      </c>
      <c r="M18" s="19"/>
      <c r="N18" s="19"/>
    </row>
    <row r="19" customFormat="false" ht="15" hidden="false" customHeight="true" outlineLevel="0" collapsed="false">
      <c r="A19" s="19"/>
      <c r="B19" s="19"/>
      <c r="C19" s="19"/>
      <c r="D19" s="19"/>
      <c r="E19" s="40" t="s">
        <v>168</v>
      </c>
      <c r="F19" s="42" t="n">
        <f aca="false">SUMIFS('All Transactions'!O:O,'All Transactions'!E:E,E19)</f>
        <v>4475</v>
      </c>
      <c r="G19" s="19"/>
      <c r="H19" s="40" t="s">
        <v>123</v>
      </c>
      <c r="I19" s="43" t="n">
        <f aca="false">SUMIF('All Transactions'!H:H,H19,'All Transactions'!O:O)</f>
        <v>23100</v>
      </c>
      <c r="J19" s="43" t="n">
        <f aca="false">SUMIF('Payment Tracker'!D:D,H19,'Payment Tracker'!G:G)</f>
        <v>23100</v>
      </c>
      <c r="K19" s="43" t="n">
        <f aca="false">IF(I19=0,"—",I19-J19)</f>
        <v>0</v>
      </c>
      <c r="L19" s="44" t="str">
        <f aca="false">IF(I19=0,"—",IF(K19&gt;0,"⚠ DUE",IF(K19&lt;0,"🔵 ADV","✅ PAID")))</f>
        <v>✅ PAID</v>
      </c>
      <c r="M19" s="19"/>
      <c r="N19" s="19"/>
    </row>
    <row r="20" customFormat="false" ht="15" hidden="false" customHeight="true" outlineLevel="0" collapsed="false">
      <c r="A20" s="19"/>
      <c r="B20" s="19"/>
      <c r="C20" s="19"/>
      <c r="D20" s="19"/>
      <c r="E20" s="45" t="s">
        <v>165</v>
      </c>
      <c r="F20" s="46" t="n">
        <f aca="false">SUM(F12:F19)</f>
        <v>1155522</v>
      </c>
      <c r="G20" s="19"/>
      <c r="H20" s="35" t="s">
        <v>169</v>
      </c>
      <c r="I20" s="38" t="n">
        <f aca="false">SUMIF('All Transactions'!H:H,H20,'All Transactions'!O:O)</f>
        <v>5060</v>
      </c>
      <c r="J20" s="38" t="n">
        <f aca="false">SUMIF('Payment Tracker'!D:D,H20,'Payment Tracker'!G:G)</f>
        <v>5060</v>
      </c>
      <c r="K20" s="38" t="n">
        <f aca="false">IF(I20=0,"—",I20-J20)</f>
        <v>0</v>
      </c>
      <c r="L20" s="39" t="str">
        <f aca="false">IF(I20=0,"—",IF(K20&gt;0,"⚠ DUE",IF(K20&lt;0,"🔵 ADV","✅ PAID")))</f>
        <v>✅ PAID</v>
      </c>
      <c r="M20" s="19"/>
      <c r="N20" s="19"/>
    </row>
    <row r="21" customFormat="false" ht="15" hidden="false" customHeight="true" outlineLevel="0" collapsed="false">
      <c r="A21" s="19"/>
      <c r="B21" s="19"/>
      <c r="C21" s="19"/>
      <c r="D21" s="19"/>
      <c r="E21" s="19"/>
      <c r="F21" s="19"/>
      <c r="G21" s="19"/>
      <c r="H21" s="40" t="s">
        <v>170</v>
      </c>
      <c r="I21" s="43" t="n">
        <f aca="false">SUMIF('All Transactions'!H:H,H21,'All Transactions'!O:O)</f>
        <v>1500</v>
      </c>
      <c r="J21" s="43" t="n">
        <f aca="false">SUMIF('Payment Tracker'!D:D,H21,'Payment Tracker'!G:G)</f>
        <v>1500</v>
      </c>
      <c r="K21" s="43" t="n">
        <f aca="false">IF(I21=0,"—",I21-J21)</f>
        <v>0</v>
      </c>
      <c r="L21" s="44" t="str">
        <f aca="false">IF(I21=0,"—",IF(K21&gt;0,"⚠ DUE",IF(K21&lt;0,"🔵 ADV","✅ PAID")))</f>
        <v>✅ PAID</v>
      </c>
      <c r="M21" s="19"/>
      <c r="N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19"/>
      <c r="G22" s="19"/>
      <c r="H22" s="45" t="s">
        <v>165</v>
      </c>
      <c r="I22" s="47" t="n">
        <f aca="false">SUM(I12:I21)</f>
        <v>1155522</v>
      </c>
      <c r="J22" s="47" t="n">
        <f aca="false">SUM(J12:J21)</f>
        <v>1334422</v>
      </c>
      <c r="K22" s="47" t="n">
        <f aca="false">SUM(K12:K21)</f>
        <v>-178900</v>
      </c>
      <c r="L22" s="48"/>
      <c r="M22" s="19"/>
      <c r="N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customFormat="false" ht="25.5" hidden="false" customHeight="true" outlineLevel="0" collapsed="false">
      <c r="A24" s="19"/>
      <c r="B24" s="33" t="s">
        <v>171</v>
      </c>
      <c r="C24" s="33"/>
      <c r="D24" s="33"/>
      <c r="E24" s="33"/>
      <c r="F24" s="33"/>
      <c r="G24" s="33"/>
      <c r="H24" s="33"/>
      <c r="I24" s="33"/>
      <c r="J24" s="19"/>
      <c r="K24" s="33" t="s">
        <v>172</v>
      </c>
      <c r="L24" s="33"/>
      <c r="M24" s="19"/>
      <c r="N24" s="19"/>
    </row>
    <row r="25" customFormat="false" ht="15" hidden="false" customHeight="true" outlineLevel="0" collapsed="false">
      <c r="A25" s="19"/>
      <c r="B25" s="34" t="s">
        <v>173</v>
      </c>
      <c r="C25" s="34" t="s">
        <v>174</v>
      </c>
      <c r="D25" s="34" t="s">
        <v>175</v>
      </c>
      <c r="E25" s="34" t="s">
        <v>176</v>
      </c>
      <c r="F25" s="34" t="s">
        <v>177</v>
      </c>
      <c r="G25" s="34" t="s">
        <v>178</v>
      </c>
      <c r="H25" s="34" t="s">
        <v>179</v>
      </c>
      <c r="I25" s="34" t="s">
        <v>180</v>
      </c>
      <c r="J25" s="19"/>
      <c r="K25" s="34" t="s">
        <v>181</v>
      </c>
      <c r="L25" s="34" t="s">
        <v>182</v>
      </c>
      <c r="M25" s="19"/>
      <c r="N25" s="19"/>
    </row>
    <row r="26" customFormat="false" ht="15" hidden="false" customHeight="true" outlineLevel="0" collapsed="false">
      <c r="A26" s="19"/>
      <c r="B26" s="49" t="str">
        <f aca="false">IF('Material Summary'!B5&lt;&gt;"",'Material Summary'!B5,"")</f>
        <v>Bricks</v>
      </c>
      <c r="C26" s="50" t="n">
        <f aca="false">IF('Material Summary'!C5&lt;&gt;"",'Material Summary'!C5,"")</f>
        <v>18000</v>
      </c>
      <c r="D26" s="51" t="str">
        <f aca="false">IF('Material Summary'!D5&lt;&gt;"",'Material Summary'!D5,"")</f>
        <v>Nos/Trailor</v>
      </c>
      <c r="E26" s="52" t="n">
        <f aca="false">IF('Material Summary'!E5&lt;&gt;"",'Material Summary'!E5,"")</f>
        <v>8.5</v>
      </c>
      <c r="F26" s="53" t="n">
        <f aca="false">IF('Material Summary'!F5&lt;&gt;"",'Material Summary'!F5,"")</f>
        <v>153000</v>
      </c>
      <c r="G26" s="53" t="n">
        <f aca="false">IF('Material Summary'!G5&lt;&gt;"",'Material Summary'!G5,"")</f>
        <v>0</v>
      </c>
      <c r="H26" s="53" t="n">
        <f aca="false">IF('Material Summary'!H5&lt;&gt;"",'Material Summary'!H5,"")</f>
        <v>153000</v>
      </c>
      <c r="I26" s="54" t="n">
        <f aca="false">IF('Material Summary'!I5&lt;&gt;"",'Material Summary'!I5,"")</f>
        <v>0.179547540198699</v>
      </c>
      <c r="J26" s="19"/>
      <c r="K26" s="55" t="s">
        <v>183</v>
      </c>
      <c r="L26" s="36" t="n">
        <f aca="false">SUMIFS('All Transactions'!O:O,'All Transactions'!C:C,K26)</f>
        <v>829592</v>
      </c>
      <c r="M26" s="19"/>
      <c r="N26" s="19"/>
    </row>
    <row r="27" customFormat="false" ht="15" hidden="false" customHeight="true" outlineLevel="0" collapsed="false">
      <c r="A27" s="19"/>
      <c r="B27" s="56" t="str">
        <f aca="false">IF('Material Summary'!B6&lt;&gt;"",'Material Summary'!B6,"")</f>
        <v>Sand</v>
      </c>
      <c r="C27" s="57" t="n">
        <f aca="false">IF('Material Summary'!C6&lt;&gt;"",'Material Summary'!C6,"")</f>
        <v>1838</v>
      </c>
      <c r="D27" s="58" t="str">
        <f aca="false">IF('Material Summary'!D6&lt;&gt;"",'Material Summary'!D6,"")</f>
        <v>CFT</v>
      </c>
      <c r="E27" s="59" t="n">
        <f aca="false">IF('Material Summary'!E6&lt;&gt;"",'Material Summary'!E6,"")</f>
        <v>59.8476605005441</v>
      </c>
      <c r="F27" s="60" t="n">
        <f aca="false">IF('Material Summary'!F6&lt;&gt;"",'Material Summary'!F6,"")</f>
        <v>110000</v>
      </c>
      <c r="G27" s="60" t="n">
        <f aca="false">IF('Material Summary'!G6&lt;&gt;"",'Material Summary'!G6,"")</f>
        <v>0</v>
      </c>
      <c r="H27" s="60" t="n">
        <f aca="false">IF('Material Summary'!H6&lt;&gt;"",'Material Summary'!H6,"")</f>
        <v>110000</v>
      </c>
      <c r="I27" s="61" t="n">
        <f aca="false">IF('Material Summary'!I6&lt;&gt;"",'Material Summary'!I6,"")</f>
        <v>0.129086466809522</v>
      </c>
      <c r="J27" s="19"/>
      <c r="K27" s="62" t="s">
        <v>184</v>
      </c>
      <c r="L27" s="41" t="n">
        <f aca="false">SUMIFS('All Transactions'!O:O,'All Transactions'!C:C,K27)</f>
        <v>325930</v>
      </c>
      <c r="M27" s="19"/>
      <c r="N27" s="19"/>
    </row>
    <row r="28" customFormat="false" ht="15" hidden="false" customHeight="true" outlineLevel="0" collapsed="false">
      <c r="A28" s="19"/>
      <c r="B28" s="49" t="str">
        <f aca="false">IF('Material Summary'!B7&lt;&gt;"",'Material Summary'!B7,"")</f>
        <v>Concrete/Gitti</v>
      </c>
      <c r="C28" s="50" t="n">
        <f aca="false">IF('Material Summary'!C7&lt;&gt;"",'Material Summary'!C7,"")</f>
        <v>65.14</v>
      </c>
      <c r="D28" s="51" t="str">
        <f aca="false">IF('Material Summary'!D7&lt;&gt;"",'Material Summary'!D7,"")</f>
        <v>Tonnes/Trailor</v>
      </c>
      <c r="E28" s="52" t="n">
        <f aca="false">IF('Material Summary'!E7&lt;&gt;"",'Material Summary'!E7,"")</f>
        <v>2486.67485416027</v>
      </c>
      <c r="F28" s="53" t="n">
        <f aca="false">IF('Material Summary'!F7&lt;&gt;"",'Material Summary'!F7,"")</f>
        <v>161982</v>
      </c>
      <c r="G28" s="53" t="n">
        <f aca="false">IF('Material Summary'!G7&lt;&gt;"",'Material Summary'!G7,"")</f>
        <v>0</v>
      </c>
      <c r="H28" s="53" t="n">
        <f aca="false">IF('Material Summary'!H7&lt;&gt;"",'Material Summary'!H7,"")</f>
        <v>161982</v>
      </c>
      <c r="I28" s="54" t="n">
        <f aca="false">IF('Material Summary'!I7&lt;&gt;"",'Material Summary'!I7,"")</f>
        <v>0.190088036970364</v>
      </c>
      <c r="J28" s="19"/>
      <c r="K28" s="55" t="s">
        <v>185</v>
      </c>
      <c r="L28" s="36" t="n">
        <f aca="false">SUMIFS('All Transactions'!O:O,'All Transactions'!C:C,K28)</f>
        <v>0</v>
      </c>
      <c r="M28" s="19"/>
      <c r="N28" s="19"/>
    </row>
    <row r="29" customFormat="false" ht="15" hidden="false" customHeight="true" outlineLevel="0" collapsed="false">
      <c r="A29" s="19"/>
      <c r="B29" s="56" t="str">
        <f aca="false">IF('Material Summary'!B8&lt;&gt;"",'Material Summary'!B8,"")</f>
        <v>Cement-Ultratech Super</v>
      </c>
      <c r="C29" s="57" t="n">
        <f aca="false">IF('Material Summary'!C8&lt;&gt;"",'Material Summary'!C8,"")</f>
        <v>200</v>
      </c>
      <c r="D29" s="58" t="str">
        <f aca="false">IF('Material Summary'!D8&lt;&gt;"",'Material Summary'!D8,"")</f>
        <v>Bags</v>
      </c>
      <c r="E29" s="59" t="n">
        <f aca="false">IF('Material Summary'!E8&lt;&gt;"",'Material Summary'!E8,"")</f>
        <v>360</v>
      </c>
      <c r="F29" s="60" t="n">
        <f aca="false">IF('Material Summary'!F8&lt;&gt;"",'Material Summary'!F8,"")</f>
        <v>72000</v>
      </c>
      <c r="G29" s="60" t="n">
        <f aca="false">IF('Material Summary'!G8&lt;&gt;"",'Material Summary'!G8,"")</f>
        <v>0</v>
      </c>
      <c r="H29" s="60" t="n">
        <f aca="false">IF('Material Summary'!H8&lt;&gt;"",'Material Summary'!H8,"")</f>
        <v>72000</v>
      </c>
      <c r="I29" s="61" t="n">
        <f aca="false">IF('Material Summary'!I8&lt;&gt;"",'Material Summary'!I8,"")</f>
        <v>0.0844929600935055</v>
      </c>
      <c r="J29" s="19"/>
      <c r="K29" s="62" t="s">
        <v>186</v>
      </c>
      <c r="L29" s="41" t="n">
        <f aca="false">SUMIFS('All Transactions'!O:O,'All Transactions'!C:C,K29)</f>
        <v>0</v>
      </c>
      <c r="M29" s="19"/>
      <c r="N29" s="19"/>
    </row>
    <row r="30" customFormat="false" ht="15" hidden="false" customHeight="true" outlineLevel="0" collapsed="false">
      <c r="A30" s="19"/>
      <c r="B30" s="49" t="str">
        <f aca="false">IF('Material Summary'!B9&lt;&gt;"",'Material Summary'!B9,"")</f>
        <v>Cement-Ultratech Normal</v>
      </c>
      <c r="C30" s="50" t="n">
        <f aca="false">IF('Material Summary'!C9&lt;&gt;"",'Material Summary'!C9,"")</f>
        <v>0</v>
      </c>
      <c r="D30" s="51" t="str">
        <f aca="false">IF('Material Summary'!D9&lt;&gt;"",'Material Summary'!D9,"")</f>
        <v>Bags</v>
      </c>
      <c r="E30" s="51" t="str">
        <f aca="false">IF('Material Summary'!E9&lt;&gt;"",'Material Summary'!E9,"")</f>
        <v/>
      </c>
      <c r="F30" s="53" t="n">
        <f aca="false">IF('Material Summary'!F9&lt;&gt;"",'Material Summary'!F9,"")</f>
        <v>0</v>
      </c>
      <c r="G30" s="53" t="n">
        <f aca="false">IF('Material Summary'!G9&lt;&gt;"",'Material Summary'!G9,"")</f>
        <v>0</v>
      </c>
      <c r="H30" s="53" t="n">
        <f aca="false">IF('Material Summary'!H9&lt;&gt;"",'Material Summary'!H9,"")</f>
        <v>0</v>
      </c>
      <c r="I30" s="54" t="n">
        <f aca="false">IF('Material Summary'!I9&lt;&gt;"",'Material Summary'!I9,"")</f>
        <v>0</v>
      </c>
      <c r="J30" s="19"/>
      <c r="K30" s="55" t="s">
        <v>187</v>
      </c>
      <c r="L30" s="36" t="n">
        <f aca="false">SUMIFS('All Transactions'!O:O,'All Transactions'!C:C,K30)</f>
        <v>0</v>
      </c>
      <c r="M30" s="19"/>
      <c r="N30" s="19"/>
    </row>
    <row r="31" customFormat="false" ht="15" hidden="false" customHeight="true" outlineLevel="0" collapsed="false">
      <c r="A31" s="19"/>
      <c r="B31" s="56" t="str">
        <f aca="false">IF('Material Summary'!B10&lt;&gt;"",'Material Summary'!B10,"")</f>
        <v>Cement-Ultratech Prem</v>
      </c>
      <c r="C31" s="57" t="n">
        <f aca="false">IF('Material Summary'!C10&lt;&gt;"",'Material Summary'!C10,"")</f>
        <v>0</v>
      </c>
      <c r="D31" s="58" t="str">
        <f aca="false">IF('Material Summary'!D10&lt;&gt;"",'Material Summary'!D10,"")</f>
        <v>Bags</v>
      </c>
      <c r="E31" s="58" t="str">
        <f aca="false">IF('Material Summary'!E10&lt;&gt;"",'Material Summary'!E10,"")</f>
        <v/>
      </c>
      <c r="F31" s="60" t="n">
        <f aca="false">IF('Material Summary'!F10&lt;&gt;"",'Material Summary'!F10,"")</f>
        <v>0</v>
      </c>
      <c r="G31" s="60" t="n">
        <f aca="false">IF('Material Summary'!G10&lt;&gt;"",'Material Summary'!G10,"")</f>
        <v>0</v>
      </c>
      <c r="H31" s="60" t="n">
        <f aca="false">IF('Material Summary'!H10&lt;&gt;"",'Material Summary'!H10,"")</f>
        <v>0</v>
      </c>
      <c r="I31" s="61" t="n">
        <f aca="false">IF('Material Summary'!I10&lt;&gt;"",'Material Summary'!I10,"")</f>
        <v>0</v>
      </c>
      <c r="J31" s="19"/>
      <c r="K31" s="62" t="s">
        <v>188</v>
      </c>
      <c r="L31" s="41" t="n">
        <f aca="false">SUMIFS('All Transactions'!O:O,'All Transactions'!C:C,K31)</f>
        <v>0</v>
      </c>
      <c r="M31" s="19"/>
      <c r="N31" s="19"/>
    </row>
    <row r="32" customFormat="false" ht="15" hidden="false" customHeight="true" outlineLevel="0" collapsed="false">
      <c r="A32" s="19"/>
      <c r="B32" s="49" t="str">
        <f aca="false">IF('Material Summary'!B11&lt;&gt;"",'Material Summary'!B11,"")</f>
        <v>Dr Fixit</v>
      </c>
      <c r="C32" s="50" t="n">
        <f aca="false">IF('Material Summary'!C11&lt;&gt;"",'Material Summary'!C11,"")</f>
        <v>22</v>
      </c>
      <c r="D32" s="51" t="str">
        <f aca="false">IF('Material Summary'!D11&lt;&gt;"",'Material Summary'!D11,"")</f>
        <v>Litres</v>
      </c>
      <c r="E32" s="52" t="n">
        <f aca="false">IF('Material Summary'!E11&lt;&gt;"",'Material Summary'!E11,"")</f>
        <v>245.454545454545</v>
      </c>
      <c r="F32" s="53" t="n">
        <f aca="false">IF('Material Summary'!F11&lt;&gt;"",'Material Summary'!F11,"")</f>
        <v>5400</v>
      </c>
      <c r="G32" s="53" t="n">
        <f aca="false">IF('Material Summary'!G11&lt;&gt;"",'Material Summary'!G11,"")</f>
        <v>0</v>
      </c>
      <c r="H32" s="53" t="n">
        <f aca="false">IF('Material Summary'!H11&lt;&gt;"",'Material Summary'!H11,"")</f>
        <v>5400</v>
      </c>
      <c r="I32" s="54" t="n">
        <f aca="false">IF('Material Summary'!I11&lt;&gt;"",'Material Summary'!I11,"")</f>
        <v>0.00633697200701292</v>
      </c>
      <c r="J32" s="19"/>
      <c r="K32" s="55" t="s">
        <v>189</v>
      </c>
      <c r="L32" s="36" t="n">
        <f aca="false">SUMIFS('All Transactions'!O:O,'All Transactions'!C:C,K32)</f>
        <v>0</v>
      </c>
      <c r="M32" s="19"/>
      <c r="N32" s="19"/>
    </row>
    <row r="33" customFormat="false" ht="15" hidden="false" customHeight="true" outlineLevel="0" collapsed="false">
      <c r="A33" s="19"/>
      <c r="B33" s="56" t="str">
        <f aca="false">IF('Material Summary'!B12&lt;&gt;"",'Material Summary'!B12,"")</f>
        <v>Pipe PVC/GI</v>
      </c>
      <c r="C33" s="57" t="n">
        <f aca="false">IF('Material Summary'!C12&lt;&gt;"",'Material Summary'!C12,"")</f>
        <v>0</v>
      </c>
      <c r="D33" s="58" t="str">
        <f aca="false">IF('Material Summary'!D12&lt;&gt;"",'Material Summary'!D12,"")</f>
        <v>Pcs</v>
      </c>
      <c r="E33" s="58" t="str">
        <f aca="false">IF('Material Summary'!E12&lt;&gt;"",'Material Summary'!E12,"")</f>
        <v/>
      </c>
      <c r="F33" s="60" t="n">
        <f aca="false">IF('Material Summary'!F12&lt;&gt;"",'Material Summary'!F12,"")</f>
        <v>0</v>
      </c>
      <c r="G33" s="60" t="n">
        <f aca="false">IF('Material Summary'!G12&lt;&gt;"",'Material Summary'!G12,"")</f>
        <v>0</v>
      </c>
      <c r="H33" s="60" t="n">
        <f aca="false">IF('Material Summary'!H12&lt;&gt;"",'Material Summary'!H12,"")</f>
        <v>0</v>
      </c>
      <c r="I33" s="61" t="n">
        <f aca="false">IF('Material Summary'!I12&lt;&gt;"",'Material Summary'!I12,"")</f>
        <v>0</v>
      </c>
      <c r="J33" s="19"/>
      <c r="K33" s="62" t="s">
        <v>190</v>
      </c>
      <c r="L33" s="41" t="n">
        <f aca="false">SUMIFS('All Transactions'!O:O,'All Transactions'!C:C,K33)</f>
        <v>0</v>
      </c>
      <c r="M33" s="19"/>
      <c r="N33" s="19"/>
    </row>
    <row r="34" customFormat="false" ht="15" hidden="false" customHeight="true" outlineLevel="0" collapsed="false">
      <c r="A34" s="19"/>
      <c r="B34" s="49" t="str">
        <f aca="false">IF('Material Summary'!B13&lt;&gt;"",'Material Summary'!B13,"")</f>
        <v>Cover Block</v>
      </c>
      <c r="C34" s="50" t="n">
        <f aca="false">IF('Material Summary'!C13&lt;&gt;"",'Material Summary'!C13,"")</f>
        <v>6</v>
      </c>
      <c r="D34" s="51" t="str">
        <f aca="false">IF('Material Summary'!D13&lt;&gt;"",'Material Summary'!D13,"")</f>
        <v>Packets</v>
      </c>
      <c r="E34" s="52" t="n">
        <f aca="false">IF('Material Summary'!E13&lt;&gt;"",'Material Summary'!E13,"")</f>
        <v>350</v>
      </c>
      <c r="F34" s="53" t="n">
        <f aca="false">IF('Material Summary'!F13&lt;&gt;"",'Material Summary'!F13,"")</f>
        <v>2100</v>
      </c>
      <c r="G34" s="53" t="n">
        <f aca="false">IF('Material Summary'!G13&lt;&gt;"",'Material Summary'!G13,"")</f>
        <v>0</v>
      </c>
      <c r="H34" s="53" t="n">
        <f aca="false">IF('Material Summary'!H13&lt;&gt;"",'Material Summary'!H13,"")</f>
        <v>2100</v>
      </c>
      <c r="I34" s="54" t="n">
        <f aca="false">IF('Material Summary'!I13&lt;&gt;"",'Material Summary'!I13,"")</f>
        <v>0.00246437800272725</v>
      </c>
      <c r="J34" s="19"/>
      <c r="K34" s="55" t="s">
        <v>191</v>
      </c>
      <c r="L34" s="36" t="n">
        <f aca="false">SUMIFS('All Transactions'!O:O,'All Transactions'!C:C,K34)</f>
        <v>0</v>
      </c>
      <c r="M34" s="19"/>
      <c r="N34" s="19"/>
    </row>
    <row r="35" customFormat="false" ht="15" hidden="false" customHeight="true" outlineLevel="0" collapsed="false">
      <c r="A35" s="19"/>
      <c r="B35" s="56" t="str">
        <f aca="false">IF('Material Summary'!B14&lt;&gt;"",'Material Summary'!B14,"")</f>
        <v>Kala Panni/Tar</v>
      </c>
      <c r="C35" s="57" t="n">
        <f aca="false">IF('Material Summary'!C14&lt;&gt;"",'Material Summary'!C14,"")</f>
        <v>0</v>
      </c>
      <c r="D35" s="58" t="str">
        <f aca="false">IF('Material Summary'!D14&lt;&gt;"",'Material Summary'!D14,"")</f>
        <v>Kg</v>
      </c>
      <c r="E35" s="58" t="str">
        <f aca="false">IF('Material Summary'!E14&lt;&gt;"",'Material Summary'!E14,"")</f>
        <v/>
      </c>
      <c r="F35" s="60" t="n">
        <f aca="false">IF('Material Summary'!F14&lt;&gt;"",'Material Summary'!F14,"")</f>
        <v>0</v>
      </c>
      <c r="G35" s="60" t="n">
        <f aca="false">IF('Material Summary'!G14&lt;&gt;"",'Material Summary'!G14,"")</f>
        <v>0</v>
      </c>
      <c r="H35" s="60" t="n">
        <f aca="false">IF('Material Summary'!H14&lt;&gt;"",'Material Summary'!H14,"")</f>
        <v>0</v>
      </c>
      <c r="I35" s="61" t="n">
        <f aca="false">IF('Material Summary'!I14&lt;&gt;"",'Material Summary'!I14,"")</f>
        <v>0</v>
      </c>
      <c r="J35" s="19"/>
      <c r="K35" s="62" t="s">
        <v>192</v>
      </c>
      <c r="L35" s="41" t="n">
        <f aca="false">SUMIFS('All Transactions'!O:O,'All Transactions'!C:C,K35)</f>
        <v>0</v>
      </c>
      <c r="M35" s="19"/>
      <c r="N35" s="19"/>
    </row>
    <row r="36" customFormat="false" ht="15" hidden="false" customHeight="true" outlineLevel="0" collapsed="false">
      <c r="A36" s="19"/>
      <c r="B36" s="49" t="str">
        <f aca="false">IF('Material Summary'!B15&lt;&gt;"",'Material Summary'!B15,"")</f>
        <v>Bamboo/Shuttering</v>
      </c>
      <c r="C36" s="50" t="n">
        <f aca="false">IF('Material Summary'!C15&lt;&gt;"",'Material Summary'!C15,"")</f>
        <v>0</v>
      </c>
      <c r="D36" s="51" t="str">
        <f aca="false">IF('Material Summary'!D15&lt;&gt;"",'Material Summary'!D15,"")</f>
        <v>Nos</v>
      </c>
      <c r="E36" s="51" t="str">
        <f aca="false">IF('Material Summary'!E15&lt;&gt;"",'Material Summary'!E15,"")</f>
        <v/>
      </c>
      <c r="F36" s="53" t="n">
        <f aca="false">IF('Material Summary'!F15&lt;&gt;"",'Material Summary'!F15,"")</f>
        <v>0</v>
      </c>
      <c r="G36" s="53" t="n">
        <f aca="false">IF('Material Summary'!G15&lt;&gt;"",'Material Summary'!G15,"")</f>
        <v>0</v>
      </c>
      <c r="H36" s="53" t="n">
        <f aca="false">IF('Material Summary'!H15&lt;&gt;"",'Material Summary'!H15,"")</f>
        <v>0</v>
      </c>
      <c r="I36" s="54" t="n">
        <f aca="false">IF('Material Summary'!I15&lt;&gt;"",'Material Summary'!I15,"")</f>
        <v>0</v>
      </c>
      <c r="J36" s="19"/>
      <c r="K36" s="55" t="s">
        <v>193</v>
      </c>
      <c r="L36" s="36" t="n">
        <f aca="false">SUMIFS('All Transactions'!O:O,'All Transactions'!C:C,K36)</f>
        <v>0</v>
      </c>
      <c r="M36" s="19"/>
      <c r="N36" s="19"/>
    </row>
    <row r="37" customFormat="false" ht="15" hidden="false" customHeight="true" outlineLevel="0" collapsed="false">
      <c r="A37" s="19"/>
      <c r="B37" s="56" t="str">
        <f aca="false">IF('Material Summary'!B16&lt;&gt;"",'Material Summary'!B16,"")</f>
        <v>Nails</v>
      </c>
      <c r="C37" s="57" t="n">
        <f aca="false">IF('Material Summary'!C16&lt;&gt;"",'Material Summary'!C16,"")</f>
        <v>2</v>
      </c>
      <c r="D37" s="58" t="str">
        <f aca="false">IF('Material Summary'!D16&lt;&gt;"",'Material Summary'!D16,"")</f>
        <v>Kg/Bags</v>
      </c>
      <c r="E37" s="59" t="n">
        <f aca="false">IF('Material Summary'!E16&lt;&gt;"",'Material Summary'!E16,"")</f>
        <v>800</v>
      </c>
      <c r="F37" s="60" t="n">
        <f aca="false">IF('Material Summary'!F16&lt;&gt;"",'Material Summary'!F16,"")</f>
        <v>1600</v>
      </c>
      <c r="G37" s="60" t="n">
        <f aca="false">IF('Material Summary'!G16&lt;&gt;"",'Material Summary'!G16,"")</f>
        <v>0</v>
      </c>
      <c r="H37" s="60" t="n">
        <f aca="false">IF('Material Summary'!H16&lt;&gt;"",'Material Summary'!H16,"")</f>
        <v>1600</v>
      </c>
      <c r="I37" s="61" t="n">
        <f aca="false">IF('Material Summary'!I16&lt;&gt;"",'Material Summary'!I16,"")</f>
        <v>0.00187762133541123</v>
      </c>
      <c r="J37" s="19"/>
      <c r="K37" s="62" t="s">
        <v>194</v>
      </c>
      <c r="L37" s="41" t="n">
        <f aca="false">SUMIFS('All Transactions'!O:O,'All Transactions'!C:C,K37)</f>
        <v>0</v>
      </c>
      <c r="M37" s="19"/>
      <c r="N37" s="19"/>
    </row>
    <row r="38" customFormat="false" ht="15" hidden="false" customHeight="true" outlineLevel="0" collapsed="false">
      <c r="A38" s="19"/>
      <c r="B38" s="49" t="str">
        <f aca="false">IF('Material Summary'!B17&lt;&gt;"",'Material Summary'!B17,"")</f>
        <v>Binding Wire</v>
      </c>
      <c r="C38" s="50" t="n">
        <f aca="false">IF('Material Summary'!C17&lt;&gt;"",'Material Summary'!C17,"")</f>
        <v>21</v>
      </c>
      <c r="D38" s="51" t="str">
        <f aca="false">IF('Material Summary'!D17&lt;&gt;"",'Material Summary'!D17,"")</f>
        <v>Kg</v>
      </c>
      <c r="E38" s="52" t="n">
        <f aca="false">IF('Material Summary'!E17&lt;&gt;"",'Material Summary'!E17,"")</f>
        <v>176.190476190476</v>
      </c>
      <c r="F38" s="53" t="n">
        <f aca="false">IF('Material Summary'!F17&lt;&gt;"",'Material Summary'!F17,"")</f>
        <v>3700</v>
      </c>
      <c r="G38" s="53" t="n">
        <f aca="false">IF('Material Summary'!G17&lt;&gt;"",'Material Summary'!G17,"")</f>
        <v>0</v>
      </c>
      <c r="H38" s="53" t="n">
        <f aca="false">IF('Material Summary'!H17&lt;&gt;"",'Material Summary'!H17,"")</f>
        <v>3700</v>
      </c>
      <c r="I38" s="54" t="n">
        <f aca="false">IF('Material Summary'!I17&lt;&gt;"",'Material Summary'!I17,"")</f>
        <v>0.00434199933813848</v>
      </c>
      <c r="J38" s="19"/>
      <c r="K38" s="19"/>
      <c r="L38" s="19"/>
      <c r="M38" s="19"/>
      <c r="N38" s="19"/>
    </row>
    <row r="39" customFormat="false" ht="15" hidden="false" customHeight="true" outlineLevel="0" collapsed="false">
      <c r="A39" s="19"/>
      <c r="B39" s="56" t="str">
        <f aca="false">IF('Material Summary'!B18&lt;&gt;"",'Material Summary'!B18,"")</f>
        <v>Blade</v>
      </c>
      <c r="C39" s="57" t="n">
        <f aca="false">IF('Material Summary'!C18&lt;&gt;"",'Material Summary'!C18,"")</f>
        <v>0</v>
      </c>
      <c r="D39" s="58" t="str">
        <f aca="false">IF('Material Summary'!D18&lt;&gt;"",'Material Summary'!D18,"")</f>
        <v>Pcs</v>
      </c>
      <c r="E39" s="58" t="str">
        <f aca="false">IF('Material Summary'!E18&lt;&gt;"",'Material Summary'!E18,"")</f>
        <v/>
      </c>
      <c r="F39" s="60" t="n">
        <f aca="false">IF('Material Summary'!F18&lt;&gt;"",'Material Summary'!F18,"")</f>
        <v>0</v>
      </c>
      <c r="G39" s="60" t="n">
        <f aca="false">IF('Material Summary'!G18&lt;&gt;"",'Material Summary'!G18,"")</f>
        <v>0</v>
      </c>
      <c r="H39" s="60" t="n">
        <f aca="false">IF('Material Summary'!H18&lt;&gt;"",'Material Summary'!H18,"")</f>
        <v>0</v>
      </c>
      <c r="I39" s="61" t="n">
        <f aca="false">IF('Material Summary'!I18&lt;&gt;"",'Material Summary'!I18,"")</f>
        <v>0</v>
      </c>
      <c r="J39" s="19"/>
      <c r="K39" s="19"/>
      <c r="L39" s="19"/>
      <c r="M39" s="19"/>
      <c r="N39" s="19"/>
    </row>
    <row r="40" customFormat="false" ht="15" hidden="false" customHeight="true" outlineLevel="0" collapsed="false">
      <c r="A40" s="19"/>
      <c r="B40" s="49" t="str">
        <f aca="false">IF('Material Summary'!B19&lt;&gt;"",'Material Summary'!B19,"")</f>
        <v>Tiscon 16mm</v>
      </c>
      <c r="C40" s="50" t="n">
        <f aca="false">IF('Material Summary'!C19&lt;&gt;"",'Material Summary'!C19,"")</f>
        <v>0</v>
      </c>
      <c r="D40" s="51" t="str">
        <f aca="false">IF('Material Summary'!D19&lt;&gt;"",'Material Summary'!D19,"")</f>
        <v>Pcs</v>
      </c>
      <c r="E40" s="51" t="str">
        <f aca="false">IF('Material Summary'!E19&lt;&gt;"",'Material Summary'!E19,"")</f>
        <v/>
      </c>
      <c r="F40" s="53" t="n">
        <f aca="false">IF('Material Summary'!F19&lt;&gt;"",'Material Summary'!F19,"")</f>
        <v>0</v>
      </c>
      <c r="G40" s="53" t="n">
        <f aca="false">IF('Material Summary'!G19&lt;&gt;"",'Material Summary'!G19,"")</f>
        <v>0</v>
      </c>
      <c r="H40" s="53" t="n">
        <f aca="false">IF('Material Summary'!H19&lt;&gt;"",'Material Summary'!H19,"")</f>
        <v>0</v>
      </c>
      <c r="I40" s="54" t="n">
        <f aca="false">IF('Material Summary'!I19&lt;&gt;"",'Material Summary'!I19,"")</f>
        <v>0</v>
      </c>
      <c r="J40" s="19"/>
      <c r="K40" s="19"/>
      <c r="L40" s="19"/>
      <c r="M40" s="19"/>
      <c r="N40" s="19"/>
    </row>
    <row r="41" customFormat="false" ht="15" hidden="false" customHeight="true" outlineLevel="0" collapsed="false">
      <c r="A41" s="19"/>
      <c r="B41" s="56" t="str">
        <f aca="false">IF('Material Summary'!B20&lt;&gt;"",'Material Summary'!B20,"")</f>
        <v>Tiscon 12mm</v>
      </c>
      <c r="C41" s="57" t="n">
        <f aca="false">IF('Material Summary'!C20&lt;&gt;"",'Material Summary'!C20,"")</f>
        <v>200</v>
      </c>
      <c r="D41" s="58" t="str">
        <f aca="false">IF('Material Summary'!D20&lt;&gt;"",'Material Summary'!D20,"")</f>
        <v>Pcs</v>
      </c>
      <c r="E41" s="59" t="n">
        <f aca="false">IF('Material Summary'!E20&lt;&gt;"",'Material Summary'!E20,"")</f>
        <v>908</v>
      </c>
      <c r="F41" s="60" t="n">
        <f aca="false">IF('Material Summary'!F20&lt;&gt;"",'Material Summary'!F20,"")</f>
        <v>181600</v>
      </c>
      <c r="G41" s="60" t="n">
        <f aca="false">IF('Material Summary'!G20&lt;&gt;"",'Material Summary'!G20,"")</f>
        <v>7264</v>
      </c>
      <c r="H41" s="60" t="n">
        <f aca="false">IF('Material Summary'!H20&lt;&gt;"",'Material Summary'!H20,"")</f>
        <v>174336</v>
      </c>
      <c r="I41" s="61" t="n">
        <f aca="false">IF('Material Summary'!I20&lt;&gt;"",'Material Summary'!I20,"")</f>
        <v>0.204585620706408</v>
      </c>
      <c r="J41" s="19"/>
      <c r="K41" s="19"/>
      <c r="L41" s="19"/>
      <c r="M41" s="19"/>
      <c r="N41" s="19"/>
    </row>
    <row r="42" customFormat="false" ht="15" hidden="false" customHeight="true" outlineLevel="0" collapsed="false">
      <c r="A42" s="19"/>
      <c r="B42" s="49" t="str">
        <f aca="false">IF('Material Summary'!B21&lt;&gt;"",'Material Summary'!B21,"")</f>
        <v>Tiscon 10mm</v>
      </c>
      <c r="C42" s="50" t="n">
        <f aca="false">IF('Material Summary'!C21&lt;&gt;"",'Material Summary'!C21,"")</f>
        <v>200</v>
      </c>
      <c r="D42" s="51" t="str">
        <f aca="false">IF('Material Summary'!D21&lt;&gt;"",'Material Summary'!D21,"")</f>
        <v>Pcs</v>
      </c>
      <c r="E42" s="52" t="n">
        <f aca="false">IF('Material Summary'!E21&lt;&gt;"",'Material Summary'!E21,"")</f>
        <v>642</v>
      </c>
      <c r="F42" s="53" t="n">
        <f aca="false">IF('Material Summary'!F21&lt;&gt;"",'Material Summary'!F21,"")</f>
        <v>128400</v>
      </c>
      <c r="G42" s="53" t="n">
        <f aca="false">IF('Material Summary'!G21&lt;&gt;"",'Material Summary'!G21,"")</f>
        <v>5136</v>
      </c>
      <c r="H42" s="53" t="n">
        <f aca="false">IF('Material Summary'!H21&lt;&gt;"",'Material Summary'!H21,"")</f>
        <v>123264</v>
      </c>
      <c r="I42" s="54" t="n">
        <f aca="false">IF('Material Summary'!I21&lt;&gt;"",'Material Summary'!I21,"")</f>
        <v>0.144651947680082</v>
      </c>
      <c r="J42" s="19"/>
      <c r="K42" s="19"/>
      <c r="L42" s="19"/>
      <c r="M42" s="19"/>
      <c r="N42" s="19"/>
    </row>
    <row r="43" customFormat="false" ht="15" hidden="false" customHeight="true" outlineLevel="0" collapsed="false">
      <c r="A43" s="19"/>
      <c r="B43" s="56" t="str">
        <f aca="false">IF('Material Summary'!B22&lt;&gt;"",'Material Summary'!B22,"")</f>
        <v>Tiscon 8mm</v>
      </c>
      <c r="C43" s="57" t="n">
        <f aca="false">IF('Material Summary'!C22&lt;&gt;"",'Material Summary'!C22,"")</f>
        <v>50</v>
      </c>
      <c r="D43" s="58" t="str">
        <f aca="false">IF('Material Summary'!D22&lt;&gt;"",'Material Summary'!D22,"")</f>
        <v>Pcs</v>
      </c>
      <c r="E43" s="59" t="n">
        <f aca="false">IF('Material Summary'!E22&lt;&gt;"",'Material Summary'!E22,"")</f>
        <v>420</v>
      </c>
      <c r="F43" s="60" t="n">
        <f aca="false">IF('Material Summary'!F22&lt;&gt;"",'Material Summary'!F22,"")</f>
        <v>21000</v>
      </c>
      <c r="G43" s="60" t="n">
        <f aca="false">IF('Material Summary'!G22&lt;&gt;"",'Material Summary'!G22,"")</f>
        <v>840</v>
      </c>
      <c r="H43" s="60" t="n">
        <f aca="false">IF('Material Summary'!H22&lt;&gt;"",'Material Summary'!H22,"")</f>
        <v>20160</v>
      </c>
      <c r="I43" s="61" t="n">
        <f aca="false">IF('Material Summary'!I22&lt;&gt;"",'Material Summary'!I22,"")</f>
        <v>0.0236580288261816</v>
      </c>
      <c r="J43" s="19"/>
      <c r="K43" s="19"/>
      <c r="L43" s="19"/>
      <c r="M43" s="19"/>
      <c r="N43" s="19"/>
    </row>
    <row r="44" customFormat="false" ht="15" hidden="false" customHeight="true" outlineLevel="0" collapsed="false">
      <c r="A44" s="19"/>
      <c r="B44" s="49" t="str">
        <f aca="false">IF('Material Summary'!B23&lt;&gt;"",'Material Summary'!B23,"")</f>
        <v>Tiscon 6mm</v>
      </c>
      <c r="C44" s="50" t="n">
        <f aca="false">IF('Material Summary'!C23&lt;&gt;"",'Material Summary'!C23,"")</f>
        <v>100</v>
      </c>
      <c r="D44" s="51" t="str">
        <f aca="false">IF('Material Summary'!D23&lt;&gt;"",'Material Summary'!D23,"")</f>
        <v>Pcs</v>
      </c>
      <c r="E44" s="52" t="n">
        <f aca="false">IF('Material Summary'!E23&lt;&gt;"",'Material Summary'!E23,"")</f>
        <v>246</v>
      </c>
      <c r="F44" s="53" t="n">
        <f aca="false">IF('Material Summary'!F23&lt;&gt;"",'Material Summary'!F23,"")</f>
        <v>24600</v>
      </c>
      <c r="G44" s="53" t="n">
        <f aca="false">IF('Material Summary'!G23&lt;&gt;"",'Material Summary'!G23,"")</f>
        <v>0</v>
      </c>
      <c r="H44" s="53" t="n">
        <f aca="false">IF('Material Summary'!H23&lt;&gt;"",'Material Summary'!H23,"")</f>
        <v>24600</v>
      </c>
      <c r="I44" s="54" t="n">
        <f aca="false">IF('Material Summary'!I23&lt;&gt;"",'Material Summary'!I23,"")</f>
        <v>0.0288684280319477</v>
      </c>
      <c r="J44" s="19"/>
      <c r="K44" s="19"/>
      <c r="L44" s="19"/>
      <c r="M44" s="19"/>
      <c r="N44" s="19"/>
    </row>
    <row r="45" customFormat="false" ht="15" hidden="false" customHeight="true" outlineLevel="0" collapsed="false">
      <c r="A45" s="19"/>
      <c r="B45" s="56" t="str">
        <f aca="false">IF('Material Summary'!B24&lt;&gt;"",'Material Summary'!B24,"")</f>
        <v>Wire 4mm</v>
      </c>
      <c r="C45" s="57" t="n">
        <f aca="false">IF('Material Summary'!C24&lt;&gt;"",'Material Summary'!C24,"")</f>
        <v>0</v>
      </c>
      <c r="D45" s="58" t="str">
        <f aca="false">IF('Material Summary'!D24&lt;&gt;"",'Material Summary'!D24,"")</f>
        <v>Bundle/Metres</v>
      </c>
      <c r="E45" s="58" t="str">
        <f aca="false">IF('Material Summary'!E24&lt;&gt;"",'Material Summary'!E24,"")</f>
        <v/>
      </c>
      <c r="F45" s="60" t="n">
        <f aca="false">IF('Material Summary'!F24&lt;&gt;"",'Material Summary'!F24,"")</f>
        <v>0</v>
      </c>
      <c r="G45" s="60" t="n">
        <f aca="false">IF('Material Summary'!G24&lt;&gt;"",'Material Summary'!G24,"")</f>
        <v>0</v>
      </c>
      <c r="H45" s="60" t="n">
        <f aca="false">IF('Material Summary'!H24&lt;&gt;"",'Material Summary'!H24,"")</f>
        <v>0</v>
      </c>
      <c r="I45" s="61" t="n">
        <f aca="false">IF('Material Summary'!I24&lt;&gt;"",'Material Summary'!I24,"")</f>
        <v>0</v>
      </c>
      <c r="J45" s="19"/>
      <c r="K45" s="19"/>
      <c r="L45" s="19"/>
      <c r="M45" s="19"/>
      <c r="N45" s="19"/>
    </row>
    <row r="46" customFormat="false" ht="1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customFormat="false" ht="1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customFormat="false" ht="1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customFormat="false" ht="1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customFormat="false" ht="1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customFormat="false" ht="1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customFormat="false" ht="1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customFormat="false" ht="1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customFormat="false" ht="1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customFormat="false" ht="1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customFormat="false" ht="1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customFormat="false" ht="1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customFormat="false" ht="1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customFormat="false" ht="1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customFormat="false" ht="1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customFormat="false" ht="1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</sheetData>
  <mergeCells count="21">
    <mergeCell ref="A1:M1"/>
    <mergeCell ref="A2:M2"/>
    <mergeCell ref="A3:F3"/>
    <mergeCell ref="G3:M3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0:C10"/>
    <mergeCell ref="E10:F10"/>
    <mergeCell ref="H10:L10"/>
    <mergeCell ref="B24:I24"/>
    <mergeCell ref="K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N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22"/>
    <col collapsed="false" customWidth="true" hidden="false" outlineLevel="0" max="2" min="2" style="17" width="28"/>
    <col collapsed="false" customWidth="true" hidden="false" outlineLevel="0" max="3" min="3" style="17" width="16"/>
    <col collapsed="false" customWidth="true" hidden="false" outlineLevel="0" max="4" min="4" style="17" width="3"/>
    <col collapsed="false" customWidth="true" hidden="false" outlineLevel="0" max="5" min="5" style="17" width="24"/>
    <col collapsed="false" customWidth="true" hidden="false" outlineLevel="0" max="6" min="6" style="17" width="22"/>
    <col collapsed="false" customWidth="true" hidden="false" outlineLevel="0" max="7" min="7" style="17" width="16"/>
    <col collapsed="false" customWidth="true" hidden="false" outlineLevel="0" max="8" min="8" style="17" width="3"/>
    <col collapsed="false" customWidth="true" hidden="false" outlineLevel="0" max="9" min="9" style="17" width="20"/>
    <col collapsed="false" customWidth="true" hidden="false" outlineLevel="0" max="10" min="10" style="17" width="16"/>
    <col collapsed="false" customWidth="true" hidden="false" outlineLevel="0" max="11" min="11" style="17" width="20"/>
    <col collapsed="false" customWidth="true" hidden="false" outlineLevel="0" max="12" min="12" style="17" width="3"/>
    <col collapsed="false" customWidth="true" hidden="false" outlineLevel="0" max="13" min="13" style="17" width="28"/>
    <col collapsed="false" customWidth="true" hidden="false" outlineLevel="0" max="14" min="14" style="17" width="20"/>
  </cols>
  <sheetData>
    <row r="1" customFormat="false" ht="17.25" hidden="false" customHeight="true" outlineLevel="0" collapsed="false">
      <c r="A1" s="63" t="s">
        <v>195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customFormat="false" ht="15.75" hidden="false" customHeight="true" outlineLevel="0" collapsed="false">
      <c r="A2" s="64" t="s">
        <v>196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4" customFormat="false" ht="26.25" hidden="false" customHeight="true" outlineLevel="0" collapsed="false">
      <c r="A4" s="65" t="s">
        <v>197</v>
      </c>
      <c r="B4" s="65" t="s">
        <v>198</v>
      </c>
      <c r="C4" s="65" t="s">
        <v>199</v>
      </c>
      <c r="D4" s="65"/>
      <c r="E4" s="65" t="s">
        <v>200</v>
      </c>
      <c r="F4" s="65" t="s">
        <v>201</v>
      </c>
      <c r="G4" s="65" t="s">
        <v>202</v>
      </c>
      <c r="H4" s="65"/>
      <c r="I4" s="65" t="s">
        <v>203</v>
      </c>
      <c r="J4" s="65" t="s">
        <v>204</v>
      </c>
      <c r="K4" s="65" t="s">
        <v>205</v>
      </c>
      <c r="M4" s="17" t="s">
        <v>206</v>
      </c>
      <c r="N4" s="17" t="s">
        <v>207</v>
      </c>
    </row>
    <row r="5" customFormat="false" ht="15.75" hidden="false" customHeight="true" outlineLevel="0" collapsed="false">
      <c r="A5" s="66" t="s">
        <v>159</v>
      </c>
      <c r="B5" s="66" t="s">
        <v>208</v>
      </c>
      <c r="C5" s="66" t="s">
        <v>209</v>
      </c>
      <c r="E5" s="67" t="s">
        <v>109</v>
      </c>
      <c r="F5" s="67" t="s">
        <v>210</v>
      </c>
      <c r="G5" s="67" t="s">
        <v>211</v>
      </c>
      <c r="I5" s="67" t="s">
        <v>128</v>
      </c>
      <c r="J5" s="67" t="s">
        <v>211</v>
      </c>
      <c r="K5" s="67" t="s">
        <v>162</v>
      </c>
      <c r="M5" s="17" t="s">
        <v>212</v>
      </c>
      <c r="N5" s="17" t="s">
        <v>213</v>
      </c>
    </row>
    <row r="6" customFormat="false" ht="15.75" hidden="false" customHeight="true" outlineLevel="0" collapsed="false">
      <c r="A6" s="68" t="s">
        <v>159</v>
      </c>
      <c r="B6" s="68" t="s">
        <v>214</v>
      </c>
      <c r="C6" s="68" t="s">
        <v>215</v>
      </c>
      <c r="E6" s="69" t="s">
        <v>111</v>
      </c>
      <c r="F6" s="69" t="s">
        <v>208</v>
      </c>
      <c r="G6" s="69" t="s">
        <v>211</v>
      </c>
      <c r="I6" s="67" t="s">
        <v>216</v>
      </c>
      <c r="J6" s="67" t="s">
        <v>217</v>
      </c>
      <c r="K6" s="67" t="s">
        <v>218</v>
      </c>
      <c r="M6" s="17" t="s">
        <v>219</v>
      </c>
      <c r="N6" s="17" t="s">
        <v>220</v>
      </c>
    </row>
    <row r="7" customFormat="false" ht="15.75" hidden="false" customHeight="true" outlineLevel="0" collapsed="false">
      <c r="A7" s="66" t="s">
        <v>159</v>
      </c>
      <c r="B7" s="66" t="s">
        <v>221</v>
      </c>
      <c r="C7" s="66" t="s">
        <v>222</v>
      </c>
      <c r="E7" s="67" t="s">
        <v>117</v>
      </c>
      <c r="F7" s="67" t="s">
        <v>214</v>
      </c>
      <c r="G7" s="67" t="s">
        <v>211</v>
      </c>
      <c r="I7" s="67" t="s">
        <v>223</v>
      </c>
      <c r="J7" s="67" t="s">
        <v>224</v>
      </c>
      <c r="K7" s="67" t="s">
        <v>225</v>
      </c>
      <c r="M7" s="17" t="s">
        <v>226</v>
      </c>
      <c r="N7" s="17" t="s">
        <v>215</v>
      </c>
    </row>
    <row r="8" customFormat="false" ht="15.75" hidden="false" customHeight="true" outlineLevel="0" collapsed="false">
      <c r="A8" s="68" t="s">
        <v>159</v>
      </c>
      <c r="B8" s="68" t="s">
        <v>227</v>
      </c>
      <c r="C8" s="68" t="s">
        <v>213</v>
      </c>
      <c r="E8" s="69" t="s">
        <v>115</v>
      </c>
      <c r="F8" s="69" t="s">
        <v>221</v>
      </c>
      <c r="G8" s="69" t="s">
        <v>228</v>
      </c>
      <c r="I8" s="67" t="s">
        <v>130</v>
      </c>
      <c r="J8" s="67" t="s">
        <v>229</v>
      </c>
      <c r="K8" s="67" t="s">
        <v>230</v>
      </c>
      <c r="M8" s="17" t="s">
        <v>231</v>
      </c>
      <c r="N8" s="17" t="s">
        <v>232</v>
      </c>
    </row>
    <row r="9" customFormat="false" ht="15.75" hidden="false" customHeight="true" outlineLevel="0" collapsed="false">
      <c r="A9" s="66" t="s">
        <v>159</v>
      </c>
      <c r="B9" s="66" t="s">
        <v>233</v>
      </c>
      <c r="C9" s="66" t="s">
        <v>213</v>
      </c>
      <c r="E9" s="67" t="s">
        <v>234</v>
      </c>
      <c r="F9" s="67" t="s">
        <v>235</v>
      </c>
      <c r="G9" s="67" t="s">
        <v>211</v>
      </c>
      <c r="I9" s="67" t="s">
        <v>163</v>
      </c>
      <c r="J9" s="67" t="s">
        <v>236</v>
      </c>
      <c r="K9" s="67" t="s">
        <v>237</v>
      </c>
      <c r="M9" s="17" t="s">
        <v>238</v>
      </c>
      <c r="N9" s="17" t="s">
        <v>239</v>
      </c>
    </row>
    <row r="10" customFormat="false" ht="15.75" hidden="false" customHeight="true" outlineLevel="0" collapsed="false">
      <c r="A10" s="68" t="s">
        <v>159</v>
      </c>
      <c r="B10" s="68" t="s">
        <v>240</v>
      </c>
      <c r="C10" s="68" t="s">
        <v>213</v>
      </c>
      <c r="E10" s="69" t="s">
        <v>119</v>
      </c>
      <c r="F10" s="69" t="s">
        <v>241</v>
      </c>
      <c r="G10" s="69" t="s">
        <v>211</v>
      </c>
      <c r="I10" s="67" t="s">
        <v>242</v>
      </c>
      <c r="J10" s="67" t="s">
        <v>243</v>
      </c>
      <c r="K10" s="67" t="s">
        <v>244</v>
      </c>
      <c r="M10" s="17" t="s">
        <v>208</v>
      </c>
      <c r="N10" s="17" t="s">
        <v>245</v>
      </c>
    </row>
    <row r="11" customFormat="false" ht="15.75" hidden="false" customHeight="true" outlineLevel="0" collapsed="false">
      <c r="A11" s="66" t="s">
        <v>159</v>
      </c>
      <c r="B11" s="66" t="s">
        <v>246</v>
      </c>
      <c r="C11" s="66" t="s">
        <v>247</v>
      </c>
      <c r="E11" s="67" t="s">
        <v>248</v>
      </c>
      <c r="F11" s="67" t="s">
        <v>249</v>
      </c>
      <c r="G11" s="67" t="s">
        <v>211</v>
      </c>
      <c r="I11" s="67" t="s">
        <v>250</v>
      </c>
      <c r="K11" s="67" t="s">
        <v>251</v>
      </c>
      <c r="M11" s="17" t="s">
        <v>233</v>
      </c>
      <c r="N11" s="17" t="s">
        <v>252</v>
      </c>
    </row>
    <row r="12" customFormat="false" ht="15.75" hidden="false" customHeight="true" outlineLevel="0" collapsed="false">
      <c r="A12" s="68" t="s">
        <v>159</v>
      </c>
      <c r="B12" s="68" t="s">
        <v>253</v>
      </c>
      <c r="C12" s="68" t="s">
        <v>254</v>
      </c>
      <c r="E12" s="69" t="s">
        <v>255</v>
      </c>
      <c r="F12" s="69" t="s">
        <v>256</v>
      </c>
      <c r="G12" s="69" t="s">
        <v>211</v>
      </c>
      <c r="I12" s="67" t="s">
        <v>132</v>
      </c>
      <c r="K12" s="67" t="s">
        <v>257</v>
      </c>
      <c r="M12" s="17" t="s">
        <v>240</v>
      </c>
      <c r="N12" s="17" t="s">
        <v>247</v>
      </c>
    </row>
    <row r="13" customFormat="false" ht="15.75" hidden="false" customHeight="true" outlineLevel="0" collapsed="false">
      <c r="A13" s="66" t="s">
        <v>159</v>
      </c>
      <c r="B13" s="66" t="s">
        <v>258</v>
      </c>
      <c r="C13" s="66" t="s">
        <v>259</v>
      </c>
      <c r="E13" s="67" t="s">
        <v>260</v>
      </c>
      <c r="F13" s="67" t="s">
        <v>261</v>
      </c>
      <c r="G13" s="67" t="s">
        <v>224</v>
      </c>
      <c r="I13" s="17" t="s">
        <v>134</v>
      </c>
      <c r="K13" s="67" t="s">
        <v>262</v>
      </c>
      <c r="M13" s="17" t="s">
        <v>227</v>
      </c>
      <c r="N13" s="17" t="s">
        <v>263</v>
      </c>
    </row>
    <row r="14" customFormat="false" ht="15.75" hidden="false" customHeight="true" outlineLevel="0" collapsed="false">
      <c r="A14" s="68" t="s">
        <v>159</v>
      </c>
      <c r="B14" s="68" t="s">
        <v>264</v>
      </c>
      <c r="C14" s="68" t="s">
        <v>245</v>
      </c>
      <c r="E14" s="69" t="s">
        <v>170</v>
      </c>
      <c r="F14" s="69" t="s">
        <v>265</v>
      </c>
      <c r="G14" s="69" t="s">
        <v>211</v>
      </c>
      <c r="K14" s="67" t="s">
        <v>266</v>
      </c>
      <c r="M14" s="17" t="s">
        <v>221</v>
      </c>
      <c r="N14" s="17" t="s">
        <v>267</v>
      </c>
    </row>
    <row r="15" customFormat="false" ht="15.75" hidden="false" customHeight="true" outlineLevel="0" collapsed="false">
      <c r="A15" s="66" t="s">
        <v>159</v>
      </c>
      <c r="B15" s="66" t="s">
        <v>219</v>
      </c>
      <c r="C15" s="66" t="s">
        <v>267</v>
      </c>
      <c r="E15" s="67" t="s">
        <v>113</v>
      </c>
      <c r="F15" s="67" t="s">
        <v>268</v>
      </c>
      <c r="G15" s="67" t="s">
        <v>211</v>
      </c>
      <c r="K15" s="67" t="s">
        <v>269</v>
      </c>
      <c r="M15" s="17" t="s">
        <v>270</v>
      </c>
      <c r="N15" s="17" t="s">
        <v>209</v>
      </c>
    </row>
    <row r="16" customFormat="false" ht="15.75" hidden="false" customHeight="true" outlineLevel="0" collapsed="false">
      <c r="A16" s="68" t="s">
        <v>159</v>
      </c>
      <c r="B16" s="68" t="s">
        <v>271</v>
      </c>
      <c r="C16" s="68" t="s">
        <v>252</v>
      </c>
      <c r="E16" s="69" t="s">
        <v>272</v>
      </c>
      <c r="F16" s="69" t="s">
        <v>273</v>
      </c>
      <c r="G16" s="69" t="s">
        <v>211</v>
      </c>
      <c r="K16" s="67" t="s">
        <v>274</v>
      </c>
      <c r="M16" s="17" t="s">
        <v>258</v>
      </c>
      <c r="N16" s="17" t="s">
        <v>259</v>
      </c>
    </row>
    <row r="17" customFormat="false" ht="15.75" hidden="false" customHeight="true" outlineLevel="0" collapsed="false">
      <c r="A17" s="66" t="s">
        <v>159</v>
      </c>
      <c r="B17" s="66" t="s">
        <v>226</v>
      </c>
      <c r="C17" s="66" t="s">
        <v>245</v>
      </c>
      <c r="E17" s="17" t="s">
        <v>121</v>
      </c>
      <c r="F17" s="17" t="s">
        <v>275</v>
      </c>
      <c r="G17" s="17" t="s">
        <v>229</v>
      </c>
      <c r="M17" s="17" t="s">
        <v>276</v>
      </c>
      <c r="N17" s="17" t="s">
        <v>254</v>
      </c>
    </row>
    <row r="18" customFormat="false" ht="15.75" hidden="false" customHeight="true" outlineLevel="0" collapsed="false">
      <c r="A18" s="68" t="s">
        <v>159</v>
      </c>
      <c r="B18" s="68" t="s">
        <v>231</v>
      </c>
      <c r="C18" s="68" t="s">
        <v>254</v>
      </c>
      <c r="M18" s="17" t="s">
        <v>277</v>
      </c>
      <c r="N18" s="17" t="s">
        <v>222</v>
      </c>
    </row>
    <row r="19" customFormat="false" ht="15.75" hidden="false" customHeight="true" outlineLevel="0" collapsed="false">
      <c r="A19" s="66" t="s">
        <v>160</v>
      </c>
      <c r="B19" s="66" t="s">
        <v>278</v>
      </c>
      <c r="C19" s="66" t="s">
        <v>254</v>
      </c>
      <c r="M19" s="17" t="s">
        <v>246</v>
      </c>
      <c r="N19" s="17" t="s">
        <v>279</v>
      </c>
    </row>
    <row r="20" customFormat="false" ht="15.75" hidden="false" customHeight="true" outlineLevel="0" collapsed="false">
      <c r="A20" s="68" t="s">
        <v>160</v>
      </c>
      <c r="B20" s="68" t="s">
        <v>280</v>
      </c>
      <c r="C20" s="68" t="s">
        <v>254</v>
      </c>
      <c r="M20" s="17" t="s">
        <v>281</v>
      </c>
      <c r="N20" s="17" t="s">
        <v>282</v>
      </c>
    </row>
    <row r="21" customFormat="false" ht="15.75" hidden="false" customHeight="true" outlineLevel="0" collapsed="false">
      <c r="A21" s="66" t="s">
        <v>160</v>
      </c>
      <c r="B21" s="66" t="s">
        <v>283</v>
      </c>
      <c r="C21" s="66" t="s">
        <v>254</v>
      </c>
      <c r="M21" s="17" t="s">
        <v>284</v>
      </c>
    </row>
    <row r="22" customFormat="false" ht="15.75" hidden="false" customHeight="true" outlineLevel="0" collapsed="false">
      <c r="A22" s="68" t="s">
        <v>160</v>
      </c>
      <c r="B22" s="68" t="s">
        <v>285</v>
      </c>
      <c r="C22" s="68" t="s">
        <v>254</v>
      </c>
      <c r="M22" s="17" t="s">
        <v>286</v>
      </c>
    </row>
    <row r="23" customFormat="false" ht="15.75" hidden="false" customHeight="true" outlineLevel="0" collapsed="false">
      <c r="A23" s="66" t="s">
        <v>160</v>
      </c>
      <c r="B23" s="66" t="s">
        <v>287</v>
      </c>
      <c r="C23" s="66" t="s">
        <v>254</v>
      </c>
      <c r="M23" s="17" t="s">
        <v>288</v>
      </c>
    </row>
    <row r="24" customFormat="false" ht="15.75" hidden="false" customHeight="true" outlineLevel="0" collapsed="false">
      <c r="A24" s="68" t="s">
        <v>244</v>
      </c>
      <c r="B24" s="68" t="s">
        <v>289</v>
      </c>
      <c r="C24" s="68" t="s">
        <v>220</v>
      </c>
      <c r="M24" s="17" t="s">
        <v>264</v>
      </c>
    </row>
    <row r="25" customFormat="false" ht="15.75" hidden="false" customHeight="true" outlineLevel="0" collapsed="false">
      <c r="A25" s="66" t="s">
        <v>244</v>
      </c>
      <c r="B25" s="66" t="s">
        <v>290</v>
      </c>
      <c r="C25" s="66" t="s">
        <v>220</v>
      </c>
      <c r="M25" s="17" t="s">
        <v>291</v>
      </c>
    </row>
    <row r="26" customFormat="false" ht="15.75" hidden="false" customHeight="true" outlineLevel="0" collapsed="false">
      <c r="A26" s="68" t="s">
        <v>244</v>
      </c>
      <c r="B26" s="68" t="s">
        <v>292</v>
      </c>
      <c r="C26" s="68" t="s">
        <v>220</v>
      </c>
      <c r="M26" s="17" t="s">
        <v>293</v>
      </c>
    </row>
    <row r="27" customFormat="false" ht="15.75" hidden="false" customHeight="true" outlineLevel="0" collapsed="false">
      <c r="A27" s="66" t="s">
        <v>244</v>
      </c>
      <c r="B27" s="66" t="s">
        <v>294</v>
      </c>
      <c r="C27" s="66" t="s">
        <v>220</v>
      </c>
      <c r="M27" s="17" t="s">
        <v>295</v>
      </c>
    </row>
    <row r="28" customFormat="false" ht="15.75" hidden="false" customHeight="true" outlineLevel="0" collapsed="false">
      <c r="A28" s="68" t="s">
        <v>244</v>
      </c>
      <c r="B28" s="68" t="s">
        <v>296</v>
      </c>
      <c r="C28" s="68" t="s">
        <v>220</v>
      </c>
      <c r="M28" s="17" t="s">
        <v>297</v>
      </c>
    </row>
    <row r="29" customFormat="false" ht="15.75" hidden="false" customHeight="true" outlineLevel="0" collapsed="false">
      <c r="A29" s="66" t="s">
        <v>244</v>
      </c>
      <c r="B29" s="66" t="s">
        <v>298</v>
      </c>
      <c r="C29" s="66" t="s">
        <v>254</v>
      </c>
      <c r="M29" s="17" t="s">
        <v>299</v>
      </c>
    </row>
    <row r="30" customFormat="false" ht="15.75" hidden="false" customHeight="true" outlineLevel="0" collapsed="false">
      <c r="A30" s="68" t="s">
        <v>244</v>
      </c>
      <c r="B30" s="68" t="s">
        <v>297</v>
      </c>
      <c r="C30" s="68" t="s">
        <v>254</v>
      </c>
      <c r="M30" s="17" t="s">
        <v>271</v>
      </c>
    </row>
    <row r="31" customFormat="false" ht="15.75" hidden="false" customHeight="true" outlineLevel="0" collapsed="false">
      <c r="A31" s="66" t="s">
        <v>244</v>
      </c>
      <c r="B31" s="66" t="s">
        <v>270</v>
      </c>
      <c r="C31" s="66" t="s">
        <v>254</v>
      </c>
      <c r="M31" s="17" t="s">
        <v>253</v>
      </c>
    </row>
    <row r="32" customFormat="false" ht="15.75" hidden="false" customHeight="true" outlineLevel="0" collapsed="false">
      <c r="A32" s="68" t="s">
        <v>244</v>
      </c>
      <c r="B32" s="68" t="s">
        <v>286</v>
      </c>
      <c r="C32" s="68" t="s">
        <v>254</v>
      </c>
      <c r="M32" s="17" t="s">
        <v>214</v>
      </c>
    </row>
    <row r="33" customFormat="false" ht="15.75" hidden="false" customHeight="true" outlineLevel="0" collapsed="false">
      <c r="A33" s="66" t="s">
        <v>244</v>
      </c>
      <c r="B33" s="66" t="s">
        <v>238</v>
      </c>
      <c r="C33" s="66" t="s">
        <v>254</v>
      </c>
      <c r="M33" s="17" t="s">
        <v>300</v>
      </c>
    </row>
    <row r="34" customFormat="false" ht="15.75" hidden="false" customHeight="true" outlineLevel="0" collapsed="false">
      <c r="A34" s="68" t="s">
        <v>244</v>
      </c>
      <c r="B34" s="68" t="s">
        <v>288</v>
      </c>
      <c r="C34" s="68" t="s">
        <v>254</v>
      </c>
      <c r="M34" s="17" t="s">
        <v>298</v>
      </c>
    </row>
    <row r="35" customFormat="false" ht="15.75" hidden="false" customHeight="true" outlineLevel="0" collapsed="false">
      <c r="A35" s="66" t="s">
        <v>164</v>
      </c>
      <c r="B35" s="66" t="s">
        <v>281</v>
      </c>
      <c r="C35" s="66" t="s">
        <v>263</v>
      </c>
      <c r="M35" s="17" t="s">
        <v>301</v>
      </c>
    </row>
    <row r="36" customFormat="false" ht="15.75" hidden="false" customHeight="true" outlineLevel="0" collapsed="false">
      <c r="A36" s="68" t="s">
        <v>164</v>
      </c>
      <c r="B36" s="68" t="s">
        <v>276</v>
      </c>
      <c r="C36" s="68" t="s">
        <v>239</v>
      </c>
      <c r="M36" s="17" t="s">
        <v>283</v>
      </c>
    </row>
    <row r="37" customFormat="false" ht="15.75" hidden="false" customHeight="true" outlineLevel="0" collapsed="false">
      <c r="A37" s="66" t="s">
        <v>164</v>
      </c>
      <c r="B37" s="66" t="s">
        <v>277</v>
      </c>
      <c r="C37" s="66" t="s">
        <v>232</v>
      </c>
      <c r="M37" s="17" t="s">
        <v>280</v>
      </c>
    </row>
    <row r="38" customFormat="false" ht="15.75" hidden="false" customHeight="true" outlineLevel="0" collapsed="false">
      <c r="A38" s="68" t="s">
        <v>164</v>
      </c>
      <c r="B38" s="68" t="s">
        <v>293</v>
      </c>
      <c r="C38" s="68" t="s">
        <v>232</v>
      </c>
      <c r="M38" s="17" t="s">
        <v>278</v>
      </c>
    </row>
    <row r="39" customFormat="false" ht="15.75" hidden="false" customHeight="true" outlineLevel="0" collapsed="false">
      <c r="A39" s="66" t="s">
        <v>164</v>
      </c>
      <c r="B39" s="66" t="s">
        <v>300</v>
      </c>
      <c r="C39" s="66" t="s">
        <v>232</v>
      </c>
      <c r="M39" s="17" t="s">
        <v>287</v>
      </c>
    </row>
    <row r="40" customFormat="false" ht="15.75" hidden="false" customHeight="true" outlineLevel="0" collapsed="false">
      <c r="A40" s="68" t="s">
        <v>166</v>
      </c>
      <c r="B40" s="68" t="s">
        <v>302</v>
      </c>
      <c r="C40" s="68" t="s">
        <v>279</v>
      </c>
      <c r="M40" s="17" t="s">
        <v>285</v>
      </c>
    </row>
    <row r="41" customFormat="false" ht="15.75" hidden="false" customHeight="true" outlineLevel="0" collapsed="false">
      <c r="A41" s="66" t="s">
        <v>166</v>
      </c>
      <c r="B41" s="66" t="s">
        <v>303</v>
      </c>
      <c r="C41" s="66" t="s">
        <v>279</v>
      </c>
      <c r="M41" s="17" t="s">
        <v>304</v>
      </c>
    </row>
    <row r="42" customFormat="false" ht="15.75" hidden="false" customHeight="true" outlineLevel="0" collapsed="false">
      <c r="A42" s="68" t="s">
        <v>166</v>
      </c>
      <c r="B42" s="68" t="s">
        <v>212</v>
      </c>
      <c r="C42" s="68" t="s">
        <v>279</v>
      </c>
      <c r="M42" s="17" t="s">
        <v>303</v>
      </c>
    </row>
    <row r="43" customFormat="false" ht="15.75" hidden="false" customHeight="true" outlineLevel="0" collapsed="false">
      <c r="A43" s="66" t="s">
        <v>167</v>
      </c>
      <c r="B43" s="66" t="s">
        <v>291</v>
      </c>
      <c r="C43" s="66" t="s">
        <v>263</v>
      </c>
      <c r="M43" s="17" t="s">
        <v>302</v>
      </c>
    </row>
    <row r="44" customFormat="false" ht="15.75" hidden="false" customHeight="true" outlineLevel="0" collapsed="false">
      <c r="A44" s="68" t="s">
        <v>161</v>
      </c>
      <c r="B44" s="68" t="s">
        <v>284</v>
      </c>
      <c r="C44" s="68" t="s">
        <v>282</v>
      </c>
      <c r="M44" s="17" t="s">
        <v>296</v>
      </c>
    </row>
    <row r="45" customFormat="false" ht="15.75" hidden="false" customHeight="true" outlineLevel="0" collapsed="false">
      <c r="A45" s="66" t="s">
        <v>161</v>
      </c>
      <c r="B45" s="66" t="s">
        <v>299</v>
      </c>
      <c r="C45" s="66" t="s">
        <v>263</v>
      </c>
      <c r="M45" s="17" t="s">
        <v>292</v>
      </c>
    </row>
    <row r="46" customFormat="false" ht="15.75" hidden="false" customHeight="true" outlineLevel="0" collapsed="false">
      <c r="A46" s="68" t="s">
        <v>162</v>
      </c>
      <c r="B46" s="68" t="s">
        <v>295</v>
      </c>
      <c r="C46" s="68" t="s">
        <v>263</v>
      </c>
      <c r="M46" s="17" t="s">
        <v>294</v>
      </c>
    </row>
    <row r="47" customFormat="false" ht="15.75" hidden="false" customHeight="true" outlineLevel="0" collapsed="false">
      <c r="A47" s="66" t="s">
        <v>168</v>
      </c>
      <c r="B47" s="66" t="s">
        <v>301</v>
      </c>
      <c r="C47" s="66" t="s">
        <v>263</v>
      </c>
      <c r="M47" s="17" t="s">
        <v>290</v>
      </c>
    </row>
    <row r="48" customFormat="false" ht="15.75" hidden="false" customHeight="true" outlineLevel="0" collapsed="false">
      <c r="A48" s="68" t="s">
        <v>168</v>
      </c>
      <c r="B48" s="68" t="s">
        <v>304</v>
      </c>
      <c r="C48" s="68" t="s">
        <v>263</v>
      </c>
      <c r="M48" s="17" t="s">
        <v>289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Q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M8" activeCellId="0" sqref="M8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7"/>
    <col collapsed="false" customWidth="true" hidden="false" outlineLevel="0" max="2" min="2" style="17" width="14"/>
    <col collapsed="false" customWidth="true" hidden="false" outlineLevel="0" max="3" min="3" style="17" width="12"/>
    <col collapsed="false" customWidth="true" hidden="false" outlineLevel="0" max="4" min="4" style="17" width="18"/>
    <col collapsed="false" customWidth="true" hidden="false" outlineLevel="0" max="5" min="5" style="17" width="20"/>
    <col collapsed="false" customWidth="true" hidden="false" outlineLevel="0" max="6" min="6" style="17" width="26"/>
    <col collapsed="false" customWidth="true" hidden="false" outlineLevel="0" max="7" min="7" style="17" width="28"/>
    <col collapsed="false" customWidth="true" hidden="false" outlineLevel="0" max="8" min="8" style="17" width="24"/>
    <col collapsed="false" customWidth="true" hidden="false" outlineLevel="0" max="9" min="9" style="17" width="10"/>
    <col collapsed="false" customWidth="true" hidden="false" outlineLevel="0" max="10" min="10" style="17" width="16"/>
    <col collapsed="false" customWidth="true" hidden="false" outlineLevel="0" max="11" min="11" style="17" width="12"/>
    <col collapsed="false" customWidth="true" hidden="false" outlineLevel="0" max="12" min="12" style="17" width="14"/>
    <col collapsed="false" customWidth="true" hidden="false" outlineLevel="0" max="14" min="13" style="17" width="10"/>
    <col collapsed="false" customWidth="true" hidden="false" outlineLevel="0" max="15" min="15" style="17" width="14"/>
    <col collapsed="false" customWidth="true" hidden="false" outlineLevel="0" max="16" min="16" style="17" width="18"/>
    <col collapsed="false" customWidth="true" hidden="false" outlineLevel="0" max="17" min="17" style="17" width="14"/>
  </cols>
  <sheetData>
    <row r="1" customFormat="false" ht="17.25" hidden="false" customHeight="true" outlineLevel="0" collapsed="false">
      <c r="A1" s="63" t="s">
        <v>305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customFormat="false" ht="15.75" hidden="false" customHeight="true" outlineLevel="0" collapsed="false">
      <c r="A2" s="64" t="s">
        <v>306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4" customFormat="false" ht="26.25" hidden="false" customHeight="true" outlineLevel="0" collapsed="false">
      <c r="A4" s="65" t="s">
        <v>307</v>
      </c>
      <c r="B4" s="65" t="s">
        <v>308</v>
      </c>
      <c r="C4" s="65" t="s">
        <v>181</v>
      </c>
      <c r="D4" s="65" t="s">
        <v>309</v>
      </c>
      <c r="E4" s="65" t="s">
        <v>153</v>
      </c>
      <c r="F4" s="65" t="s">
        <v>310</v>
      </c>
      <c r="G4" s="65" t="s">
        <v>311</v>
      </c>
      <c r="H4" s="65" t="s">
        <v>312</v>
      </c>
      <c r="I4" s="65" t="s">
        <v>174</v>
      </c>
      <c r="J4" s="65" t="s">
        <v>175</v>
      </c>
      <c r="K4" s="65" t="s">
        <v>313</v>
      </c>
      <c r="L4" s="65" t="s">
        <v>314</v>
      </c>
      <c r="M4" s="65" t="s">
        <v>315</v>
      </c>
      <c r="N4" s="65" t="s">
        <v>316</v>
      </c>
      <c r="O4" s="65" t="s">
        <v>317</v>
      </c>
      <c r="P4" s="65" t="s">
        <v>318</v>
      </c>
      <c r="Q4" s="65" t="s">
        <v>319</v>
      </c>
    </row>
    <row r="5" customFormat="false" ht="15.75" hidden="false" customHeight="true" outlineLevel="0" collapsed="false">
      <c r="A5" s="66" t="n">
        <v>1</v>
      </c>
      <c r="B5" s="70" t="n">
        <v>46149</v>
      </c>
      <c r="C5" s="71" t="str">
        <f aca="false">IF(B5="","",TEXT(B5,"MMM-YYYY"))</f>
        <v>May-2026</v>
      </c>
      <c r="D5" s="72" t="s">
        <v>218</v>
      </c>
      <c r="E5" s="72" t="s">
        <v>161</v>
      </c>
      <c r="F5" s="72" t="s">
        <v>284</v>
      </c>
      <c r="G5" s="72" t="s">
        <v>320</v>
      </c>
      <c r="H5" s="72" t="s">
        <v>113</v>
      </c>
      <c r="I5" s="73" t="n">
        <v>1</v>
      </c>
      <c r="J5" s="72" t="s">
        <v>263</v>
      </c>
      <c r="K5" s="74" t="n">
        <v>5000</v>
      </c>
      <c r="L5" s="75" t="n">
        <f aca="false">IF(OR(I5="",K5=""),"",I5*K5)</f>
        <v>5000</v>
      </c>
      <c r="M5" s="76"/>
      <c r="N5" s="77" t="n">
        <f aca="false">M5*L5</f>
        <v>0</v>
      </c>
      <c r="O5" s="75" t="n">
        <f aca="false">IF(L5="","",IF(M5="",L5,L5*(1-M5)))</f>
        <v>5000</v>
      </c>
      <c r="P5" s="72" t="s">
        <v>132</v>
      </c>
      <c r="Q5" s="72" t="s">
        <v>211</v>
      </c>
    </row>
    <row r="6" customFormat="false" ht="15.75" hidden="false" customHeight="true" outlineLevel="0" collapsed="false">
      <c r="A6" s="68" t="n">
        <v>2</v>
      </c>
      <c r="B6" s="78" t="n">
        <v>46149</v>
      </c>
      <c r="C6" s="79" t="str">
        <f aca="false">IF(B6="","",TEXT(B6,"MMM-YYYY"))</f>
        <v>May-2026</v>
      </c>
      <c r="D6" s="80" t="s">
        <v>162</v>
      </c>
      <c r="E6" s="80" t="s">
        <v>164</v>
      </c>
      <c r="F6" s="80" t="s">
        <v>276</v>
      </c>
      <c r="G6" s="80" t="s">
        <v>321</v>
      </c>
      <c r="H6" s="80" t="s">
        <v>170</v>
      </c>
      <c r="I6" s="81" t="n">
        <v>1</v>
      </c>
      <c r="J6" s="80" t="s">
        <v>263</v>
      </c>
      <c r="K6" s="82" t="n">
        <v>1500</v>
      </c>
      <c r="L6" s="83" t="n">
        <f aca="false">IF(OR(I6="",K6=""),"",I6*K6)</f>
        <v>1500</v>
      </c>
      <c r="M6" s="84"/>
      <c r="N6" s="77" t="n">
        <f aca="false">M6*L6</f>
        <v>0</v>
      </c>
      <c r="O6" s="83" t="n">
        <f aca="false">IF(L6="","",IF(M6="",L6,L6*(1-M6)))</f>
        <v>1500</v>
      </c>
      <c r="P6" s="80" t="s">
        <v>128</v>
      </c>
      <c r="Q6" s="80" t="s">
        <v>211</v>
      </c>
    </row>
    <row r="7" customFormat="false" ht="15.75" hidden="false" customHeight="true" outlineLevel="0" collapsed="false">
      <c r="A7" s="66" t="n">
        <v>3</v>
      </c>
      <c r="B7" s="70" t="n">
        <v>46153</v>
      </c>
      <c r="C7" s="71" t="str">
        <f aca="false">IF(B7="","",TEXT(B7,"MMM-YYYY"))</f>
        <v>May-2026</v>
      </c>
      <c r="D7" s="72" t="s">
        <v>218</v>
      </c>
      <c r="E7" s="72" t="s">
        <v>159</v>
      </c>
      <c r="F7" s="72" t="s">
        <v>227</v>
      </c>
      <c r="G7" s="72" t="s">
        <v>322</v>
      </c>
      <c r="H7" s="72" t="s">
        <v>109</v>
      </c>
      <c r="I7" s="73" t="n">
        <v>40</v>
      </c>
      <c r="J7" s="72" t="s">
        <v>213</v>
      </c>
      <c r="K7" s="74" t="n">
        <v>360</v>
      </c>
      <c r="L7" s="75" t="n">
        <f aca="false">IF(OR(I7="",K7=""),"",I7*K7)</f>
        <v>14400</v>
      </c>
      <c r="M7" s="84"/>
      <c r="N7" s="77" t="n">
        <f aca="false">M7*L7</f>
        <v>0</v>
      </c>
      <c r="O7" s="75" t="n">
        <f aca="false">IF(L7="","",IF(M7="",L7,L7*(1-M7)))</f>
        <v>14400</v>
      </c>
      <c r="P7" s="72" t="s">
        <v>128</v>
      </c>
      <c r="Q7" s="72" t="s">
        <v>211</v>
      </c>
    </row>
    <row r="8" customFormat="false" ht="15.75" hidden="false" customHeight="true" outlineLevel="0" collapsed="false">
      <c r="A8" s="68" t="n">
        <v>4</v>
      </c>
      <c r="B8" s="78" t="n">
        <v>46153</v>
      </c>
      <c r="C8" s="79" t="str">
        <f aca="false">IF(B8="","",TEXT(B8,"MMM-YYYY"))</f>
        <v>May-2026</v>
      </c>
      <c r="D8" s="80" t="s">
        <v>218</v>
      </c>
      <c r="E8" s="80" t="s">
        <v>160</v>
      </c>
      <c r="F8" s="80" t="s">
        <v>280</v>
      </c>
      <c r="G8" s="80" t="s">
        <v>323</v>
      </c>
      <c r="H8" s="80" t="s">
        <v>109</v>
      </c>
      <c r="I8" s="81" t="n">
        <v>100</v>
      </c>
      <c r="J8" s="80" t="s">
        <v>254</v>
      </c>
      <c r="K8" s="82" t="n">
        <v>908</v>
      </c>
      <c r="L8" s="83" t="n">
        <f aca="false">IF(OR(I8="",K8=""),"",I8*K8)</f>
        <v>90800</v>
      </c>
      <c r="M8" s="84" t="n">
        <v>0.04</v>
      </c>
      <c r="N8" s="77" t="n">
        <f aca="false">M8*L8</f>
        <v>3632</v>
      </c>
      <c r="O8" s="83" t="n">
        <f aca="false">IF(L8="","",IF(M8="",L8,L8*(1-M8)))</f>
        <v>87168</v>
      </c>
      <c r="P8" s="80" t="s">
        <v>128</v>
      </c>
      <c r="Q8" s="80" t="s">
        <v>211</v>
      </c>
    </row>
    <row r="9" customFormat="false" ht="15.75" hidden="false" customHeight="true" outlineLevel="0" collapsed="false">
      <c r="A9" s="66" t="n">
        <v>5</v>
      </c>
      <c r="B9" s="70" t="n">
        <v>46153</v>
      </c>
      <c r="C9" s="71" t="str">
        <f aca="false">IF(B9="","",TEXT(B9,"MMM-YYYY"))</f>
        <v>May-2026</v>
      </c>
      <c r="D9" s="72" t="s">
        <v>218</v>
      </c>
      <c r="E9" s="72" t="s">
        <v>160</v>
      </c>
      <c r="F9" s="72" t="s">
        <v>283</v>
      </c>
      <c r="G9" s="72" t="s">
        <v>324</v>
      </c>
      <c r="H9" s="72" t="s">
        <v>109</v>
      </c>
      <c r="I9" s="73" t="n">
        <v>100</v>
      </c>
      <c r="J9" s="72" t="s">
        <v>254</v>
      </c>
      <c r="K9" s="74" t="n">
        <v>642</v>
      </c>
      <c r="L9" s="75" t="n">
        <f aca="false">IF(OR(I9="",K9=""),"",I9*K9)</f>
        <v>64200</v>
      </c>
      <c r="M9" s="76" t="n">
        <v>0.04</v>
      </c>
      <c r="N9" s="77" t="n">
        <f aca="false">M9*L9</f>
        <v>2568</v>
      </c>
      <c r="O9" s="75" t="n">
        <f aca="false">IF(L9="","",IF(M9="",L9,L9*(1-M9)))</f>
        <v>61632</v>
      </c>
      <c r="P9" s="72" t="s">
        <v>128</v>
      </c>
      <c r="Q9" s="72" t="s">
        <v>211</v>
      </c>
    </row>
    <row r="10" customFormat="false" ht="15.75" hidden="false" customHeight="true" outlineLevel="0" collapsed="false">
      <c r="A10" s="68" t="n">
        <v>6</v>
      </c>
      <c r="B10" s="78" t="n">
        <v>46153</v>
      </c>
      <c r="C10" s="79" t="str">
        <f aca="false">IF(B10="","",TEXT(B10,"MMM-YYYY"))</f>
        <v>May-2026</v>
      </c>
      <c r="D10" s="80" t="s">
        <v>218</v>
      </c>
      <c r="E10" s="80" t="s">
        <v>160</v>
      </c>
      <c r="F10" s="80" t="s">
        <v>287</v>
      </c>
      <c r="G10" s="80" t="s">
        <v>325</v>
      </c>
      <c r="H10" s="80" t="s">
        <v>109</v>
      </c>
      <c r="I10" s="81" t="n">
        <v>50</v>
      </c>
      <c r="J10" s="80" t="s">
        <v>254</v>
      </c>
      <c r="K10" s="82" t="n">
        <v>246</v>
      </c>
      <c r="L10" s="83" t="n">
        <f aca="false">IF(OR(I10="",K10=""),"",I10*K10)</f>
        <v>12300</v>
      </c>
      <c r="M10" s="84"/>
      <c r="N10" s="77" t="n">
        <f aca="false">M10*L10</f>
        <v>0</v>
      </c>
      <c r="O10" s="83" t="n">
        <f aca="false">IF(L10="","",IF(M10="",L10,L10*(1-M10)))</f>
        <v>12300</v>
      </c>
      <c r="P10" s="80" t="s">
        <v>128</v>
      </c>
      <c r="Q10" s="80" t="s">
        <v>211</v>
      </c>
    </row>
    <row r="11" customFormat="false" ht="15.75" hidden="false" customHeight="true" outlineLevel="0" collapsed="false">
      <c r="A11" s="66" t="n">
        <v>7</v>
      </c>
      <c r="B11" s="70" t="n">
        <v>46153</v>
      </c>
      <c r="C11" s="71" t="str">
        <f aca="false">IF(B11="","",TEXT(B11,"MMM-YYYY"))</f>
        <v>May-2026</v>
      </c>
      <c r="D11" s="72" t="s">
        <v>218</v>
      </c>
      <c r="E11" s="72" t="s">
        <v>159</v>
      </c>
      <c r="F11" s="72" t="s">
        <v>226</v>
      </c>
      <c r="G11" s="72" t="s">
        <v>326</v>
      </c>
      <c r="H11" s="72" t="s">
        <v>109</v>
      </c>
      <c r="I11" s="73" t="n">
        <v>20</v>
      </c>
      <c r="J11" s="72" t="s">
        <v>245</v>
      </c>
      <c r="K11" s="74" t="n">
        <v>120</v>
      </c>
      <c r="L11" s="75" t="n">
        <f aca="false">IF(OR(I11="",K11=""),"",I11*K11)</f>
        <v>2400</v>
      </c>
      <c r="M11" s="84"/>
      <c r="N11" s="77" t="n">
        <f aca="false">M11*L11</f>
        <v>0</v>
      </c>
      <c r="O11" s="75" t="n">
        <f aca="false">IF(L11="","",IF(M11="",L11,L11*(1-M11)))</f>
        <v>2400</v>
      </c>
      <c r="P11" s="72" t="s">
        <v>128</v>
      </c>
      <c r="Q11" s="72" t="s">
        <v>211</v>
      </c>
    </row>
    <row r="12" customFormat="false" ht="15.75" hidden="false" customHeight="true" outlineLevel="0" collapsed="false">
      <c r="A12" s="68" t="n">
        <v>8</v>
      </c>
      <c r="B12" s="78" t="n">
        <v>46153</v>
      </c>
      <c r="C12" s="79" t="str">
        <f aca="false">IF(B12="","",TEXT(B12,"MMM-YYYY"))</f>
        <v>May-2026</v>
      </c>
      <c r="D12" s="80" t="s">
        <v>218</v>
      </c>
      <c r="E12" s="80" t="s">
        <v>159</v>
      </c>
      <c r="F12" s="80" t="s">
        <v>246</v>
      </c>
      <c r="G12" s="80" t="s">
        <v>327</v>
      </c>
      <c r="H12" s="80" t="s">
        <v>109</v>
      </c>
      <c r="I12" s="81" t="n">
        <v>2</v>
      </c>
      <c r="J12" s="80" t="s">
        <v>247</v>
      </c>
      <c r="K12" s="82" t="n">
        <v>1400</v>
      </c>
      <c r="L12" s="83" t="n">
        <f aca="false">IF(OR(I12="",K12=""),"",I12*K12)</f>
        <v>2800</v>
      </c>
      <c r="M12" s="84"/>
      <c r="N12" s="77" t="n">
        <f aca="false">M12*L12</f>
        <v>0</v>
      </c>
      <c r="O12" s="83" t="n">
        <f aca="false">IF(L12="","",IF(M12="",L12,L12*(1-M12)))</f>
        <v>2800</v>
      </c>
      <c r="P12" s="80" t="s">
        <v>128</v>
      </c>
      <c r="Q12" s="80" t="s">
        <v>211</v>
      </c>
    </row>
    <row r="13" customFormat="false" ht="15.75" hidden="false" customHeight="true" outlineLevel="0" collapsed="false">
      <c r="A13" s="66" t="n">
        <v>9</v>
      </c>
      <c r="B13" s="70" t="n">
        <v>46153</v>
      </c>
      <c r="C13" s="71" t="str">
        <f aca="false">IF(B13="","",TEXT(B13,"MMM-YYYY"))</f>
        <v>May-2026</v>
      </c>
      <c r="D13" s="72" t="s">
        <v>218</v>
      </c>
      <c r="E13" s="72" t="s">
        <v>166</v>
      </c>
      <c r="F13" s="72" t="s">
        <v>302</v>
      </c>
      <c r="G13" s="72" t="s">
        <v>328</v>
      </c>
      <c r="H13" s="72" t="s">
        <v>109</v>
      </c>
      <c r="I13" s="73" t="n">
        <v>1</v>
      </c>
      <c r="J13" s="72" t="s">
        <v>279</v>
      </c>
      <c r="K13" s="74" t="n">
        <v>250</v>
      </c>
      <c r="L13" s="75" t="n">
        <f aca="false">IF(OR(I13="",K13=""),"",I13*K13)</f>
        <v>250</v>
      </c>
      <c r="M13" s="84"/>
      <c r="N13" s="77" t="n">
        <f aca="false">M13*L13</f>
        <v>0</v>
      </c>
      <c r="O13" s="75" t="n">
        <f aca="false">IF(L13="","",IF(M13="",L13,L13*(1-M13)))</f>
        <v>250</v>
      </c>
      <c r="P13" s="72" t="s">
        <v>128</v>
      </c>
      <c r="Q13" s="72" t="s">
        <v>211</v>
      </c>
    </row>
    <row r="14" customFormat="false" ht="15.75" hidden="false" customHeight="true" outlineLevel="0" collapsed="false">
      <c r="A14" s="68" t="n">
        <v>10</v>
      </c>
      <c r="B14" s="78" t="n">
        <v>46153</v>
      </c>
      <c r="C14" s="79" t="str">
        <f aca="false">IF(B14="","",TEXT(B14,"MMM-YYYY"))</f>
        <v>May-2026</v>
      </c>
      <c r="D14" s="80" t="s">
        <v>218</v>
      </c>
      <c r="E14" s="80" t="s">
        <v>164</v>
      </c>
      <c r="F14" s="80" t="s">
        <v>300</v>
      </c>
      <c r="G14" s="80" t="s">
        <v>329</v>
      </c>
      <c r="H14" s="80" t="s">
        <v>109</v>
      </c>
      <c r="I14" s="81" t="n">
        <v>1</v>
      </c>
      <c r="J14" s="80" t="s">
        <v>263</v>
      </c>
      <c r="K14" s="82" t="n">
        <v>450</v>
      </c>
      <c r="L14" s="83" t="n">
        <f aca="false">IF(OR(I14="",K14=""),"",I14*K14)</f>
        <v>450</v>
      </c>
      <c r="M14" s="84"/>
      <c r="N14" s="77" t="n">
        <f aca="false">M14*L14</f>
        <v>0</v>
      </c>
      <c r="O14" s="83" t="n">
        <f aca="false">IF(L14="","",IF(M14="",L14,L14*(1-M14)))</f>
        <v>450</v>
      </c>
      <c r="P14" s="80" t="s">
        <v>128</v>
      </c>
      <c r="Q14" s="80" t="s">
        <v>211</v>
      </c>
    </row>
    <row r="15" customFormat="false" ht="15.75" hidden="false" customHeight="true" outlineLevel="0" collapsed="false">
      <c r="A15" s="66" t="n">
        <v>11</v>
      </c>
      <c r="B15" s="70" t="n">
        <v>46153</v>
      </c>
      <c r="C15" s="71" t="str">
        <f aca="false">IF(B15="","",TEXT(B15,"MMM-YYYY"))</f>
        <v>May-2026</v>
      </c>
      <c r="D15" s="72" t="s">
        <v>218</v>
      </c>
      <c r="E15" s="72" t="s">
        <v>159</v>
      </c>
      <c r="F15" s="72" t="s">
        <v>271</v>
      </c>
      <c r="G15" s="72" t="s">
        <v>330</v>
      </c>
      <c r="H15" s="72" t="s">
        <v>109</v>
      </c>
      <c r="I15" s="73" t="n">
        <v>1</v>
      </c>
      <c r="J15" s="72" t="s">
        <v>252</v>
      </c>
      <c r="K15" s="74" t="n">
        <v>2000</v>
      </c>
      <c r="L15" s="75" t="n">
        <f aca="false">IF(OR(I15="",K15=""),"",I15*K15)</f>
        <v>2000</v>
      </c>
      <c r="M15" s="76"/>
      <c r="N15" s="77" t="n">
        <f aca="false">M15*L15</f>
        <v>0</v>
      </c>
      <c r="O15" s="75" t="n">
        <f aca="false">IF(L15="","",IF(M15="",L15,L15*(1-M15)))</f>
        <v>2000</v>
      </c>
      <c r="P15" s="72" t="s">
        <v>128</v>
      </c>
      <c r="Q15" s="72" t="s">
        <v>211</v>
      </c>
    </row>
    <row r="16" customFormat="false" ht="15.75" hidden="false" customHeight="true" outlineLevel="0" collapsed="false">
      <c r="A16" s="68" t="n">
        <v>12</v>
      </c>
      <c r="B16" s="78" t="n">
        <v>46153</v>
      </c>
      <c r="C16" s="79" t="str">
        <f aca="false">IF(B16="","",TEXT(B16,"MMM-YYYY"))</f>
        <v>May-2026</v>
      </c>
      <c r="D16" s="80" t="s">
        <v>218</v>
      </c>
      <c r="E16" s="80" t="s">
        <v>159</v>
      </c>
      <c r="F16" s="80" t="s">
        <v>271</v>
      </c>
      <c r="G16" s="80" t="s">
        <v>331</v>
      </c>
      <c r="H16" s="80" t="s">
        <v>109</v>
      </c>
      <c r="I16" s="81" t="n">
        <v>1</v>
      </c>
      <c r="J16" s="80" t="s">
        <v>263</v>
      </c>
      <c r="K16" s="82" t="n">
        <v>-400</v>
      </c>
      <c r="L16" s="83" t="n">
        <f aca="false">IF(OR(I16="",K16=""),"",I16*K16)</f>
        <v>-400</v>
      </c>
      <c r="M16" s="84"/>
      <c r="N16" s="77" t="n">
        <f aca="false">M16*L16</f>
        <v>-0</v>
      </c>
      <c r="O16" s="83" t="n">
        <f aca="false">IF(L16="","",IF(M16="",L16,L16*(1-M16)))</f>
        <v>-400</v>
      </c>
      <c r="P16" s="80" t="s">
        <v>128</v>
      </c>
      <c r="Q16" s="80" t="s">
        <v>211</v>
      </c>
    </row>
    <row r="17" customFormat="false" ht="15.75" hidden="false" customHeight="true" outlineLevel="0" collapsed="false">
      <c r="A17" s="66" t="n">
        <v>13</v>
      </c>
      <c r="B17" s="70" t="n">
        <v>46154</v>
      </c>
      <c r="C17" s="71" t="str">
        <f aca="false">IF(B17="","",TEXT(B17,"MMM-YYYY"))</f>
        <v>May-2026</v>
      </c>
      <c r="D17" s="72" t="s">
        <v>162</v>
      </c>
      <c r="E17" s="72" t="s">
        <v>162</v>
      </c>
      <c r="F17" s="72" t="s">
        <v>295</v>
      </c>
      <c r="G17" s="72" t="s">
        <v>332</v>
      </c>
      <c r="H17" s="72" t="s">
        <v>119</v>
      </c>
      <c r="I17" s="73" t="n">
        <v>17.5</v>
      </c>
      <c r="J17" s="72" t="s">
        <v>333</v>
      </c>
      <c r="K17" s="74" t="n">
        <v>1000</v>
      </c>
      <c r="L17" s="75" t="n">
        <v>17500</v>
      </c>
      <c r="M17" s="76"/>
      <c r="N17" s="77" t="n">
        <f aca="false">M17*L17</f>
        <v>0</v>
      </c>
      <c r="O17" s="75" t="n">
        <f aca="false">IF(L17="","",IF(M17="",L17,L17*(1-M17)))</f>
        <v>17500</v>
      </c>
      <c r="P17" s="72" t="s">
        <v>132</v>
      </c>
      <c r="Q17" s="72" t="s">
        <v>211</v>
      </c>
    </row>
    <row r="18" customFormat="false" ht="15.75" hidden="false" customHeight="true" outlineLevel="0" collapsed="false">
      <c r="A18" s="68" t="n">
        <v>14</v>
      </c>
      <c r="B18" s="78" t="n">
        <v>46146</v>
      </c>
      <c r="C18" s="79" t="str">
        <f aca="false">IF(B18="","",TEXT(B18,"MMM-YYYY"))</f>
        <v>May-2026</v>
      </c>
      <c r="D18" s="80" t="s">
        <v>218</v>
      </c>
      <c r="E18" s="80" t="s">
        <v>159</v>
      </c>
      <c r="F18" s="80" t="s">
        <v>214</v>
      </c>
      <c r="G18" s="80" t="s">
        <v>334</v>
      </c>
      <c r="H18" s="80" t="s">
        <v>117</v>
      </c>
      <c r="I18" s="81" t="n">
        <v>920</v>
      </c>
      <c r="J18" s="80" t="s">
        <v>215</v>
      </c>
      <c r="K18" s="82" t="n">
        <v>55000</v>
      </c>
      <c r="L18" s="83" t="n">
        <v>55000</v>
      </c>
      <c r="M18" s="84"/>
      <c r="N18" s="77" t="n">
        <f aca="false">M18*L18</f>
        <v>0</v>
      </c>
      <c r="O18" s="83" t="n">
        <f aca="false">IF(L18="","",IF(M18="",L18,L18*(1-M18)))</f>
        <v>55000</v>
      </c>
      <c r="P18" s="80" t="s">
        <v>132</v>
      </c>
      <c r="Q18" s="80" t="s">
        <v>211</v>
      </c>
    </row>
    <row r="19" customFormat="false" ht="15.75" hidden="false" customHeight="true" outlineLevel="0" collapsed="false">
      <c r="A19" s="66" t="n">
        <v>15</v>
      </c>
      <c r="B19" s="70" t="n">
        <v>46154</v>
      </c>
      <c r="C19" s="71" t="str">
        <f aca="false">IF(B19="","",TEXT(B19,"MMM-YYYY"))</f>
        <v>May-2026</v>
      </c>
      <c r="D19" s="72" t="s">
        <v>218</v>
      </c>
      <c r="E19" s="72" t="s">
        <v>159</v>
      </c>
      <c r="F19" s="72" t="s">
        <v>214</v>
      </c>
      <c r="G19" s="72" t="s">
        <v>335</v>
      </c>
      <c r="H19" s="72" t="s">
        <v>117</v>
      </c>
      <c r="I19" s="73" t="n">
        <v>918</v>
      </c>
      <c r="J19" s="72" t="s">
        <v>215</v>
      </c>
      <c r="K19" s="74" t="n">
        <v>55000</v>
      </c>
      <c r="L19" s="75" t="n">
        <v>55000</v>
      </c>
      <c r="M19" s="76"/>
      <c r="N19" s="77" t="n">
        <f aca="false">M19*L19</f>
        <v>0</v>
      </c>
      <c r="O19" s="75" t="n">
        <f aca="false">IF(L19="","",IF(M19="",L19,L19*(1-M19)))</f>
        <v>55000</v>
      </c>
      <c r="P19" s="72" t="s">
        <v>132</v>
      </c>
      <c r="Q19" s="72" t="s">
        <v>211</v>
      </c>
    </row>
    <row r="20" customFormat="false" ht="15.75" hidden="false" customHeight="true" outlineLevel="0" collapsed="false">
      <c r="A20" s="68" t="n">
        <v>16</v>
      </c>
      <c r="B20" s="78" t="n">
        <v>46156</v>
      </c>
      <c r="C20" s="79" t="s">
        <v>183</v>
      </c>
      <c r="D20" s="80" t="s">
        <v>218</v>
      </c>
      <c r="E20" s="80" t="s">
        <v>159</v>
      </c>
      <c r="F20" s="80" t="s">
        <v>208</v>
      </c>
      <c r="G20" s="80" t="s">
        <v>336</v>
      </c>
      <c r="H20" s="80" t="s">
        <v>111</v>
      </c>
      <c r="I20" s="81" t="n">
        <v>1500</v>
      </c>
      <c r="J20" s="80" t="s">
        <v>267</v>
      </c>
      <c r="K20" s="82" t="n">
        <v>8.5</v>
      </c>
      <c r="L20" s="83" t="n">
        <v>12750</v>
      </c>
      <c r="M20" s="84"/>
      <c r="N20" s="84"/>
      <c r="O20" s="83" t="n">
        <f aca="false">IF(L20="","",IF(M20="",L20,L20*(1-M20)))</f>
        <v>12750</v>
      </c>
      <c r="P20" s="80" t="s">
        <v>128</v>
      </c>
      <c r="Q20" s="80" t="s">
        <v>211</v>
      </c>
    </row>
    <row r="21" customFormat="false" ht="15.75" hidden="false" customHeight="true" outlineLevel="0" collapsed="false">
      <c r="A21" s="66" t="n">
        <v>17</v>
      </c>
      <c r="B21" s="70" t="n">
        <v>46157</v>
      </c>
      <c r="C21" s="71" t="s">
        <v>183</v>
      </c>
      <c r="D21" s="72" t="s">
        <v>218</v>
      </c>
      <c r="E21" s="72" t="s">
        <v>159</v>
      </c>
      <c r="F21" s="72" t="s">
        <v>221</v>
      </c>
      <c r="G21" s="72" t="s">
        <v>337</v>
      </c>
      <c r="H21" s="72" t="s">
        <v>115</v>
      </c>
      <c r="I21" s="73" t="n">
        <v>27.5</v>
      </c>
      <c r="J21" s="72" t="s">
        <v>338</v>
      </c>
      <c r="K21" s="74" t="n">
        <v>2400</v>
      </c>
      <c r="L21" s="75" t="n">
        <v>66000</v>
      </c>
      <c r="M21" s="76"/>
      <c r="N21" s="76"/>
      <c r="O21" s="75" t="n">
        <f aca="false">IF(L21="","",IF(M21="",L21,L21*(1-M21)))</f>
        <v>66000</v>
      </c>
      <c r="P21" s="72" t="s">
        <v>132</v>
      </c>
      <c r="Q21" s="72" t="s">
        <v>211</v>
      </c>
    </row>
    <row r="22" customFormat="false" ht="15.75" hidden="false" customHeight="true" outlineLevel="0" collapsed="false">
      <c r="A22" s="68" t="n">
        <v>18</v>
      </c>
      <c r="B22" s="78" t="n">
        <v>46157</v>
      </c>
      <c r="C22" s="79" t="s">
        <v>183</v>
      </c>
      <c r="D22" s="80" t="s">
        <v>218</v>
      </c>
      <c r="E22" s="80" t="s">
        <v>161</v>
      </c>
      <c r="F22" s="80" t="s">
        <v>339</v>
      </c>
      <c r="G22" s="80" t="s">
        <v>340</v>
      </c>
      <c r="H22" s="80" t="s">
        <v>113</v>
      </c>
      <c r="I22" s="81" t="n">
        <v>1</v>
      </c>
      <c r="J22" s="80" t="s">
        <v>263</v>
      </c>
      <c r="K22" s="82" t="n">
        <v>11000</v>
      </c>
      <c r="L22" s="83" t="n">
        <v>11000</v>
      </c>
      <c r="M22" s="84"/>
      <c r="N22" s="84"/>
      <c r="O22" s="83" t="n">
        <f aca="false">IF(L22="","",IF(M22="",L22,L22*(1-M22)))</f>
        <v>11000</v>
      </c>
      <c r="P22" s="80" t="s">
        <v>132</v>
      </c>
      <c r="Q22" s="80" t="s">
        <v>211</v>
      </c>
    </row>
    <row r="23" customFormat="false" ht="15.75" hidden="false" customHeight="true" outlineLevel="0" collapsed="false">
      <c r="A23" s="66" t="n">
        <v>19</v>
      </c>
      <c r="B23" s="70" t="n">
        <v>46158</v>
      </c>
      <c r="C23" s="71" t="s">
        <v>183</v>
      </c>
      <c r="D23" s="72" t="s">
        <v>218</v>
      </c>
      <c r="E23" s="72" t="s">
        <v>161</v>
      </c>
      <c r="F23" s="72" t="s">
        <v>339</v>
      </c>
      <c r="G23" s="72" t="s">
        <v>341</v>
      </c>
      <c r="H23" s="72" t="s">
        <v>113</v>
      </c>
      <c r="I23" s="73" t="n">
        <v>1</v>
      </c>
      <c r="J23" s="72" t="s">
        <v>263</v>
      </c>
      <c r="K23" s="74" t="n">
        <v>50000</v>
      </c>
      <c r="L23" s="75" t="n">
        <v>50000</v>
      </c>
      <c r="M23" s="76"/>
      <c r="N23" s="76"/>
      <c r="O23" s="75" t="n">
        <f aca="false">IF(L23="","",IF(M23="",L23,L23*(1-M23)))</f>
        <v>50000</v>
      </c>
      <c r="P23" s="72" t="s">
        <v>128</v>
      </c>
      <c r="Q23" s="72" t="s">
        <v>211</v>
      </c>
    </row>
    <row r="24" customFormat="false" ht="15.75" hidden="false" customHeight="true" outlineLevel="0" collapsed="false">
      <c r="A24" s="68" t="n">
        <v>20</v>
      </c>
      <c r="B24" s="78" t="n">
        <v>46157</v>
      </c>
      <c r="C24" s="79" t="s">
        <v>183</v>
      </c>
      <c r="D24" s="80" t="s">
        <v>218</v>
      </c>
      <c r="E24" s="80" t="s">
        <v>159</v>
      </c>
      <c r="F24" s="80" t="s">
        <v>208</v>
      </c>
      <c r="G24" s="80" t="s">
        <v>342</v>
      </c>
      <c r="H24" s="80" t="s">
        <v>111</v>
      </c>
      <c r="I24" s="81" t="n">
        <v>1500</v>
      </c>
      <c r="J24" s="80" t="s">
        <v>267</v>
      </c>
      <c r="K24" s="82" t="n">
        <v>8.5</v>
      </c>
      <c r="L24" s="83" t="n">
        <v>12750</v>
      </c>
      <c r="M24" s="84"/>
      <c r="N24" s="84"/>
      <c r="O24" s="83" t="n">
        <f aca="false">IF(L24="","",IF(M24="",L24,L24*(1-M24)))</f>
        <v>12750</v>
      </c>
      <c r="P24" s="80" t="s">
        <v>128</v>
      </c>
      <c r="Q24" s="80" t="s">
        <v>211</v>
      </c>
    </row>
    <row r="25" customFormat="false" ht="15.75" hidden="false" customHeight="true" outlineLevel="0" collapsed="false">
      <c r="A25" s="66" t="n">
        <v>21</v>
      </c>
      <c r="B25" s="70" t="n">
        <v>46157</v>
      </c>
      <c r="C25" s="71" t="s">
        <v>183</v>
      </c>
      <c r="D25" s="72" t="s">
        <v>218</v>
      </c>
      <c r="E25" s="72" t="s">
        <v>159</v>
      </c>
      <c r="F25" s="72" t="s">
        <v>208</v>
      </c>
      <c r="G25" s="72" t="s">
        <v>343</v>
      </c>
      <c r="H25" s="72" t="s">
        <v>111</v>
      </c>
      <c r="I25" s="73" t="n">
        <v>1500</v>
      </c>
      <c r="J25" s="72" t="s">
        <v>267</v>
      </c>
      <c r="K25" s="74" t="n">
        <v>8.5</v>
      </c>
      <c r="L25" s="75" t="n">
        <v>12750</v>
      </c>
      <c r="M25" s="76"/>
      <c r="N25" s="76"/>
      <c r="O25" s="75" t="n">
        <f aca="false">IF(L25="","",IF(M25="",L25,L25*(1-M25)))</f>
        <v>12750</v>
      </c>
      <c r="P25" s="72" t="s">
        <v>128</v>
      </c>
      <c r="Q25" s="72" t="s">
        <v>211</v>
      </c>
    </row>
    <row r="26" customFormat="false" ht="15.75" hidden="false" customHeight="true" outlineLevel="0" collapsed="false">
      <c r="A26" s="68" t="n">
        <v>22</v>
      </c>
      <c r="B26" s="78" t="n">
        <v>46157</v>
      </c>
      <c r="C26" s="79" t="s">
        <v>183</v>
      </c>
      <c r="D26" s="80" t="s">
        <v>218</v>
      </c>
      <c r="E26" s="80" t="s">
        <v>159</v>
      </c>
      <c r="F26" s="80" t="s">
        <v>208</v>
      </c>
      <c r="G26" s="80" t="s">
        <v>344</v>
      </c>
      <c r="H26" s="80" t="s">
        <v>111</v>
      </c>
      <c r="I26" s="81" t="n">
        <v>1500</v>
      </c>
      <c r="J26" s="80" t="s">
        <v>267</v>
      </c>
      <c r="K26" s="82" t="n">
        <v>8.5</v>
      </c>
      <c r="L26" s="83" t="n">
        <v>12750</v>
      </c>
      <c r="M26" s="84"/>
      <c r="N26" s="84"/>
      <c r="O26" s="83" t="n">
        <f aca="false">IF(L26="","",IF(M26="",L26,L26*(1-M26)))</f>
        <v>12750</v>
      </c>
      <c r="P26" s="80" t="s">
        <v>128</v>
      </c>
      <c r="Q26" s="80" t="s">
        <v>211</v>
      </c>
    </row>
    <row r="27" customFormat="false" ht="15.75" hidden="false" customHeight="true" outlineLevel="0" collapsed="false">
      <c r="A27" s="66" t="n">
        <v>23</v>
      </c>
      <c r="B27" s="70" t="n">
        <v>46157</v>
      </c>
      <c r="C27" s="71" t="s">
        <v>183</v>
      </c>
      <c r="D27" s="72" t="s">
        <v>218</v>
      </c>
      <c r="E27" s="72" t="s">
        <v>159</v>
      </c>
      <c r="F27" s="72" t="s">
        <v>208</v>
      </c>
      <c r="G27" s="72" t="s">
        <v>345</v>
      </c>
      <c r="H27" s="72" t="s">
        <v>111</v>
      </c>
      <c r="I27" s="73" t="n">
        <v>1500</v>
      </c>
      <c r="J27" s="72" t="s">
        <v>267</v>
      </c>
      <c r="K27" s="74" t="n">
        <v>8.5</v>
      </c>
      <c r="L27" s="75" t="n">
        <v>12750</v>
      </c>
      <c r="M27" s="76"/>
      <c r="N27" s="76"/>
      <c r="O27" s="75" t="n">
        <f aca="false">IF(L27="","",IF(M27="",L27,L27*(1-M27)))</f>
        <v>12750</v>
      </c>
      <c r="P27" s="72" t="s">
        <v>128</v>
      </c>
      <c r="Q27" s="72" t="s">
        <v>211</v>
      </c>
    </row>
    <row r="28" customFormat="false" ht="15.75" hidden="false" customHeight="true" outlineLevel="0" collapsed="false">
      <c r="A28" s="68" t="n">
        <v>24</v>
      </c>
      <c r="B28" s="78" t="n">
        <v>46158</v>
      </c>
      <c r="C28" s="79" t="s">
        <v>183</v>
      </c>
      <c r="D28" s="80" t="s">
        <v>218</v>
      </c>
      <c r="E28" s="80" t="s">
        <v>168</v>
      </c>
      <c r="F28" s="80" t="s">
        <v>264</v>
      </c>
      <c r="G28" s="80" t="s">
        <v>346</v>
      </c>
      <c r="H28" s="80" t="s">
        <v>169</v>
      </c>
      <c r="I28" s="81" t="n">
        <v>1</v>
      </c>
      <c r="J28" s="80" t="s">
        <v>263</v>
      </c>
      <c r="K28" s="82" t="n">
        <v>600</v>
      </c>
      <c r="L28" s="83" t="n">
        <v>600</v>
      </c>
      <c r="M28" s="84"/>
      <c r="N28" s="84"/>
      <c r="O28" s="83" t="n">
        <f aca="false">IF(L28="","",IF(M28="",L28,L28*(1-M28)))</f>
        <v>600</v>
      </c>
      <c r="P28" s="80" t="s">
        <v>132</v>
      </c>
      <c r="Q28" s="80" t="s">
        <v>211</v>
      </c>
    </row>
    <row r="29" customFormat="false" ht="15.75" hidden="false" customHeight="true" outlineLevel="0" collapsed="false">
      <c r="A29" s="66" t="n">
        <v>25</v>
      </c>
      <c r="B29" s="70" t="n">
        <v>46158</v>
      </c>
      <c r="C29" s="71" t="s">
        <v>183</v>
      </c>
      <c r="D29" s="72" t="s">
        <v>218</v>
      </c>
      <c r="E29" s="72" t="s">
        <v>168</v>
      </c>
      <c r="F29" s="72" t="s">
        <v>347</v>
      </c>
      <c r="G29" s="72" t="s">
        <v>348</v>
      </c>
      <c r="H29" s="72" t="s">
        <v>169</v>
      </c>
      <c r="I29" s="73" t="n">
        <v>1</v>
      </c>
      <c r="J29" s="72" t="s">
        <v>263</v>
      </c>
      <c r="K29" s="74" t="n">
        <v>1175</v>
      </c>
      <c r="L29" s="75" t="n">
        <v>1175</v>
      </c>
      <c r="M29" s="76"/>
      <c r="N29" s="76"/>
      <c r="O29" s="75" t="n">
        <f aca="false">IF(L29="","",IF(M29="",L29,L29*(1-M29)))</f>
        <v>1175</v>
      </c>
      <c r="P29" s="72" t="s">
        <v>132</v>
      </c>
      <c r="Q29" s="72" t="s">
        <v>211</v>
      </c>
    </row>
    <row r="30" customFormat="false" ht="15.75" hidden="false" customHeight="true" outlineLevel="0" collapsed="false">
      <c r="A30" s="68" t="n">
        <v>26</v>
      </c>
      <c r="B30" s="78" t="n">
        <v>46158</v>
      </c>
      <c r="C30" s="79" t="s">
        <v>183</v>
      </c>
      <c r="D30" s="80" t="s">
        <v>218</v>
      </c>
      <c r="E30" s="80" t="s">
        <v>167</v>
      </c>
      <c r="F30" s="80" t="s">
        <v>349</v>
      </c>
      <c r="G30" s="80" t="s">
        <v>350</v>
      </c>
      <c r="H30" s="80" t="s">
        <v>169</v>
      </c>
      <c r="I30" s="81" t="n">
        <v>1</v>
      </c>
      <c r="J30" s="80" t="s">
        <v>263</v>
      </c>
      <c r="K30" s="82" t="n">
        <v>3285</v>
      </c>
      <c r="L30" s="83" t="n">
        <v>3285</v>
      </c>
      <c r="M30" s="84"/>
      <c r="N30" s="84"/>
      <c r="O30" s="83" t="n">
        <f aca="false">IF(L30="","",IF(M30="",L30,L30*(1-M30)))</f>
        <v>3285</v>
      </c>
      <c r="P30" s="80" t="s">
        <v>132</v>
      </c>
      <c r="Q30" s="80" t="s">
        <v>211</v>
      </c>
    </row>
    <row r="31" customFormat="false" ht="15.75" hidden="false" customHeight="true" outlineLevel="0" collapsed="false">
      <c r="A31" s="66" t="n">
        <v>27</v>
      </c>
      <c r="B31" s="70" t="n">
        <v>46161</v>
      </c>
      <c r="C31" s="71" t="s">
        <v>183</v>
      </c>
      <c r="D31" s="72" t="s">
        <v>218</v>
      </c>
      <c r="E31" s="72" t="s">
        <v>159</v>
      </c>
      <c r="F31" s="72" t="s">
        <v>226</v>
      </c>
      <c r="G31" s="72" t="s">
        <v>351</v>
      </c>
      <c r="H31" s="72" t="s">
        <v>109</v>
      </c>
      <c r="I31" s="73" t="n">
        <v>1</v>
      </c>
      <c r="J31" s="72" t="s">
        <v>263</v>
      </c>
      <c r="K31" s="74" t="n">
        <v>1300</v>
      </c>
      <c r="L31" s="75" t="n">
        <v>1300</v>
      </c>
      <c r="M31" s="76"/>
      <c r="N31" s="76"/>
      <c r="O31" s="75" t="n">
        <f aca="false">IF(L31="","",IF(M31="",L31,L31*(1-M31)))</f>
        <v>1300</v>
      </c>
      <c r="P31" s="72" t="s">
        <v>128</v>
      </c>
      <c r="Q31" s="72" t="s">
        <v>211</v>
      </c>
    </row>
    <row r="32" customFormat="false" ht="15.75" hidden="false" customHeight="true" outlineLevel="0" collapsed="false">
      <c r="A32" s="68" t="n">
        <v>28</v>
      </c>
      <c r="B32" s="78" t="n">
        <v>46161</v>
      </c>
      <c r="C32" s="79" t="s">
        <v>183</v>
      </c>
      <c r="D32" s="80" t="s">
        <v>218</v>
      </c>
      <c r="E32" s="80" t="s">
        <v>159</v>
      </c>
      <c r="F32" s="80" t="s">
        <v>258</v>
      </c>
      <c r="G32" s="80" t="s">
        <v>352</v>
      </c>
      <c r="H32" s="80" t="s">
        <v>109</v>
      </c>
      <c r="I32" s="81" t="n">
        <v>6</v>
      </c>
      <c r="J32" s="80" t="s">
        <v>267</v>
      </c>
      <c r="K32" s="82" t="n">
        <v>350</v>
      </c>
      <c r="L32" s="83" t="n">
        <v>2100</v>
      </c>
      <c r="M32" s="84"/>
      <c r="N32" s="84"/>
      <c r="O32" s="83" t="n">
        <f aca="false">IF(L32="","",IF(M32="",L32,L32*(1-M32)))</f>
        <v>2100</v>
      </c>
      <c r="P32" s="80" t="s">
        <v>128</v>
      </c>
      <c r="Q32" s="80" t="s">
        <v>211</v>
      </c>
    </row>
    <row r="33" customFormat="false" ht="15.75" hidden="false" customHeight="true" outlineLevel="0" collapsed="false">
      <c r="A33" s="66" t="n">
        <v>29</v>
      </c>
      <c r="B33" s="70" t="n">
        <v>46161</v>
      </c>
      <c r="C33" s="71" t="s">
        <v>183</v>
      </c>
      <c r="D33" s="72" t="s">
        <v>218</v>
      </c>
      <c r="E33" s="72" t="s">
        <v>164</v>
      </c>
      <c r="F33" s="72" t="s">
        <v>353</v>
      </c>
      <c r="G33" s="72" t="s">
        <v>354</v>
      </c>
      <c r="H33" s="72" t="s">
        <v>109</v>
      </c>
      <c r="I33" s="73" t="n">
        <v>1</v>
      </c>
      <c r="J33" s="72" t="s">
        <v>263</v>
      </c>
      <c r="K33" s="74" t="n">
        <v>100</v>
      </c>
      <c r="L33" s="75" t="n">
        <v>100</v>
      </c>
      <c r="M33" s="76"/>
      <c r="N33" s="76"/>
      <c r="O33" s="75" t="n">
        <f aca="false">IF(L33="","",IF(M33="",L33,L33*(1-M33)))</f>
        <v>100</v>
      </c>
      <c r="P33" s="72" t="s">
        <v>128</v>
      </c>
      <c r="Q33" s="72" t="s">
        <v>211</v>
      </c>
    </row>
    <row r="34" customFormat="false" ht="15.75" hidden="false" customHeight="true" outlineLevel="0" collapsed="false">
      <c r="A34" s="68" t="n">
        <v>30</v>
      </c>
      <c r="B34" s="78" t="n">
        <v>46163</v>
      </c>
      <c r="C34" s="79" t="s">
        <v>183</v>
      </c>
      <c r="D34" s="80" t="s">
        <v>218</v>
      </c>
      <c r="E34" s="80" t="s">
        <v>159</v>
      </c>
      <c r="F34" s="80" t="s">
        <v>227</v>
      </c>
      <c r="G34" s="80" t="s">
        <v>355</v>
      </c>
      <c r="H34" s="80" t="s">
        <v>109</v>
      </c>
      <c r="I34" s="81" t="n">
        <v>60</v>
      </c>
      <c r="J34" s="80" t="s">
        <v>213</v>
      </c>
      <c r="K34" s="82" t="n">
        <v>360</v>
      </c>
      <c r="L34" s="83" t="n">
        <v>21600</v>
      </c>
      <c r="M34" s="84"/>
      <c r="N34" s="84"/>
      <c r="O34" s="83" t="n">
        <f aca="false">IF(L34="","",IF(M34="",L34,L34*(1-M34)))</f>
        <v>21600</v>
      </c>
      <c r="P34" s="80" t="s">
        <v>128</v>
      </c>
      <c r="Q34" s="80" t="s">
        <v>211</v>
      </c>
    </row>
    <row r="35" customFormat="false" ht="15.75" hidden="false" customHeight="true" outlineLevel="0" collapsed="false">
      <c r="A35" s="66" t="n">
        <v>31</v>
      </c>
      <c r="B35" s="70" t="n">
        <v>46163</v>
      </c>
      <c r="C35" s="71" t="s">
        <v>183</v>
      </c>
      <c r="D35" s="72" t="s">
        <v>218</v>
      </c>
      <c r="E35" s="72" t="s">
        <v>166</v>
      </c>
      <c r="F35" s="72" t="s">
        <v>356</v>
      </c>
      <c r="G35" s="72" t="s">
        <v>357</v>
      </c>
      <c r="H35" s="72" t="s">
        <v>109</v>
      </c>
      <c r="I35" s="73" t="n">
        <v>1</v>
      </c>
      <c r="J35" s="72" t="s">
        <v>263</v>
      </c>
      <c r="K35" s="74" t="n">
        <v>250</v>
      </c>
      <c r="L35" s="75" t="n">
        <v>250</v>
      </c>
      <c r="M35" s="76"/>
      <c r="N35" s="76"/>
      <c r="O35" s="75" t="n">
        <f aca="false">IF(L35="","",IF(M35="",L35,L35*(1-M35)))</f>
        <v>250</v>
      </c>
      <c r="P35" s="72" t="s">
        <v>128</v>
      </c>
      <c r="Q35" s="72" t="s">
        <v>211</v>
      </c>
    </row>
    <row r="36" customFormat="false" ht="15.75" hidden="false" customHeight="true" outlineLevel="0" collapsed="false">
      <c r="A36" s="68" t="n">
        <v>32</v>
      </c>
      <c r="B36" s="78" t="n">
        <v>46163</v>
      </c>
      <c r="C36" s="79" t="s">
        <v>183</v>
      </c>
      <c r="D36" s="80" t="s">
        <v>218</v>
      </c>
      <c r="E36" s="80" t="s">
        <v>164</v>
      </c>
      <c r="F36" s="80" t="s">
        <v>353</v>
      </c>
      <c r="G36" s="80" t="s">
        <v>358</v>
      </c>
      <c r="H36" s="80" t="s">
        <v>109</v>
      </c>
      <c r="I36" s="81" t="n">
        <v>1</v>
      </c>
      <c r="J36" s="80" t="s">
        <v>263</v>
      </c>
      <c r="K36" s="82" t="n">
        <v>250</v>
      </c>
      <c r="L36" s="83" t="n">
        <v>250</v>
      </c>
      <c r="M36" s="84"/>
      <c r="N36" s="84"/>
      <c r="O36" s="83" t="n">
        <f aca="false">IF(L36="","",IF(M36="",L36,L36*(1-M36)))</f>
        <v>250</v>
      </c>
      <c r="P36" s="80" t="s">
        <v>128</v>
      </c>
      <c r="Q36" s="80" t="s">
        <v>211</v>
      </c>
    </row>
    <row r="37" customFormat="false" ht="15.75" hidden="false" customHeight="true" outlineLevel="0" collapsed="false">
      <c r="A37" s="66" t="n">
        <v>33</v>
      </c>
      <c r="B37" s="70" t="n">
        <v>46163</v>
      </c>
      <c r="C37" s="71" t="s">
        <v>183</v>
      </c>
      <c r="D37" s="72" t="s">
        <v>218</v>
      </c>
      <c r="E37" s="72" t="s">
        <v>168</v>
      </c>
      <c r="F37" s="72" t="s">
        <v>359</v>
      </c>
      <c r="G37" s="72" t="s">
        <v>360</v>
      </c>
      <c r="H37" s="72" t="s">
        <v>109</v>
      </c>
      <c r="I37" s="73" t="n">
        <v>1</v>
      </c>
      <c r="J37" s="72" t="s">
        <v>267</v>
      </c>
      <c r="K37" s="74" t="n">
        <v>2700</v>
      </c>
      <c r="L37" s="75" t="n">
        <v>2700</v>
      </c>
      <c r="M37" s="76"/>
      <c r="N37" s="76"/>
      <c r="O37" s="75" t="n">
        <f aca="false">IF(L37="","",IF(M37="",L37,L37*(1-M37)))</f>
        <v>2700</v>
      </c>
      <c r="P37" s="72" t="s">
        <v>128</v>
      </c>
      <c r="Q37" s="72" t="s">
        <v>211</v>
      </c>
    </row>
    <row r="38" customFormat="false" ht="15.75" hidden="false" customHeight="true" outlineLevel="0" collapsed="false">
      <c r="A38" s="68" t="n">
        <v>34</v>
      </c>
      <c r="B38" s="78" t="n">
        <v>46164</v>
      </c>
      <c r="C38" s="79" t="s">
        <v>183</v>
      </c>
      <c r="D38" s="80" t="s">
        <v>218</v>
      </c>
      <c r="E38" s="80" t="s">
        <v>161</v>
      </c>
      <c r="F38" s="80" t="s">
        <v>339</v>
      </c>
      <c r="G38" s="80" t="s">
        <v>361</v>
      </c>
      <c r="H38" s="80" t="s">
        <v>113</v>
      </c>
      <c r="I38" s="81" t="n">
        <v>1</v>
      </c>
      <c r="J38" s="80" t="s">
        <v>263</v>
      </c>
      <c r="K38" s="82" t="n">
        <v>50000</v>
      </c>
      <c r="L38" s="83" t="n">
        <v>50000</v>
      </c>
      <c r="M38" s="84"/>
      <c r="N38" s="84"/>
      <c r="O38" s="83" t="n">
        <f aca="false">IF(L38="","",IF(M38="",L38,L38*(1-M38)))</f>
        <v>50000</v>
      </c>
      <c r="P38" s="80" t="s">
        <v>130</v>
      </c>
      <c r="Q38" s="80" t="s">
        <v>229</v>
      </c>
    </row>
    <row r="39" customFormat="false" ht="15.75" hidden="false" customHeight="true" outlineLevel="0" collapsed="false">
      <c r="A39" s="66" t="n">
        <v>35</v>
      </c>
      <c r="B39" s="70" t="n">
        <v>46162</v>
      </c>
      <c r="C39" s="71" t="s">
        <v>183</v>
      </c>
      <c r="D39" s="72" t="s">
        <v>225</v>
      </c>
      <c r="E39" s="72" t="s">
        <v>159</v>
      </c>
      <c r="F39" s="72" t="s">
        <v>208</v>
      </c>
      <c r="G39" s="72" t="s">
        <v>362</v>
      </c>
      <c r="H39" s="72" t="s">
        <v>111</v>
      </c>
      <c r="I39" s="73" t="n">
        <v>1500</v>
      </c>
      <c r="J39" s="72" t="s">
        <v>267</v>
      </c>
      <c r="K39" s="74" t="n">
        <v>8.5</v>
      </c>
      <c r="L39" s="75" t="n">
        <v>12750</v>
      </c>
      <c r="M39" s="76"/>
      <c r="N39" s="76"/>
      <c r="O39" s="75" t="n">
        <f aca="false">IF(L39="","",IF(M39="",L39,L39*(1-M39)))</f>
        <v>12750</v>
      </c>
      <c r="P39" s="72" t="s">
        <v>128</v>
      </c>
      <c r="Q39" s="72" t="s">
        <v>211</v>
      </c>
    </row>
    <row r="40" customFormat="false" ht="15.75" hidden="false" customHeight="true" outlineLevel="0" collapsed="false">
      <c r="A40" s="68" t="n">
        <v>36</v>
      </c>
      <c r="B40" s="78" t="n">
        <v>46162</v>
      </c>
      <c r="C40" s="79" t="s">
        <v>183</v>
      </c>
      <c r="D40" s="80" t="s">
        <v>225</v>
      </c>
      <c r="E40" s="80" t="s">
        <v>159</v>
      </c>
      <c r="F40" s="80" t="s">
        <v>208</v>
      </c>
      <c r="G40" s="80" t="s">
        <v>363</v>
      </c>
      <c r="H40" s="80" t="s">
        <v>111</v>
      </c>
      <c r="I40" s="81" t="n">
        <v>1500</v>
      </c>
      <c r="J40" s="80" t="s">
        <v>267</v>
      </c>
      <c r="K40" s="82" t="n">
        <v>8.5</v>
      </c>
      <c r="L40" s="83" t="n">
        <v>12750</v>
      </c>
      <c r="M40" s="84"/>
      <c r="N40" s="84"/>
      <c r="O40" s="83" t="n">
        <f aca="false">IF(L40="","",IF(M40="",L40,L40*(1-M40)))</f>
        <v>12750</v>
      </c>
      <c r="P40" s="80" t="s">
        <v>128</v>
      </c>
      <c r="Q40" s="80" t="s">
        <v>211</v>
      </c>
    </row>
    <row r="41" customFormat="false" ht="15.75" hidden="false" customHeight="true" outlineLevel="0" collapsed="false">
      <c r="A41" s="66" t="n">
        <v>37</v>
      </c>
      <c r="B41" s="70" t="n">
        <v>46165</v>
      </c>
      <c r="C41" s="71" t="s">
        <v>183</v>
      </c>
      <c r="D41" s="72" t="s">
        <v>225</v>
      </c>
      <c r="E41" s="72" t="s">
        <v>159</v>
      </c>
      <c r="F41" s="72" t="s">
        <v>208</v>
      </c>
      <c r="G41" s="72" t="s">
        <v>364</v>
      </c>
      <c r="H41" s="72" t="s">
        <v>111</v>
      </c>
      <c r="I41" s="73" t="n">
        <v>1500</v>
      </c>
      <c r="J41" s="72" t="s">
        <v>267</v>
      </c>
      <c r="K41" s="74" t="n">
        <v>8.5</v>
      </c>
      <c r="L41" s="75" t="n">
        <v>12750</v>
      </c>
      <c r="M41" s="76"/>
      <c r="N41" s="76"/>
      <c r="O41" s="75" t="n">
        <f aca="false">IF(L41="","",IF(M41="",L41,L41*(1-M41)))</f>
        <v>12750</v>
      </c>
      <c r="P41" s="72" t="s">
        <v>128</v>
      </c>
      <c r="Q41" s="72" t="s">
        <v>211</v>
      </c>
    </row>
    <row r="42" customFormat="false" ht="15.75" hidden="false" customHeight="true" outlineLevel="0" collapsed="false">
      <c r="A42" s="68" t="n">
        <v>38</v>
      </c>
      <c r="B42" s="78" t="n">
        <v>46165</v>
      </c>
      <c r="C42" s="79" t="s">
        <v>183</v>
      </c>
      <c r="D42" s="80" t="s">
        <v>225</v>
      </c>
      <c r="E42" s="80" t="s">
        <v>159</v>
      </c>
      <c r="F42" s="80" t="s">
        <v>221</v>
      </c>
      <c r="G42" s="80" t="s">
        <v>365</v>
      </c>
      <c r="H42" s="80" t="s">
        <v>115</v>
      </c>
      <c r="I42" s="81" t="n">
        <v>37.64</v>
      </c>
      <c r="J42" s="80" t="s">
        <v>338</v>
      </c>
      <c r="K42" s="82" t="n">
        <v>2550</v>
      </c>
      <c r="L42" s="83" t="n">
        <v>95982</v>
      </c>
      <c r="M42" s="84"/>
      <c r="N42" s="84"/>
      <c r="O42" s="83" t="n">
        <f aca="false">IF(L42="","",IF(M42="",L42,L42*(1-M42)))</f>
        <v>95982</v>
      </c>
      <c r="P42" s="80" t="s">
        <v>128</v>
      </c>
      <c r="Q42" s="80" t="s">
        <v>211</v>
      </c>
    </row>
    <row r="43" customFormat="false" ht="15.75" hidden="false" customHeight="true" outlineLevel="0" collapsed="false">
      <c r="A43" s="66" t="n">
        <v>39</v>
      </c>
      <c r="B43" s="70" t="n">
        <v>46166</v>
      </c>
      <c r="C43" s="71" t="s">
        <v>183</v>
      </c>
      <c r="D43" s="72" t="s">
        <v>225</v>
      </c>
      <c r="E43" s="72" t="s">
        <v>162</v>
      </c>
      <c r="F43" s="72" t="s">
        <v>295</v>
      </c>
      <c r="G43" s="72" t="s">
        <v>366</v>
      </c>
      <c r="H43" s="72" t="s">
        <v>119</v>
      </c>
      <c r="I43" s="73" t="n">
        <v>19</v>
      </c>
      <c r="J43" s="72" t="s">
        <v>267</v>
      </c>
      <c r="K43" s="74" t="n">
        <v>600</v>
      </c>
      <c r="L43" s="75" t="n">
        <v>11400</v>
      </c>
      <c r="M43" s="76"/>
      <c r="N43" s="76"/>
      <c r="O43" s="75" t="n">
        <f aca="false">IF(L43="","",IF(M43="",L43,L43*(1-M43)))</f>
        <v>11400</v>
      </c>
      <c r="P43" s="72" t="s">
        <v>132</v>
      </c>
      <c r="Q43" s="72" t="s">
        <v>211</v>
      </c>
    </row>
    <row r="44" customFormat="false" ht="15.75" hidden="false" customHeight="true" outlineLevel="0" collapsed="false">
      <c r="A44" s="68" t="n">
        <v>40</v>
      </c>
      <c r="B44" s="78" t="n">
        <v>46167</v>
      </c>
      <c r="C44" s="79" t="s">
        <v>183</v>
      </c>
      <c r="D44" s="80" t="s">
        <v>225</v>
      </c>
      <c r="E44" s="80" t="s">
        <v>159</v>
      </c>
      <c r="F44" s="80" t="s">
        <v>227</v>
      </c>
      <c r="G44" s="80" t="s">
        <v>367</v>
      </c>
      <c r="H44" s="80" t="s">
        <v>121</v>
      </c>
      <c r="I44" s="81" t="n">
        <v>50</v>
      </c>
      <c r="J44" s="80" t="s">
        <v>213</v>
      </c>
      <c r="K44" s="82" t="n">
        <v>360</v>
      </c>
      <c r="L44" s="83" t="n">
        <v>18000</v>
      </c>
      <c r="M44" s="84"/>
      <c r="N44" s="84"/>
      <c r="O44" s="83" t="n">
        <f aca="false">IF(L44="","",IF(M44="",L44,L44*(1-M44)))</f>
        <v>18000</v>
      </c>
      <c r="P44" s="80" t="s">
        <v>130</v>
      </c>
      <c r="Q44" s="80" t="s">
        <v>229</v>
      </c>
    </row>
    <row r="45" customFormat="false" ht="15.75" hidden="false" customHeight="true" outlineLevel="0" collapsed="false">
      <c r="A45" s="66" t="n">
        <v>41</v>
      </c>
      <c r="B45" s="70" t="n">
        <v>46167</v>
      </c>
      <c r="C45" s="71" t="s">
        <v>183</v>
      </c>
      <c r="D45" s="72" t="s">
        <v>225</v>
      </c>
      <c r="E45" s="72" t="s">
        <v>166</v>
      </c>
      <c r="F45" s="72" t="s">
        <v>356</v>
      </c>
      <c r="G45" s="72" t="s">
        <v>357</v>
      </c>
      <c r="H45" s="72" t="s">
        <v>121</v>
      </c>
      <c r="I45" s="73" t="n">
        <v>1</v>
      </c>
      <c r="J45" s="72" t="s">
        <v>263</v>
      </c>
      <c r="K45" s="74" t="n">
        <v>300</v>
      </c>
      <c r="L45" s="75" t="n">
        <v>300</v>
      </c>
      <c r="M45" s="76"/>
      <c r="N45" s="76"/>
      <c r="O45" s="75" t="n">
        <f aca="false">IF(L45="","",IF(M45="",L45,L45*(1-M45)))</f>
        <v>300</v>
      </c>
      <c r="P45" s="72" t="s">
        <v>130</v>
      </c>
      <c r="Q45" s="72" t="s">
        <v>229</v>
      </c>
    </row>
    <row r="46" customFormat="false" ht="15.75" hidden="false" customHeight="true" outlineLevel="0" collapsed="false">
      <c r="A46" s="68" t="n">
        <v>42</v>
      </c>
      <c r="B46" s="78" t="n">
        <v>46167</v>
      </c>
      <c r="C46" s="79" t="s">
        <v>183</v>
      </c>
      <c r="D46" s="80" t="s">
        <v>225</v>
      </c>
      <c r="E46" s="80" t="s">
        <v>164</v>
      </c>
      <c r="F46" s="80" t="s">
        <v>353</v>
      </c>
      <c r="G46" s="80" t="s">
        <v>368</v>
      </c>
      <c r="H46" s="80" t="s">
        <v>121</v>
      </c>
      <c r="I46" s="81" t="n">
        <v>1</v>
      </c>
      <c r="J46" s="80" t="s">
        <v>263</v>
      </c>
      <c r="K46" s="82" t="n">
        <v>350</v>
      </c>
      <c r="L46" s="83" t="n">
        <v>350</v>
      </c>
      <c r="M46" s="84"/>
      <c r="N46" s="84"/>
      <c r="O46" s="83" t="n">
        <f aca="false">IF(L46="","",IF(M46="",L46,L46*(1-M46)))</f>
        <v>350</v>
      </c>
      <c r="P46" s="80" t="s">
        <v>130</v>
      </c>
      <c r="Q46" s="80" t="s">
        <v>229</v>
      </c>
    </row>
    <row r="47" customFormat="false" ht="15.75" hidden="false" customHeight="true" outlineLevel="0" collapsed="false">
      <c r="A47" s="66" t="n">
        <v>43</v>
      </c>
      <c r="B47" s="70" t="n">
        <v>46166</v>
      </c>
      <c r="C47" s="71" t="s">
        <v>183</v>
      </c>
      <c r="D47" s="72" t="s">
        <v>225</v>
      </c>
      <c r="E47" s="72" t="s">
        <v>159</v>
      </c>
      <c r="F47" s="72" t="s">
        <v>208</v>
      </c>
      <c r="G47" s="72" t="s">
        <v>369</v>
      </c>
      <c r="H47" s="72" t="s">
        <v>111</v>
      </c>
      <c r="I47" s="73" t="n">
        <v>1500</v>
      </c>
      <c r="J47" s="72" t="s">
        <v>267</v>
      </c>
      <c r="K47" s="74" t="n">
        <v>8.5</v>
      </c>
      <c r="L47" s="75" t="n">
        <v>12750</v>
      </c>
      <c r="M47" s="76"/>
      <c r="N47" s="76"/>
      <c r="O47" s="75" t="n">
        <f aca="false">IF(L47="","",IF(M47="",L47,L47*(1-M47)))</f>
        <v>12750</v>
      </c>
      <c r="P47" s="72" t="s">
        <v>128</v>
      </c>
      <c r="Q47" s="72" t="s">
        <v>211</v>
      </c>
    </row>
    <row r="48" customFormat="false" ht="15.75" hidden="false" customHeight="true" outlineLevel="0" collapsed="false">
      <c r="A48" s="66" t="n">
        <v>44</v>
      </c>
      <c r="B48" s="70" t="n">
        <v>46167</v>
      </c>
      <c r="C48" s="71" t="s">
        <v>183</v>
      </c>
      <c r="D48" s="72" t="s">
        <v>225</v>
      </c>
      <c r="E48" s="72" t="s">
        <v>161</v>
      </c>
      <c r="F48" s="72" t="s">
        <v>339</v>
      </c>
      <c r="G48" s="72" t="s">
        <v>370</v>
      </c>
      <c r="H48" s="72" t="s">
        <v>113</v>
      </c>
      <c r="I48" s="73" t="n">
        <v>1</v>
      </c>
      <c r="J48" s="72" t="s">
        <v>263</v>
      </c>
      <c r="K48" s="74" t="n">
        <v>10000</v>
      </c>
      <c r="L48" s="75" t="n">
        <v>10000</v>
      </c>
      <c r="M48" s="76"/>
      <c r="N48" s="76" t="n">
        <f aca="false">IF(L48="","",IF(M48="",0,L48*M48))</f>
        <v>0</v>
      </c>
      <c r="O48" s="75" t="n">
        <f aca="false">IF(L48="","",IF(M48="",L48,L48*(1-M48)))</f>
        <v>10000</v>
      </c>
      <c r="P48" s="72" t="s">
        <v>132</v>
      </c>
      <c r="Q48" s="72" t="s">
        <v>211</v>
      </c>
    </row>
    <row r="49" customFormat="false" ht="15.75" hidden="false" customHeight="true" outlineLevel="0" collapsed="false">
      <c r="A49" s="68" t="n">
        <v>45</v>
      </c>
      <c r="B49" s="78" t="n">
        <v>46167</v>
      </c>
      <c r="C49" s="79" t="s">
        <v>183</v>
      </c>
      <c r="D49" s="80" t="s">
        <v>225</v>
      </c>
      <c r="E49" s="80" t="s">
        <v>159</v>
      </c>
      <c r="F49" s="80" t="s">
        <v>208</v>
      </c>
      <c r="G49" s="80" t="s">
        <v>371</v>
      </c>
      <c r="H49" s="80" t="s">
        <v>111</v>
      </c>
      <c r="I49" s="81" t="n">
        <v>1500</v>
      </c>
      <c r="J49" s="80" t="s">
        <v>267</v>
      </c>
      <c r="K49" s="82" t="n">
        <v>8.5</v>
      </c>
      <c r="L49" s="83" t="n">
        <v>12750</v>
      </c>
      <c r="M49" s="84"/>
      <c r="N49" s="84" t="n">
        <f aca="false">IF(L49="","",IF(M49="",0,L49*M49))</f>
        <v>0</v>
      </c>
      <c r="O49" s="83" t="n">
        <f aca="false">IF(L49="","",IF(M49="",L49,L49*(1-M49)))</f>
        <v>12750</v>
      </c>
      <c r="P49" s="80" t="s">
        <v>128</v>
      </c>
      <c r="Q49" s="80" t="s">
        <v>211</v>
      </c>
    </row>
    <row r="50" customFormat="false" ht="15.75" hidden="false" customHeight="true" outlineLevel="0" collapsed="false">
      <c r="A50" s="66" t="n">
        <v>46</v>
      </c>
      <c r="B50" s="70" t="n">
        <v>46168</v>
      </c>
      <c r="C50" s="71" t="s">
        <v>183</v>
      </c>
      <c r="D50" s="72" t="s">
        <v>225</v>
      </c>
      <c r="E50" s="72" t="s">
        <v>159</v>
      </c>
      <c r="F50" s="72" t="s">
        <v>208</v>
      </c>
      <c r="G50" s="72" t="s">
        <v>372</v>
      </c>
      <c r="H50" s="72" t="s">
        <v>111</v>
      </c>
      <c r="I50" s="73" t="n">
        <v>1500</v>
      </c>
      <c r="J50" s="72" t="s">
        <v>267</v>
      </c>
      <c r="K50" s="74" t="n">
        <v>8.5</v>
      </c>
      <c r="L50" s="75" t="n">
        <v>12750</v>
      </c>
      <c r="M50" s="76"/>
      <c r="N50" s="76" t="n">
        <f aca="false">IF(L50="","",IF(M50="",0,L50*M50))</f>
        <v>0</v>
      </c>
      <c r="O50" s="75" t="n">
        <f aca="false">IF(L50="","",IF(M50="",L50,L50*(1-M50)))</f>
        <v>12750</v>
      </c>
      <c r="P50" s="72" t="s">
        <v>128</v>
      </c>
      <c r="Q50" s="72" t="s">
        <v>211</v>
      </c>
    </row>
    <row r="51" customFormat="false" ht="15.75" hidden="false" customHeight="true" outlineLevel="0" collapsed="false">
      <c r="A51" s="68" t="n">
        <v>47</v>
      </c>
      <c r="B51" s="78" t="n">
        <v>46168</v>
      </c>
      <c r="C51" s="79" t="s">
        <v>183</v>
      </c>
      <c r="D51" s="80" t="s">
        <v>225</v>
      </c>
      <c r="E51" s="80" t="s">
        <v>159</v>
      </c>
      <c r="F51" s="80" t="s">
        <v>208</v>
      </c>
      <c r="G51" s="80" t="s">
        <v>373</v>
      </c>
      <c r="H51" s="80" t="s">
        <v>111</v>
      </c>
      <c r="I51" s="81" t="n">
        <v>1500</v>
      </c>
      <c r="J51" s="80" t="s">
        <v>267</v>
      </c>
      <c r="K51" s="82" t="n">
        <v>8.5</v>
      </c>
      <c r="L51" s="83" t="n">
        <v>12750</v>
      </c>
      <c r="M51" s="84"/>
      <c r="N51" s="84" t="n">
        <f aca="false">IF(L51="","",IF(M51="",0,L51*M51))</f>
        <v>0</v>
      </c>
      <c r="O51" s="83" t="n">
        <f aca="false">IF(L51="","",IF(M51="",L51,L51*(1-M51)))</f>
        <v>12750</v>
      </c>
      <c r="P51" s="80" t="s">
        <v>128</v>
      </c>
      <c r="Q51" s="80" t="s">
        <v>211</v>
      </c>
    </row>
    <row r="52" customFormat="false" ht="15.75" hidden="false" customHeight="true" outlineLevel="0" collapsed="false">
      <c r="A52" s="66" t="n">
        <v>48</v>
      </c>
      <c r="B52" s="70" t="n">
        <v>46168</v>
      </c>
      <c r="C52" s="71" t="s">
        <v>183</v>
      </c>
      <c r="D52" s="72" t="s">
        <v>225</v>
      </c>
      <c r="E52" s="72" t="s">
        <v>162</v>
      </c>
      <c r="F52" s="72" t="s">
        <v>295</v>
      </c>
      <c r="G52" s="72" t="s">
        <v>374</v>
      </c>
      <c r="H52" s="72" t="s">
        <v>119</v>
      </c>
      <c r="I52" s="73" t="n">
        <v>22</v>
      </c>
      <c r="J52" s="72" t="s">
        <v>267</v>
      </c>
      <c r="K52" s="74" t="n">
        <v>600</v>
      </c>
      <c r="L52" s="75" t="n">
        <v>13200</v>
      </c>
      <c r="M52" s="76"/>
      <c r="N52" s="76" t="n">
        <f aca="false">IF(L52="","",IF(M52="",0,L52*M52))</f>
        <v>0</v>
      </c>
      <c r="O52" s="75" t="n">
        <f aca="false">IF(L52="","",IF(M52="",L52,L52*(1-M52)))</f>
        <v>13200</v>
      </c>
      <c r="P52" s="72" t="s">
        <v>132</v>
      </c>
      <c r="Q52" s="72" t="s">
        <v>211</v>
      </c>
    </row>
    <row r="53" customFormat="false" ht="15.75" hidden="false" customHeight="true" outlineLevel="0" collapsed="false">
      <c r="A53" s="68" t="n">
        <v>49</v>
      </c>
      <c r="B53" s="78" t="n">
        <v>46174</v>
      </c>
      <c r="C53" s="79" t="s">
        <v>184</v>
      </c>
      <c r="D53" s="80" t="s">
        <v>225</v>
      </c>
      <c r="E53" s="80" t="s">
        <v>160</v>
      </c>
      <c r="F53" s="80" t="s">
        <v>280</v>
      </c>
      <c r="G53" s="80" t="s">
        <v>375</v>
      </c>
      <c r="H53" s="80" t="s">
        <v>109</v>
      </c>
      <c r="I53" s="81" t="n">
        <v>100</v>
      </c>
      <c r="J53" s="80" t="s">
        <v>254</v>
      </c>
      <c r="K53" s="82" t="n">
        <v>908</v>
      </c>
      <c r="L53" s="83" t="n">
        <v>90800</v>
      </c>
      <c r="M53" s="84" t="n">
        <v>0.04</v>
      </c>
      <c r="N53" s="84" t="n">
        <f aca="false">IF(L53="","",IF(M53="",0,L53*M53))</f>
        <v>3632</v>
      </c>
      <c r="O53" s="83" t="n">
        <f aca="false">IF(L53="","",IF(M53="",L53,L53*(1-M53)))</f>
        <v>87168</v>
      </c>
      <c r="P53" s="80" t="s">
        <v>130</v>
      </c>
      <c r="Q53" s="80" t="s">
        <v>229</v>
      </c>
    </row>
    <row r="54" customFormat="false" ht="15.75" hidden="false" customHeight="true" outlineLevel="0" collapsed="false">
      <c r="A54" s="66" t="n">
        <v>50</v>
      </c>
      <c r="B54" s="70" t="n">
        <v>46174</v>
      </c>
      <c r="C54" s="71" t="s">
        <v>184</v>
      </c>
      <c r="D54" s="72" t="s">
        <v>225</v>
      </c>
      <c r="E54" s="72" t="s">
        <v>160</v>
      </c>
      <c r="F54" s="72" t="s">
        <v>283</v>
      </c>
      <c r="G54" s="72" t="s">
        <v>376</v>
      </c>
      <c r="H54" s="72" t="s">
        <v>109</v>
      </c>
      <c r="I54" s="73" t="n">
        <v>100</v>
      </c>
      <c r="J54" s="72" t="s">
        <v>254</v>
      </c>
      <c r="K54" s="74" t="n">
        <v>642</v>
      </c>
      <c r="L54" s="75" t="n">
        <v>64200</v>
      </c>
      <c r="M54" s="76" t="n">
        <v>0.04</v>
      </c>
      <c r="N54" s="76" t="n">
        <f aca="false">IF(L54="","",IF(M54="",0,L54*M54))</f>
        <v>2568</v>
      </c>
      <c r="O54" s="75" t="n">
        <f aca="false">IF(L54="","",IF(M54="",L54,L54*(1-M54)))</f>
        <v>61632</v>
      </c>
      <c r="P54" s="72" t="s">
        <v>130</v>
      </c>
      <c r="Q54" s="72" t="s">
        <v>229</v>
      </c>
    </row>
    <row r="55" customFormat="false" ht="15.75" hidden="false" customHeight="true" outlineLevel="0" collapsed="false">
      <c r="A55" s="68" t="n">
        <v>51</v>
      </c>
      <c r="B55" s="78" t="n">
        <v>46174</v>
      </c>
      <c r="C55" s="79" t="s">
        <v>184</v>
      </c>
      <c r="D55" s="80" t="s">
        <v>225</v>
      </c>
      <c r="E55" s="80" t="s">
        <v>160</v>
      </c>
      <c r="F55" s="80" t="s">
        <v>285</v>
      </c>
      <c r="G55" s="80" t="s">
        <v>377</v>
      </c>
      <c r="H55" s="80" t="s">
        <v>109</v>
      </c>
      <c r="I55" s="81" t="n">
        <v>50</v>
      </c>
      <c r="J55" s="80" t="s">
        <v>254</v>
      </c>
      <c r="K55" s="82" t="n">
        <v>420</v>
      </c>
      <c r="L55" s="83" t="n">
        <v>21000</v>
      </c>
      <c r="M55" s="84" t="n">
        <v>0.04</v>
      </c>
      <c r="N55" s="84" t="n">
        <f aca="false">IF(L55="","",IF(M55="",0,L55*M55))</f>
        <v>840</v>
      </c>
      <c r="O55" s="83" t="n">
        <f aca="false">IF(L55="","",IF(M55="",L55,L55*(1-M55)))</f>
        <v>20160</v>
      </c>
      <c r="P55" s="80" t="s">
        <v>130</v>
      </c>
      <c r="Q55" s="80" t="s">
        <v>229</v>
      </c>
    </row>
    <row r="56" customFormat="false" ht="15.75" hidden="false" customHeight="true" outlineLevel="0" collapsed="false">
      <c r="A56" s="66" t="n">
        <v>52</v>
      </c>
      <c r="B56" s="70" t="n">
        <v>46174</v>
      </c>
      <c r="C56" s="71" t="s">
        <v>184</v>
      </c>
      <c r="D56" s="72" t="s">
        <v>225</v>
      </c>
      <c r="E56" s="72" t="s">
        <v>160</v>
      </c>
      <c r="F56" s="72" t="s">
        <v>287</v>
      </c>
      <c r="G56" s="72" t="s">
        <v>378</v>
      </c>
      <c r="H56" s="72" t="s">
        <v>109</v>
      </c>
      <c r="I56" s="73" t="n">
        <v>50</v>
      </c>
      <c r="J56" s="72" t="s">
        <v>254</v>
      </c>
      <c r="K56" s="74" t="n">
        <v>246</v>
      </c>
      <c r="L56" s="75" t="n">
        <v>12300</v>
      </c>
      <c r="M56" s="76"/>
      <c r="N56" s="76" t="n">
        <f aca="false">IF(L56="","",IF(M56="",0,L56*M56))</f>
        <v>0</v>
      </c>
      <c r="O56" s="75" t="n">
        <f aca="false">IF(L56="","",IF(M56="",L56,L56*(1-M56)))</f>
        <v>12300</v>
      </c>
      <c r="P56" s="72" t="s">
        <v>130</v>
      </c>
      <c r="Q56" s="72" t="s">
        <v>229</v>
      </c>
    </row>
    <row r="57" customFormat="false" ht="15.75" hidden="false" customHeight="true" outlineLevel="0" collapsed="false">
      <c r="A57" s="68" t="n">
        <v>53</v>
      </c>
      <c r="B57" s="78" t="n">
        <v>46174</v>
      </c>
      <c r="C57" s="79" t="s">
        <v>184</v>
      </c>
      <c r="D57" s="80" t="s">
        <v>225</v>
      </c>
      <c r="E57" s="80" t="s">
        <v>159</v>
      </c>
      <c r="F57" s="80" t="s">
        <v>227</v>
      </c>
      <c r="G57" s="80" t="s">
        <v>379</v>
      </c>
      <c r="H57" s="80" t="s">
        <v>109</v>
      </c>
      <c r="I57" s="81" t="n">
        <v>50</v>
      </c>
      <c r="J57" s="80" t="s">
        <v>213</v>
      </c>
      <c r="K57" s="82" t="n">
        <v>360</v>
      </c>
      <c r="L57" s="83" t="n">
        <v>18000</v>
      </c>
      <c r="M57" s="84"/>
      <c r="N57" s="84" t="n">
        <f aca="false">IF(L57="","",IF(M57="",0,L57*M57))</f>
        <v>0</v>
      </c>
      <c r="O57" s="83" t="n">
        <f aca="false">IF(L57="","",IF(M57="",L57,L57*(1-M57)))</f>
        <v>18000</v>
      </c>
      <c r="P57" s="80" t="s">
        <v>130</v>
      </c>
      <c r="Q57" s="80" t="s">
        <v>229</v>
      </c>
    </row>
    <row r="58" customFormat="false" ht="15.75" hidden="false" customHeight="true" outlineLevel="0" collapsed="false">
      <c r="A58" s="66" t="n">
        <v>54</v>
      </c>
      <c r="B58" s="70" t="n">
        <v>46174</v>
      </c>
      <c r="C58" s="71" t="s">
        <v>184</v>
      </c>
      <c r="D58" s="72" t="s">
        <v>225</v>
      </c>
      <c r="E58" s="72" t="s">
        <v>159</v>
      </c>
      <c r="F58" s="72" t="s">
        <v>246</v>
      </c>
      <c r="G58" s="72" t="s">
        <v>380</v>
      </c>
      <c r="H58" s="72" t="s">
        <v>109</v>
      </c>
      <c r="I58" s="73" t="n">
        <v>20</v>
      </c>
      <c r="J58" s="72" t="s">
        <v>381</v>
      </c>
      <c r="K58" s="74" t="n">
        <v>130</v>
      </c>
      <c r="L58" s="75" t="n">
        <v>2600</v>
      </c>
      <c r="M58" s="76"/>
      <c r="N58" s="76" t="n">
        <f aca="false">IF(L58="","",IF(M58="",0,L58*M58))</f>
        <v>0</v>
      </c>
      <c r="O58" s="75" t="n">
        <f aca="false">IF(L58="","",IF(M58="",L58,L58*(1-M58)))</f>
        <v>2600</v>
      </c>
      <c r="P58" s="72" t="s">
        <v>130</v>
      </c>
      <c r="Q58" s="72" t="s">
        <v>229</v>
      </c>
    </row>
    <row r="59" customFormat="false" ht="15.75" hidden="false" customHeight="true" outlineLevel="0" collapsed="false">
      <c r="A59" s="68" t="n">
        <v>55</v>
      </c>
      <c r="B59" s="78" t="n">
        <v>46174</v>
      </c>
      <c r="C59" s="79" t="s">
        <v>184</v>
      </c>
      <c r="D59" s="80" t="s">
        <v>225</v>
      </c>
      <c r="E59" s="80" t="s">
        <v>166</v>
      </c>
      <c r="F59" s="80" t="s">
        <v>356</v>
      </c>
      <c r="G59" s="80" t="s">
        <v>382</v>
      </c>
      <c r="H59" s="80" t="s">
        <v>109</v>
      </c>
      <c r="I59" s="81" t="n">
        <v>1</v>
      </c>
      <c r="J59" s="80" t="s">
        <v>263</v>
      </c>
      <c r="K59" s="82" t="n">
        <v>500</v>
      </c>
      <c r="L59" s="83" t="n">
        <v>500</v>
      </c>
      <c r="M59" s="84"/>
      <c r="N59" s="84" t="n">
        <f aca="false">IF(L59="","",IF(M59="",0,L59*M59))</f>
        <v>0</v>
      </c>
      <c r="O59" s="83" t="n">
        <f aca="false">IF(L59="","",IF(M59="",L59,L59*(1-M59)))</f>
        <v>500</v>
      </c>
      <c r="P59" s="80" t="s">
        <v>130</v>
      </c>
      <c r="Q59" s="80" t="s">
        <v>229</v>
      </c>
    </row>
    <row r="60" customFormat="false" ht="15.75" hidden="false" customHeight="true" outlineLevel="0" collapsed="false">
      <c r="A60" s="66" t="n">
        <v>56</v>
      </c>
      <c r="B60" s="70" t="n">
        <v>46174</v>
      </c>
      <c r="C60" s="71" t="s">
        <v>184</v>
      </c>
      <c r="D60" s="72" t="s">
        <v>225</v>
      </c>
      <c r="E60" s="72" t="s">
        <v>164</v>
      </c>
      <c r="F60" s="72" t="s">
        <v>353</v>
      </c>
      <c r="G60" s="72" t="s">
        <v>383</v>
      </c>
      <c r="H60" s="72" t="s">
        <v>109</v>
      </c>
      <c r="I60" s="73" t="n">
        <v>1</v>
      </c>
      <c r="J60" s="72" t="s">
        <v>263</v>
      </c>
      <c r="K60" s="74" t="n">
        <v>470</v>
      </c>
      <c r="L60" s="75" t="n">
        <v>470</v>
      </c>
      <c r="M60" s="76"/>
      <c r="N60" s="76" t="n">
        <f aca="false">IF(L60="","",IF(M60="",0,L60*M60))</f>
        <v>0</v>
      </c>
      <c r="O60" s="75" t="n">
        <f aca="false">IF(L60="","",IF(M60="",L60,L60*(1-M60)))</f>
        <v>470</v>
      </c>
      <c r="P60" s="72" t="s">
        <v>130</v>
      </c>
      <c r="Q60" s="72" t="s">
        <v>229</v>
      </c>
    </row>
    <row r="61" customFormat="false" ht="15.75" hidden="false" customHeight="true" outlineLevel="0" collapsed="false">
      <c r="A61" s="68" t="n">
        <v>57</v>
      </c>
      <c r="B61" s="78" t="n">
        <v>46174</v>
      </c>
      <c r="C61" s="79" t="s">
        <v>184</v>
      </c>
      <c r="D61" s="80" t="s">
        <v>225</v>
      </c>
      <c r="E61" s="80" t="s">
        <v>164</v>
      </c>
      <c r="F61" s="80" t="s">
        <v>384</v>
      </c>
      <c r="G61" s="80" t="s">
        <v>385</v>
      </c>
      <c r="H61" s="80" t="s">
        <v>123</v>
      </c>
      <c r="I61" s="81" t="n">
        <v>66</v>
      </c>
      <c r="J61" s="80" t="s">
        <v>267</v>
      </c>
      <c r="K61" s="82" t="n">
        <v>350</v>
      </c>
      <c r="L61" s="83" t="n">
        <v>23100</v>
      </c>
      <c r="M61" s="84"/>
      <c r="N61" s="84" t="n">
        <f aca="false">IF(L61="","",IF(M61="",0,L61*M61))</f>
        <v>0</v>
      </c>
      <c r="O61" s="83" t="n">
        <f aca="false">IF(L61="","",IF(M61="",L61,L61*(1-M61)))</f>
        <v>23100</v>
      </c>
      <c r="P61" s="80" t="s">
        <v>132</v>
      </c>
      <c r="Q61" s="80" t="s">
        <v>211</v>
      </c>
    </row>
    <row r="62" customFormat="false" ht="15.75" hidden="false" customHeight="true" outlineLevel="0" collapsed="false">
      <c r="A62" s="66" t="n">
        <v>58</v>
      </c>
      <c r="B62" s="70" t="n">
        <v>46174</v>
      </c>
      <c r="C62" s="71" t="s">
        <v>184</v>
      </c>
      <c r="D62" s="72" t="s">
        <v>225</v>
      </c>
      <c r="E62" s="72" t="s">
        <v>161</v>
      </c>
      <c r="F62" s="72" t="s">
        <v>339</v>
      </c>
      <c r="G62" s="72" t="s">
        <v>370</v>
      </c>
      <c r="H62" s="72" t="s">
        <v>113</v>
      </c>
      <c r="I62" s="73" t="n">
        <v>1</v>
      </c>
      <c r="J62" s="72" t="s">
        <v>263</v>
      </c>
      <c r="K62" s="74" t="n">
        <v>100000</v>
      </c>
      <c r="L62" s="75" t="n">
        <v>100000</v>
      </c>
      <c r="M62" s="76"/>
      <c r="N62" s="76" t="n">
        <f aca="false">IF(L62="","",IF(M62="",0,L62*M62))</f>
        <v>0</v>
      </c>
      <c r="O62" s="75" t="n">
        <f aca="false">IF(L62="","",IF(M62="",L62,L62*(1-M62)))</f>
        <v>100000</v>
      </c>
      <c r="P62" s="72" t="s">
        <v>128</v>
      </c>
      <c r="Q62" s="72" t="s">
        <v>211</v>
      </c>
    </row>
    <row r="63" customFormat="false" ht="15.75" hidden="false" customHeight="true" outlineLevel="0" collapsed="false">
      <c r="A63" s="68" t="n">
        <v>60</v>
      </c>
      <c r="B63" s="78"/>
      <c r="C63" s="79"/>
      <c r="D63" s="80"/>
      <c r="E63" s="80"/>
      <c r="F63" s="80"/>
      <c r="G63" s="80"/>
      <c r="H63" s="80"/>
      <c r="I63" s="81"/>
      <c r="J63" s="80"/>
      <c r="K63" s="82"/>
      <c r="L63" s="83"/>
      <c r="M63" s="84"/>
      <c r="N63" s="84"/>
      <c r="O63" s="83"/>
      <c r="P63" s="80"/>
      <c r="Q63" s="80"/>
    </row>
    <row r="64" customFormat="false" ht="15.75" hidden="false" customHeight="true" outlineLevel="0" collapsed="false">
      <c r="A64" s="66" t="n">
        <v>61</v>
      </c>
      <c r="B64" s="70"/>
      <c r="C64" s="71"/>
      <c r="D64" s="72"/>
      <c r="E64" s="72"/>
      <c r="F64" s="72"/>
      <c r="G64" s="72"/>
      <c r="H64" s="72"/>
      <c r="I64" s="73"/>
      <c r="J64" s="72"/>
      <c r="K64" s="74"/>
      <c r="L64" s="75"/>
      <c r="M64" s="76"/>
      <c r="N64" s="76"/>
      <c r="O64" s="75"/>
      <c r="P64" s="72"/>
      <c r="Q64" s="72"/>
    </row>
    <row r="65" customFormat="false" ht="15.75" hidden="false" customHeight="true" outlineLevel="0" collapsed="false">
      <c r="A65" s="68" t="n">
        <v>62</v>
      </c>
      <c r="B65" s="78"/>
      <c r="C65" s="79"/>
      <c r="D65" s="80"/>
      <c r="E65" s="80"/>
      <c r="F65" s="80"/>
      <c r="G65" s="80"/>
      <c r="H65" s="80"/>
      <c r="I65" s="81"/>
      <c r="J65" s="80"/>
      <c r="K65" s="82"/>
      <c r="L65" s="83"/>
      <c r="M65" s="84"/>
      <c r="N65" s="84"/>
      <c r="O65" s="83"/>
      <c r="P65" s="80"/>
      <c r="Q65" s="80"/>
    </row>
    <row r="66" customFormat="false" ht="15.75" hidden="false" customHeight="true" outlineLevel="0" collapsed="false">
      <c r="A66" s="66" t="n">
        <v>63</v>
      </c>
      <c r="B66" s="70"/>
      <c r="C66" s="71"/>
      <c r="D66" s="72"/>
      <c r="E66" s="72"/>
      <c r="F66" s="72"/>
      <c r="G66" s="72"/>
      <c r="H66" s="72"/>
      <c r="I66" s="73"/>
      <c r="J66" s="72"/>
      <c r="K66" s="74"/>
      <c r="L66" s="75"/>
      <c r="M66" s="76"/>
      <c r="N66" s="76"/>
      <c r="O66" s="75"/>
      <c r="P66" s="72"/>
      <c r="Q66" s="72"/>
    </row>
    <row r="67" customFormat="false" ht="15.75" hidden="false" customHeight="true" outlineLevel="0" collapsed="false">
      <c r="A67" s="68" t="n">
        <v>64</v>
      </c>
      <c r="B67" s="78"/>
      <c r="C67" s="79"/>
      <c r="D67" s="80"/>
      <c r="E67" s="80"/>
      <c r="F67" s="80"/>
      <c r="G67" s="80"/>
      <c r="H67" s="80"/>
      <c r="I67" s="81"/>
      <c r="J67" s="80"/>
      <c r="K67" s="82"/>
      <c r="L67" s="83"/>
      <c r="M67" s="84"/>
      <c r="N67" s="84"/>
      <c r="O67" s="83"/>
      <c r="P67" s="80"/>
      <c r="Q67" s="80"/>
    </row>
    <row r="68" customFormat="false" ht="15.75" hidden="false" customHeight="true" outlineLevel="0" collapsed="false">
      <c r="A68" s="66" t="n">
        <v>65</v>
      </c>
      <c r="B68" s="70"/>
      <c r="C68" s="71"/>
      <c r="D68" s="72"/>
      <c r="E68" s="72"/>
      <c r="F68" s="72"/>
      <c r="G68" s="72"/>
      <c r="H68" s="72"/>
      <c r="I68" s="73"/>
      <c r="J68" s="72"/>
      <c r="K68" s="74"/>
      <c r="L68" s="75"/>
      <c r="M68" s="76"/>
      <c r="N68" s="76"/>
      <c r="O68" s="75"/>
      <c r="P68" s="72"/>
      <c r="Q68" s="72"/>
    </row>
    <row r="69" customFormat="false" ht="15.75" hidden="false" customHeight="true" outlineLevel="0" collapsed="false">
      <c r="A69" s="68" t="n">
        <v>66</v>
      </c>
      <c r="B69" s="78"/>
      <c r="C69" s="79"/>
      <c r="D69" s="80"/>
      <c r="E69" s="80"/>
      <c r="F69" s="80"/>
      <c r="G69" s="80"/>
      <c r="H69" s="80"/>
      <c r="I69" s="81"/>
      <c r="J69" s="80"/>
      <c r="K69" s="82"/>
      <c r="L69" s="83"/>
      <c r="M69" s="84"/>
      <c r="N69" s="84"/>
      <c r="O69" s="83"/>
      <c r="P69" s="80"/>
      <c r="Q69" s="80"/>
    </row>
    <row r="70" customFormat="false" ht="15.75" hidden="false" customHeight="true" outlineLevel="0" collapsed="false">
      <c r="A70" s="66" t="n">
        <v>67</v>
      </c>
      <c r="B70" s="70"/>
      <c r="C70" s="71"/>
      <c r="D70" s="72"/>
      <c r="E70" s="72"/>
      <c r="F70" s="72"/>
      <c r="G70" s="72"/>
      <c r="H70" s="72"/>
      <c r="I70" s="73"/>
      <c r="J70" s="72"/>
      <c r="K70" s="74"/>
      <c r="L70" s="75"/>
      <c r="M70" s="76"/>
      <c r="N70" s="76"/>
      <c r="O70" s="75"/>
      <c r="P70" s="72"/>
      <c r="Q70" s="72"/>
    </row>
    <row r="71" customFormat="false" ht="15.75" hidden="false" customHeight="true" outlineLevel="0" collapsed="false">
      <c r="A71" s="68" t="n">
        <v>68</v>
      </c>
      <c r="B71" s="78"/>
      <c r="C71" s="79"/>
      <c r="D71" s="80"/>
      <c r="E71" s="80"/>
      <c r="F71" s="80"/>
      <c r="G71" s="80"/>
      <c r="H71" s="80"/>
      <c r="I71" s="81"/>
      <c r="J71" s="80"/>
      <c r="K71" s="82"/>
      <c r="L71" s="83"/>
      <c r="M71" s="84"/>
      <c r="N71" s="84"/>
      <c r="O71" s="83"/>
      <c r="P71" s="80"/>
      <c r="Q71" s="80"/>
    </row>
    <row r="72" customFormat="false" ht="15.75" hidden="false" customHeight="true" outlineLevel="0" collapsed="false">
      <c r="A72" s="66" t="n">
        <v>69</v>
      </c>
      <c r="B72" s="70"/>
      <c r="C72" s="71"/>
      <c r="D72" s="72"/>
      <c r="E72" s="72"/>
      <c r="F72" s="72"/>
      <c r="G72" s="72"/>
      <c r="H72" s="72"/>
      <c r="I72" s="73"/>
      <c r="J72" s="72"/>
      <c r="K72" s="74"/>
      <c r="L72" s="75"/>
      <c r="M72" s="76"/>
      <c r="N72" s="76"/>
      <c r="O72" s="75"/>
      <c r="P72" s="72"/>
      <c r="Q72" s="72"/>
    </row>
    <row r="73" customFormat="false" ht="15.75" hidden="false" customHeight="true" outlineLevel="0" collapsed="false">
      <c r="A73" s="68" t="n">
        <v>70</v>
      </c>
      <c r="B73" s="78"/>
      <c r="C73" s="79"/>
      <c r="D73" s="80"/>
      <c r="E73" s="80"/>
      <c r="F73" s="80"/>
      <c r="G73" s="80"/>
      <c r="H73" s="80"/>
      <c r="I73" s="81"/>
      <c r="J73" s="80"/>
      <c r="K73" s="82"/>
      <c r="L73" s="83"/>
      <c r="M73" s="84"/>
      <c r="N73" s="84"/>
      <c r="O73" s="83"/>
      <c r="P73" s="80"/>
      <c r="Q73" s="80"/>
    </row>
    <row r="74" customFormat="false" ht="15.75" hidden="false" customHeight="true" outlineLevel="0" collapsed="false">
      <c r="A74" s="66" t="n">
        <v>71</v>
      </c>
      <c r="B74" s="70"/>
      <c r="C74" s="71"/>
      <c r="D74" s="72"/>
      <c r="E74" s="72"/>
      <c r="F74" s="72"/>
      <c r="G74" s="72"/>
      <c r="H74" s="72"/>
      <c r="I74" s="73"/>
      <c r="J74" s="72"/>
      <c r="K74" s="74"/>
      <c r="L74" s="75"/>
      <c r="M74" s="76"/>
      <c r="N74" s="76"/>
      <c r="O74" s="75"/>
      <c r="P74" s="72"/>
      <c r="Q74" s="72"/>
    </row>
    <row r="75" customFormat="false" ht="15.75" hidden="false" customHeight="true" outlineLevel="0" collapsed="false">
      <c r="A75" s="68" t="n">
        <v>72</v>
      </c>
      <c r="B75" s="78"/>
      <c r="C75" s="79"/>
      <c r="D75" s="80"/>
      <c r="E75" s="80"/>
      <c r="F75" s="80"/>
      <c r="G75" s="80"/>
      <c r="H75" s="80"/>
      <c r="I75" s="81"/>
      <c r="J75" s="80"/>
      <c r="K75" s="82"/>
      <c r="L75" s="83"/>
      <c r="M75" s="84"/>
      <c r="N75" s="84"/>
      <c r="O75" s="83"/>
      <c r="P75" s="80"/>
      <c r="Q75" s="80"/>
    </row>
    <row r="76" customFormat="false" ht="15.75" hidden="false" customHeight="true" outlineLevel="0" collapsed="false">
      <c r="A76" s="66" t="n">
        <v>73</v>
      </c>
      <c r="B76" s="70"/>
      <c r="C76" s="71"/>
      <c r="D76" s="72"/>
      <c r="E76" s="72"/>
      <c r="F76" s="72"/>
      <c r="G76" s="72"/>
      <c r="H76" s="72"/>
      <c r="I76" s="73"/>
      <c r="J76" s="72"/>
      <c r="K76" s="74"/>
      <c r="L76" s="75"/>
      <c r="M76" s="76"/>
      <c r="N76" s="76"/>
      <c r="O76" s="75"/>
      <c r="P76" s="72"/>
      <c r="Q76" s="72"/>
    </row>
    <row r="77" customFormat="false" ht="15.75" hidden="false" customHeight="true" outlineLevel="0" collapsed="false">
      <c r="A77" s="68" t="n">
        <v>74</v>
      </c>
      <c r="B77" s="78"/>
      <c r="C77" s="79"/>
      <c r="D77" s="80"/>
      <c r="E77" s="80"/>
      <c r="F77" s="80"/>
      <c r="G77" s="80"/>
      <c r="H77" s="80"/>
      <c r="I77" s="81"/>
      <c r="J77" s="80"/>
      <c r="K77" s="82"/>
      <c r="L77" s="83"/>
      <c r="M77" s="84"/>
      <c r="N77" s="84"/>
      <c r="O77" s="83"/>
      <c r="P77" s="80"/>
      <c r="Q77" s="80"/>
    </row>
    <row r="78" customFormat="false" ht="15.75" hidden="false" customHeight="true" outlineLevel="0" collapsed="false">
      <c r="A78" s="66" t="n">
        <v>75</v>
      </c>
      <c r="B78" s="70"/>
      <c r="C78" s="71"/>
      <c r="D78" s="72"/>
      <c r="E78" s="72"/>
      <c r="F78" s="72"/>
      <c r="G78" s="72"/>
      <c r="H78" s="72"/>
      <c r="I78" s="73"/>
      <c r="J78" s="72"/>
      <c r="K78" s="74"/>
      <c r="L78" s="75"/>
      <c r="M78" s="76"/>
      <c r="N78" s="76"/>
      <c r="O78" s="75"/>
      <c r="P78" s="72"/>
      <c r="Q78" s="72"/>
    </row>
    <row r="79" customFormat="false" ht="15.75" hidden="false" customHeight="true" outlineLevel="0" collapsed="false">
      <c r="A79" s="68" t="n">
        <v>76</v>
      </c>
      <c r="B79" s="78"/>
      <c r="C79" s="79"/>
      <c r="D79" s="80"/>
      <c r="E79" s="80"/>
      <c r="F79" s="80"/>
      <c r="G79" s="80"/>
      <c r="H79" s="80"/>
      <c r="I79" s="81"/>
      <c r="J79" s="80"/>
      <c r="K79" s="82"/>
      <c r="L79" s="83"/>
      <c r="M79" s="84"/>
      <c r="N79" s="84"/>
      <c r="O79" s="83"/>
      <c r="P79" s="80"/>
      <c r="Q79" s="80"/>
    </row>
    <row r="80" customFormat="false" ht="15.75" hidden="false" customHeight="true" outlineLevel="0" collapsed="false">
      <c r="A80" s="66" t="n">
        <v>77</v>
      </c>
      <c r="B80" s="70"/>
      <c r="C80" s="71"/>
      <c r="D80" s="72"/>
      <c r="E80" s="72"/>
      <c r="F80" s="72"/>
      <c r="G80" s="72"/>
      <c r="H80" s="72"/>
      <c r="I80" s="73"/>
      <c r="J80" s="72"/>
      <c r="K80" s="74"/>
      <c r="L80" s="75"/>
      <c r="M80" s="76"/>
      <c r="N80" s="76"/>
      <c r="O80" s="75"/>
      <c r="P80" s="72"/>
      <c r="Q80" s="72"/>
    </row>
    <row r="81" customFormat="false" ht="15.75" hidden="false" customHeight="true" outlineLevel="0" collapsed="false">
      <c r="A81" s="68" t="n">
        <v>78</v>
      </c>
      <c r="B81" s="78"/>
      <c r="C81" s="79"/>
      <c r="D81" s="80"/>
      <c r="E81" s="80"/>
      <c r="F81" s="80"/>
      <c r="G81" s="80"/>
      <c r="H81" s="80"/>
      <c r="I81" s="81"/>
      <c r="J81" s="80"/>
      <c r="K81" s="82"/>
      <c r="L81" s="83"/>
      <c r="M81" s="84"/>
      <c r="N81" s="84"/>
      <c r="O81" s="83"/>
      <c r="P81" s="80"/>
      <c r="Q81" s="80"/>
    </row>
    <row r="82" customFormat="false" ht="15.75" hidden="false" customHeight="true" outlineLevel="0" collapsed="false">
      <c r="A82" s="66" t="n">
        <v>79</v>
      </c>
      <c r="B82" s="70"/>
      <c r="C82" s="71"/>
      <c r="D82" s="72"/>
      <c r="E82" s="72"/>
      <c r="F82" s="72"/>
      <c r="G82" s="72"/>
      <c r="H82" s="72"/>
      <c r="I82" s="73"/>
      <c r="J82" s="72"/>
      <c r="K82" s="74"/>
      <c r="L82" s="75"/>
      <c r="M82" s="76"/>
      <c r="N82" s="76"/>
      <c r="O82" s="75"/>
      <c r="P82" s="72"/>
      <c r="Q82" s="72"/>
    </row>
    <row r="83" customFormat="false" ht="15.75" hidden="false" customHeight="true" outlineLevel="0" collapsed="false">
      <c r="A83" s="68" t="n">
        <v>80</v>
      </c>
      <c r="B83" s="78"/>
      <c r="C83" s="79"/>
      <c r="D83" s="80"/>
      <c r="E83" s="80"/>
      <c r="F83" s="80"/>
      <c r="G83" s="80"/>
      <c r="H83" s="80"/>
      <c r="I83" s="81"/>
      <c r="J83" s="80"/>
      <c r="K83" s="82"/>
      <c r="L83" s="83"/>
      <c r="M83" s="84"/>
      <c r="N83" s="84"/>
      <c r="O83" s="83"/>
      <c r="P83" s="80"/>
      <c r="Q83" s="80"/>
    </row>
    <row r="84" customFormat="false" ht="15.75" hidden="false" customHeight="true" outlineLevel="0" collapsed="false">
      <c r="A84" s="66" t="n">
        <v>81</v>
      </c>
      <c r="B84" s="70"/>
      <c r="C84" s="71"/>
      <c r="D84" s="72"/>
      <c r="E84" s="72"/>
      <c r="F84" s="72"/>
      <c r="G84" s="72"/>
      <c r="H84" s="72"/>
      <c r="I84" s="73"/>
      <c r="J84" s="72"/>
      <c r="K84" s="74"/>
      <c r="L84" s="75"/>
      <c r="M84" s="76"/>
      <c r="N84" s="76"/>
      <c r="O84" s="75"/>
      <c r="P84" s="72"/>
      <c r="Q84" s="72"/>
    </row>
    <row r="85" customFormat="false" ht="15.75" hidden="false" customHeight="true" outlineLevel="0" collapsed="false">
      <c r="A85" s="68" t="n">
        <v>82</v>
      </c>
      <c r="B85" s="78"/>
      <c r="C85" s="79"/>
      <c r="D85" s="80"/>
      <c r="E85" s="80"/>
      <c r="F85" s="80"/>
      <c r="G85" s="80"/>
      <c r="H85" s="80"/>
      <c r="I85" s="81"/>
      <c r="J85" s="80"/>
      <c r="K85" s="82"/>
      <c r="L85" s="83"/>
      <c r="M85" s="84"/>
      <c r="N85" s="84"/>
      <c r="O85" s="83"/>
      <c r="P85" s="80"/>
      <c r="Q85" s="80"/>
    </row>
    <row r="86" customFormat="false" ht="15.75" hidden="false" customHeight="true" outlineLevel="0" collapsed="false">
      <c r="A86" s="66" t="n">
        <v>83</v>
      </c>
      <c r="B86" s="70"/>
      <c r="C86" s="71"/>
      <c r="D86" s="72"/>
      <c r="E86" s="72"/>
      <c r="F86" s="72"/>
      <c r="G86" s="72"/>
      <c r="H86" s="72"/>
      <c r="I86" s="73"/>
      <c r="J86" s="72"/>
      <c r="K86" s="74"/>
      <c r="L86" s="75"/>
      <c r="M86" s="76"/>
      <c r="N86" s="76"/>
      <c r="O86" s="75"/>
      <c r="P86" s="72"/>
      <c r="Q86" s="72"/>
    </row>
    <row r="87" customFormat="false" ht="15.75" hidden="false" customHeight="true" outlineLevel="0" collapsed="false">
      <c r="A87" s="68" t="n">
        <v>84</v>
      </c>
      <c r="B87" s="78"/>
      <c r="C87" s="79"/>
      <c r="D87" s="80"/>
      <c r="E87" s="80"/>
      <c r="F87" s="80"/>
      <c r="G87" s="80"/>
      <c r="H87" s="80"/>
      <c r="I87" s="81"/>
      <c r="J87" s="80"/>
      <c r="K87" s="82"/>
      <c r="L87" s="83"/>
      <c r="M87" s="84"/>
      <c r="N87" s="84"/>
      <c r="O87" s="83"/>
      <c r="P87" s="80"/>
      <c r="Q87" s="80"/>
    </row>
    <row r="88" customFormat="false" ht="15.75" hidden="false" customHeight="true" outlineLevel="0" collapsed="false">
      <c r="A88" s="66" t="n">
        <v>85</v>
      </c>
      <c r="B88" s="70"/>
      <c r="C88" s="71"/>
      <c r="D88" s="72"/>
      <c r="E88" s="72"/>
      <c r="F88" s="72"/>
      <c r="G88" s="72"/>
      <c r="H88" s="72"/>
      <c r="I88" s="73"/>
      <c r="J88" s="72"/>
      <c r="K88" s="74"/>
      <c r="L88" s="75"/>
      <c r="M88" s="76"/>
      <c r="N88" s="76"/>
      <c r="O88" s="75"/>
      <c r="P88" s="72"/>
      <c r="Q88" s="72"/>
    </row>
    <row r="89" customFormat="false" ht="15.75" hidden="false" customHeight="true" outlineLevel="0" collapsed="false">
      <c r="A89" s="68" t="n">
        <v>86</v>
      </c>
      <c r="B89" s="78"/>
      <c r="C89" s="79"/>
      <c r="D89" s="80"/>
      <c r="E89" s="80"/>
      <c r="F89" s="80"/>
      <c r="G89" s="80"/>
      <c r="H89" s="80"/>
      <c r="I89" s="81"/>
      <c r="J89" s="80"/>
      <c r="K89" s="82"/>
      <c r="L89" s="83"/>
      <c r="M89" s="84"/>
      <c r="N89" s="84"/>
      <c r="O89" s="83"/>
      <c r="P89" s="80"/>
      <c r="Q89" s="80"/>
    </row>
    <row r="90" customFormat="false" ht="15.75" hidden="false" customHeight="true" outlineLevel="0" collapsed="false">
      <c r="A90" s="66" t="n">
        <v>87</v>
      </c>
      <c r="B90" s="70"/>
      <c r="C90" s="71"/>
      <c r="D90" s="72"/>
      <c r="E90" s="72"/>
      <c r="F90" s="72"/>
      <c r="G90" s="72"/>
      <c r="H90" s="72"/>
      <c r="I90" s="73"/>
      <c r="J90" s="72"/>
      <c r="K90" s="74"/>
      <c r="L90" s="75"/>
      <c r="M90" s="76"/>
      <c r="N90" s="76"/>
      <c r="O90" s="75"/>
      <c r="P90" s="72"/>
      <c r="Q90" s="72"/>
    </row>
    <row r="91" customFormat="false" ht="15.75" hidden="false" customHeight="true" outlineLevel="0" collapsed="false">
      <c r="A91" s="68" t="n">
        <v>88</v>
      </c>
      <c r="B91" s="78"/>
      <c r="C91" s="79"/>
      <c r="D91" s="80"/>
      <c r="E91" s="80"/>
      <c r="F91" s="80"/>
      <c r="G91" s="80"/>
      <c r="H91" s="80"/>
      <c r="I91" s="81"/>
      <c r="J91" s="80"/>
      <c r="K91" s="82"/>
      <c r="L91" s="83"/>
      <c r="M91" s="84"/>
      <c r="N91" s="84"/>
      <c r="O91" s="83"/>
      <c r="P91" s="80"/>
      <c r="Q91" s="80"/>
    </row>
    <row r="92" customFormat="false" ht="15.75" hidden="false" customHeight="true" outlineLevel="0" collapsed="false">
      <c r="A92" s="66" t="n">
        <v>89</v>
      </c>
      <c r="B92" s="70"/>
      <c r="C92" s="71"/>
      <c r="D92" s="72"/>
      <c r="E92" s="72"/>
      <c r="F92" s="72"/>
      <c r="G92" s="72"/>
      <c r="H92" s="72"/>
      <c r="I92" s="73"/>
      <c r="J92" s="72"/>
      <c r="K92" s="74"/>
      <c r="L92" s="75"/>
      <c r="M92" s="76"/>
      <c r="N92" s="76"/>
      <c r="O92" s="75"/>
      <c r="P92" s="72"/>
      <c r="Q92" s="72"/>
    </row>
    <row r="93" customFormat="false" ht="15.75" hidden="false" customHeight="true" outlineLevel="0" collapsed="false">
      <c r="A93" s="68" t="n">
        <v>90</v>
      </c>
      <c r="B93" s="78"/>
      <c r="C93" s="79"/>
      <c r="D93" s="80"/>
      <c r="E93" s="80"/>
      <c r="F93" s="80"/>
      <c r="G93" s="80"/>
      <c r="H93" s="80"/>
      <c r="I93" s="81"/>
      <c r="J93" s="80"/>
      <c r="K93" s="82"/>
      <c r="L93" s="83"/>
      <c r="M93" s="84"/>
      <c r="N93" s="84"/>
      <c r="O93" s="83"/>
      <c r="P93" s="80"/>
      <c r="Q93" s="80"/>
    </row>
    <row r="94" customFormat="false" ht="15.75" hidden="false" customHeight="true" outlineLevel="0" collapsed="false">
      <c r="A94" s="66" t="n">
        <v>91</v>
      </c>
      <c r="B94" s="70"/>
      <c r="C94" s="71"/>
      <c r="D94" s="72"/>
      <c r="E94" s="72"/>
      <c r="F94" s="72"/>
      <c r="G94" s="72"/>
      <c r="H94" s="72"/>
      <c r="I94" s="73"/>
      <c r="J94" s="72"/>
      <c r="K94" s="74"/>
      <c r="L94" s="75"/>
      <c r="M94" s="76"/>
      <c r="N94" s="76"/>
      <c r="O94" s="75"/>
      <c r="P94" s="72"/>
      <c r="Q94" s="72"/>
    </row>
    <row r="95" customFormat="false" ht="15.75" hidden="false" customHeight="true" outlineLevel="0" collapsed="false">
      <c r="A95" s="68" t="n">
        <v>92</v>
      </c>
      <c r="B95" s="78"/>
      <c r="C95" s="79"/>
      <c r="D95" s="80"/>
      <c r="E95" s="80"/>
      <c r="F95" s="80"/>
      <c r="G95" s="80"/>
      <c r="H95" s="80"/>
      <c r="I95" s="81"/>
      <c r="J95" s="80"/>
      <c r="K95" s="82"/>
      <c r="L95" s="83"/>
      <c r="M95" s="84"/>
      <c r="N95" s="84"/>
      <c r="O95" s="83"/>
      <c r="P95" s="80"/>
      <c r="Q95" s="80"/>
    </row>
    <row r="96" customFormat="false" ht="15.75" hidden="false" customHeight="true" outlineLevel="0" collapsed="false">
      <c r="A96" s="66" t="n">
        <v>93</v>
      </c>
      <c r="B96" s="70"/>
      <c r="C96" s="71"/>
      <c r="D96" s="72"/>
      <c r="E96" s="72"/>
      <c r="F96" s="72"/>
      <c r="G96" s="72"/>
      <c r="H96" s="72"/>
      <c r="I96" s="73"/>
      <c r="J96" s="72"/>
      <c r="K96" s="74"/>
      <c r="L96" s="75"/>
      <c r="M96" s="76"/>
      <c r="N96" s="76"/>
      <c r="O96" s="75"/>
      <c r="P96" s="72"/>
      <c r="Q96" s="72"/>
    </row>
    <row r="97" customFormat="false" ht="15.75" hidden="false" customHeight="true" outlineLevel="0" collapsed="false">
      <c r="A97" s="68" t="n">
        <v>94</v>
      </c>
      <c r="B97" s="78"/>
      <c r="C97" s="79"/>
      <c r="D97" s="80"/>
      <c r="E97" s="80"/>
      <c r="F97" s="80"/>
      <c r="G97" s="80"/>
      <c r="H97" s="80"/>
      <c r="I97" s="81"/>
      <c r="J97" s="80"/>
      <c r="K97" s="82"/>
      <c r="L97" s="83"/>
      <c r="M97" s="84"/>
      <c r="N97" s="84"/>
      <c r="O97" s="83"/>
      <c r="P97" s="80"/>
      <c r="Q97" s="80"/>
    </row>
    <row r="98" customFormat="false" ht="15.75" hidden="false" customHeight="true" outlineLevel="0" collapsed="false">
      <c r="A98" s="66" t="n">
        <v>95</v>
      </c>
      <c r="B98" s="70"/>
      <c r="C98" s="71"/>
      <c r="D98" s="72"/>
      <c r="E98" s="72"/>
      <c r="F98" s="72"/>
      <c r="G98" s="72"/>
      <c r="H98" s="72"/>
      <c r="I98" s="73"/>
      <c r="J98" s="72"/>
      <c r="K98" s="74"/>
      <c r="L98" s="75"/>
      <c r="M98" s="76"/>
      <c r="N98" s="76"/>
      <c r="O98" s="75"/>
      <c r="P98" s="72"/>
      <c r="Q98" s="72"/>
    </row>
    <row r="99" customFormat="false" ht="15.75" hidden="false" customHeight="true" outlineLevel="0" collapsed="false">
      <c r="A99" s="68" t="n">
        <v>96</v>
      </c>
      <c r="B99" s="78"/>
      <c r="C99" s="79"/>
      <c r="D99" s="80"/>
      <c r="E99" s="80"/>
      <c r="F99" s="80"/>
      <c r="G99" s="80"/>
      <c r="H99" s="80"/>
      <c r="I99" s="81"/>
      <c r="J99" s="80"/>
      <c r="K99" s="82"/>
      <c r="L99" s="83"/>
      <c r="M99" s="84"/>
      <c r="N99" s="84"/>
      <c r="O99" s="83"/>
      <c r="P99" s="80"/>
      <c r="Q99" s="80"/>
    </row>
    <row r="100" customFormat="false" ht="15.75" hidden="false" customHeight="true" outlineLevel="0" collapsed="false">
      <c r="A100" s="66" t="n">
        <v>97</v>
      </c>
      <c r="B100" s="70"/>
      <c r="C100" s="71"/>
      <c r="D100" s="72"/>
      <c r="E100" s="72"/>
      <c r="F100" s="72"/>
      <c r="G100" s="72"/>
      <c r="H100" s="72"/>
      <c r="I100" s="73"/>
      <c r="J100" s="72"/>
      <c r="K100" s="74"/>
      <c r="L100" s="75"/>
      <c r="M100" s="76"/>
      <c r="N100" s="76"/>
      <c r="O100" s="75"/>
      <c r="P100" s="72"/>
      <c r="Q100" s="72"/>
    </row>
    <row r="101" customFormat="false" ht="15.75" hidden="false" customHeight="true" outlineLevel="0" collapsed="false">
      <c r="A101" s="68" t="n">
        <v>98</v>
      </c>
      <c r="B101" s="78"/>
      <c r="C101" s="79"/>
      <c r="D101" s="80"/>
      <c r="E101" s="80"/>
      <c r="F101" s="80"/>
      <c r="G101" s="80"/>
      <c r="H101" s="80"/>
      <c r="I101" s="81"/>
      <c r="J101" s="80"/>
      <c r="K101" s="82"/>
      <c r="L101" s="83"/>
      <c r="M101" s="84"/>
      <c r="N101" s="84"/>
      <c r="O101" s="83"/>
      <c r="P101" s="80"/>
      <c r="Q101" s="80"/>
    </row>
    <row r="102" customFormat="false" ht="15.75" hidden="false" customHeight="true" outlineLevel="0" collapsed="false">
      <c r="A102" s="66" t="n">
        <v>99</v>
      </c>
      <c r="B102" s="70"/>
      <c r="C102" s="71"/>
      <c r="D102" s="72"/>
      <c r="E102" s="72"/>
      <c r="F102" s="72"/>
      <c r="G102" s="72"/>
      <c r="H102" s="72"/>
      <c r="I102" s="73"/>
      <c r="J102" s="72"/>
      <c r="K102" s="74"/>
      <c r="L102" s="75"/>
      <c r="M102" s="76"/>
      <c r="N102" s="76"/>
      <c r="O102" s="75"/>
      <c r="P102" s="72"/>
      <c r="Q102" s="72"/>
    </row>
    <row r="103" customFormat="false" ht="15.75" hidden="false" customHeight="true" outlineLevel="0" collapsed="false">
      <c r="A103" s="68" t="n">
        <v>100</v>
      </c>
      <c r="B103" s="78"/>
      <c r="C103" s="79"/>
      <c r="D103" s="80"/>
      <c r="E103" s="80"/>
      <c r="F103" s="80"/>
      <c r="G103" s="80"/>
      <c r="H103" s="80"/>
      <c r="I103" s="81"/>
      <c r="J103" s="80"/>
      <c r="K103" s="82"/>
      <c r="L103" s="83"/>
      <c r="M103" s="84"/>
      <c r="N103" s="84"/>
      <c r="O103" s="83"/>
      <c r="P103" s="80"/>
      <c r="Q103" s="80"/>
    </row>
    <row r="104" customFormat="false" ht="15.75" hidden="false" customHeight="true" outlineLevel="0" collapsed="false">
      <c r="A104" s="66" t="n">
        <v>101</v>
      </c>
      <c r="B104" s="70"/>
      <c r="C104" s="71"/>
      <c r="D104" s="72"/>
      <c r="E104" s="72"/>
      <c r="F104" s="72"/>
      <c r="G104" s="72"/>
      <c r="H104" s="72"/>
      <c r="I104" s="73"/>
      <c r="J104" s="72"/>
      <c r="K104" s="74"/>
      <c r="L104" s="75"/>
      <c r="M104" s="76"/>
      <c r="N104" s="76"/>
      <c r="O104" s="75"/>
      <c r="P104" s="72"/>
      <c r="Q104" s="72"/>
    </row>
    <row r="105" customFormat="false" ht="15.75" hidden="false" customHeight="true" outlineLevel="0" collapsed="false">
      <c r="A105" s="68" t="n">
        <v>102</v>
      </c>
      <c r="B105" s="78"/>
      <c r="C105" s="79"/>
      <c r="D105" s="80"/>
      <c r="E105" s="80"/>
      <c r="F105" s="80"/>
      <c r="G105" s="80"/>
      <c r="H105" s="80"/>
      <c r="I105" s="81"/>
      <c r="J105" s="80"/>
      <c r="K105" s="82"/>
      <c r="L105" s="83"/>
      <c r="M105" s="84"/>
      <c r="N105" s="84"/>
      <c r="O105" s="83"/>
      <c r="P105" s="80"/>
      <c r="Q105" s="80"/>
    </row>
    <row r="106" customFormat="false" ht="15.75" hidden="false" customHeight="true" outlineLevel="0" collapsed="false">
      <c r="A106" s="66" t="n">
        <v>103</v>
      </c>
      <c r="B106" s="70"/>
      <c r="C106" s="71"/>
      <c r="D106" s="72"/>
      <c r="E106" s="72"/>
      <c r="F106" s="72"/>
      <c r="G106" s="72"/>
      <c r="H106" s="72"/>
      <c r="I106" s="73"/>
      <c r="J106" s="72"/>
      <c r="K106" s="74"/>
      <c r="L106" s="75"/>
      <c r="M106" s="76"/>
      <c r="N106" s="76"/>
      <c r="O106" s="75"/>
      <c r="P106" s="72"/>
      <c r="Q106" s="72"/>
    </row>
    <row r="107" customFormat="false" ht="15.75" hidden="false" customHeight="true" outlineLevel="0" collapsed="false">
      <c r="A107" s="68" t="n">
        <v>104</v>
      </c>
      <c r="B107" s="78"/>
      <c r="C107" s="79"/>
      <c r="D107" s="80"/>
      <c r="E107" s="80"/>
      <c r="F107" s="80"/>
      <c r="G107" s="80"/>
      <c r="H107" s="80"/>
      <c r="I107" s="81"/>
      <c r="J107" s="80"/>
      <c r="K107" s="82"/>
      <c r="L107" s="83"/>
      <c r="M107" s="84"/>
      <c r="N107" s="84"/>
      <c r="O107" s="83"/>
      <c r="P107" s="80"/>
      <c r="Q107" s="80"/>
    </row>
    <row r="108" customFormat="false" ht="15.75" hidden="false" customHeight="true" outlineLevel="0" collapsed="false">
      <c r="A108" s="66" t="n">
        <v>105</v>
      </c>
      <c r="B108" s="70"/>
      <c r="C108" s="71"/>
      <c r="D108" s="72"/>
      <c r="E108" s="72"/>
      <c r="F108" s="72"/>
      <c r="G108" s="72"/>
      <c r="H108" s="72"/>
      <c r="I108" s="73"/>
      <c r="J108" s="72"/>
      <c r="K108" s="74"/>
      <c r="L108" s="75"/>
      <c r="M108" s="76"/>
      <c r="N108" s="76"/>
      <c r="O108" s="75"/>
      <c r="P108" s="72"/>
      <c r="Q108" s="72"/>
    </row>
    <row r="109" customFormat="false" ht="15.75" hidden="false" customHeight="true" outlineLevel="0" collapsed="false">
      <c r="A109" s="68" t="n">
        <v>106</v>
      </c>
      <c r="B109" s="78"/>
      <c r="C109" s="79"/>
      <c r="D109" s="80"/>
      <c r="E109" s="80"/>
      <c r="F109" s="80"/>
      <c r="G109" s="80"/>
      <c r="H109" s="80"/>
      <c r="I109" s="81"/>
      <c r="J109" s="80"/>
      <c r="K109" s="82"/>
      <c r="L109" s="83"/>
      <c r="M109" s="84"/>
      <c r="N109" s="84"/>
      <c r="O109" s="83"/>
      <c r="P109" s="80"/>
      <c r="Q109" s="80"/>
    </row>
    <row r="110" customFormat="false" ht="15.75" hidden="false" customHeight="true" outlineLevel="0" collapsed="false">
      <c r="A110" s="66" t="n">
        <v>107</v>
      </c>
      <c r="B110" s="70"/>
      <c r="C110" s="71"/>
      <c r="D110" s="72"/>
      <c r="E110" s="72"/>
      <c r="F110" s="72"/>
      <c r="G110" s="72"/>
      <c r="H110" s="72"/>
      <c r="I110" s="73"/>
      <c r="J110" s="72"/>
      <c r="K110" s="74"/>
      <c r="L110" s="75"/>
      <c r="M110" s="76"/>
      <c r="N110" s="76"/>
      <c r="O110" s="75"/>
      <c r="P110" s="72"/>
      <c r="Q110" s="72"/>
    </row>
    <row r="111" customFormat="false" ht="15.75" hidden="false" customHeight="true" outlineLevel="0" collapsed="false">
      <c r="A111" s="68" t="n">
        <v>108</v>
      </c>
      <c r="B111" s="78"/>
      <c r="C111" s="79"/>
      <c r="D111" s="80"/>
      <c r="E111" s="80"/>
      <c r="F111" s="80"/>
      <c r="G111" s="80"/>
      <c r="H111" s="80"/>
      <c r="I111" s="81"/>
      <c r="J111" s="80"/>
      <c r="K111" s="82"/>
      <c r="L111" s="83"/>
      <c r="M111" s="84"/>
      <c r="N111" s="84"/>
      <c r="O111" s="83"/>
      <c r="P111" s="80"/>
      <c r="Q111" s="80"/>
    </row>
    <row r="112" customFormat="false" ht="15.75" hidden="false" customHeight="true" outlineLevel="0" collapsed="false">
      <c r="A112" s="66" t="n">
        <v>109</v>
      </c>
      <c r="B112" s="70"/>
      <c r="C112" s="71"/>
      <c r="D112" s="72"/>
      <c r="E112" s="72"/>
      <c r="F112" s="72"/>
      <c r="G112" s="72"/>
      <c r="H112" s="72"/>
      <c r="I112" s="73"/>
      <c r="J112" s="72"/>
      <c r="K112" s="74"/>
      <c r="L112" s="75"/>
      <c r="M112" s="76"/>
      <c r="N112" s="76"/>
      <c r="O112" s="75"/>
      <c r="P112" s="72"/>
      <c r="Q112" s="72"/>
    </row>
    <row r="113" customFormat="false" ht="15.75" hidden="false" customHeight="true" outlineLevel="0" collapsed="false">
      <c r="A113" s="68" t="n">
        <v>110</v>
      </c>
      <c r="B113" s="78"/>
      <c r="C113" s="79"/>
      <c r="D113" s="80"/>
      <c r="E113" s="80"/>
      <c r="F113" s="80"/>
      <c r="G113" s="80"/>
      <c r="H113" s="80"/>
      <c r="I113" s="81"/>
      <c r="J113" s="80"/>
      <c r="K113" s="82"/>
      <c r="L113" s="83"/>
      <c r="M113" s="84"/>
      <c r="N113" s="84"/>
      <c r="O113" s="83"/>
      <c r="P113" s="80"/>
      <c r="Q113" s="80"/>
    </row>
    <row r="114" customFormat="false" ht="15.75" hidden="false" customHeight="true" outlineLevel="0" collapsed="false">
      <c r="A114" s="66" t="n">
        <v>111</v>
      </c>
      <c r="B114" s="70"/>
      <c r="C114" s="71"/>
      <c r="D114" s="72"/>
      <c r="E114" s="72"/>
      <c r="F114" s="72"/>
      <c r="G114" s="72"/>
      <c r="H114" s="72"/>
      <c r="I114" s="73"/>
      <c r="J114" s="72"/>
      <c r="K114" s="74"/>
      <c r="L114" s="75"/>
      <c r="M114" s="76"/>
      <c r="N114" s="76"/>
      <c r="O114" s="75"/>
      <c r="P114" s="72"/>
      <c r="Q114" s="72"/>
    </row>
    <row r="115" customFormat="false" ht="15.75" hidden="false" customHeight="true" outlineLevel="0" collapsed="false">
      <c r="A115" s="68" t="n">
        <v>112</v>
      </c>
      <c r="B115" s="78"/>
      <c r="C115" s="79"/>
      <c r="D115" s="80"/>
      <c r="E115" s="80"/>
      <c r="F115" s="80"/>
      <c r="G115" s="80"/>
      <c r="H115" s="80"/>
      <c r="I115" s="81"/>
      <c r="J115" s="80"/>
      <c r="K115" s="82"/>
      <c r="L115" s="83"/>
      <c r="M115" s="84"/>
      <c r="N115" s="84"/>
      <c r="O115" s="83"/>
      <c r="P115" s="80"/>
      <c r="Q115" s="80"/>
    </row>
    <row r="116" customFormat="false" ht="15.75" hidden="false" customHeight="true" outlineLevel="0" collapsed="false">
      <c r="A116" s="66" t="n">
        <v>113</v>
      </c>
      <c r="B116" s="70"/>
      <c r="C116" s="71"/>
      <c r="D116" s="72"/>
      <c r="E116" s="72"/>
      <c r="F116" s="72"/>
      <c r="G116" s="72"/>
      <c r="H116" s="72"/>
      <c r="I116" s="73"/>
      <c r="J116" s="72"/>
      <c r="K116" s="74"/>
      <c r="L116" s="75"/>
      <c r="M116" s="76"/>
      <c r="N116" s="76"/>
      <c r="O116" s="75"/>
      <c r="P116" s="72"/>
      <c r="Q116" s="72"/>
    </row>
    <row r="117" customFormat="false" ht="15.75" hidden="false" customHeight="true" outlineLevel="0" collapsed="false">
      <c r="A117" s="68" t="n">
        <v>114</v>
      </c>
      <c r="B117" s="78"/>
      <c r="C117" s="79"/>
      <c r="D117" s="80"/>
      <c r="E117" s="80"/>
      <c r="F117" s="80"/>
      <c r="G117" s="80"/>
      <c r="H117" s="80"/>
      <c r="I117" s="81"/>
      <c r="J117" s="80"/>
      <c r="K117" s="82"/>
      <c r="L117" s="83"/>
      <c r="M117" s="84"/>
      <c r="N117" s="84"/>
      <c r="O117" s="83"/>
      <c r="P117" s="80"/>
      <c r="Q117" s="80"/>
    </row>
    <row r="118" customFormat="false" ht="15.75" hidden="false" customHeight="true" outlineLevel="0" collapsed="false">
      <c r="A118" s="66" t="n">
        <v>115</v>
      </c>
      <c r="B118" s="70"/>
      <c r="C118" s="71"/>
      <c r="D118" s="72"/>
      <c r="E118" s="72"/>
      <c r="F118" s="72"/>
      <c r="G118" s="72"/>
      <c r="H118" s="72"/>
      <c r="I118" s="73"/>
      <c r="J118" s="72"/>
      <c r="K118" s="74"/>
      <c r="L118" s="75"/>
      <c r="M118" s="76"/>
      <c r="N118" s="76"/>
      <c r="O118" s="75"/>
      <c r="P118" s="72"/>
      <c r="Q118" s="72"/>
    </row>
    <row r="119" customFormat="false" ht="15.75" hidden="false" customHeight="true" outlineLevel="0" collapsed="false">
      <c r="A119" s="68" t="n">
        <v>116</v>
      </c>
      <c r="B119" s="78"/>
      <c r="C119" s="79"/>
      <c r="D119" s="80"/>
      <c r="E119" s="80"/>
      <c r="F119" s="80"/>
      <c r="G119" s="80"/>
      <c r="H119" s="80"/>
      <c r="I119" s="81"/>
      <c r="J119" s="80"/>
      <c r="K119" s="82"/>
      <c r="L119" s="83"/>
      <c r="M119" s="84"/>
      <c r="N119" s="84"/>
      <c r="O119" s="83"/>
      <c r="P119" s="80"/>
      <c r="Q119" s="80"/>
    </row>
    <row r="120" customFormat="false" ht="15.75" hidden="false" customHeight="true" outlineLevel="0" collapsed="false">
      <c r="A120" s="66" t="n">
        <v>117</v>
      </c>
      <c r="B120" s="70"/>
      <c r="C120" s="71"/>
      <c r="D120" s="72"/>
      <c r="E120" s="72"/>
      <c r="F120" s="72"/>
      <c r="G120" s="72"/>
      <c r="H120" s="72"/>
      <c r="I120" s="73"/>
      <c r="J120" s="72"/>
      <c r="K120" s="74"/>
      <c r="L120" s="75"/>
      <c r="M120" s="76"/>
      <c r="N120" s="76"/>
      <c r="O120" s="75"/>
      <c r="P120" s="72"/>
      <c r="Q120" s="72"/>
    </row>
    <row r="121" customFormat="false" ht="15.75" hidden="false" customHeight="true" outlineLevel="0" collapsed="false">
      <c r="A121" s="68" t="n">
        <v>118</v>
      </c>
      <c r="B121" s="78"/>
      <c r="C121" s="79"/>
      <c r="D121" s="80"/>
      <c r="E121" s="80"/>
      <c r="F121" s="80"/>
      <c r="G121" s="80"/>
      <c r="H121" s="80"/>
      <c r="I121" s="81"/>
      <c r="J121" s="80"/>
      <c r="K121" s="82"/>
      <c r="L121" s="83"/>
      <c r="M121" s="84"/>
      <c r="N121" s="84"/>
      <c r="O121" s="83"/>
      <c r="P121" s="80"/>
      <c r="Q121" s="80"/>
    </row>
    <row r="122" customFormat="false" ht="15.75" hidden="false" customHeight="true" outlineLevel="0" collapsed="false">
      <c r="A122" s="66" t="n">
        <v>119</v>
      </c>
      <c r="B122" s="70"/>
      <c r="C122" s="71"/>
      <c r="D122" s="72"/>
      <c r="E122" s="72"/>
      <c r="F122" s="72"/>
      <c r="G122" s="72"/>
      <c r="H122" s="72"/>
      <c r="I122" s="73"/>
      <c r="J122" s="72"/>
      <c r="K122" s="74"/>
      <c r="L122" s="75"/>
      <c r="M122" s="76"/>
      <c r="N122" s="76"/>
      <c r="O122" s="75"/>
      <c r="P122" s="72"/>
      <c r="Q122" s="72"/>
    </row>
    <row r="123" customFormat="false" ht="15.75" hidden="false" customHeight="true" outlineLevel="0" collapsed="false">
      <c r="A123" s="68" t="n">
        <v>120</v>
      </c>
      <c r="B123" s="78"/>
      <c r="C123" s="79"/>
      <c r="D123" s="80"/>
      <c r="E123" s="80"/>
      <c r="F123" s="80"/>
      <c r="G123" s="80"/>
      <c r="H123" s="80"/>
      <c r="I123" s="81"/>
      <c r="J123" s="80"/>
      <c r="K123" s="82"/>
      <c r="L123" s="83"/>
      <c r="M123" s="84"/>
      <c r="N123" s="84"/>
      <c r="O123" s="83"/>
      <c r="P123" s="80"/>
      <c r="Q123" s="80"/>
    </row>
    <row r="124" customFormat="false" ht="15.75" hidden="false" customHeight="true" outlineLevel="0" collapsed="false">
      <c r="A124" s="66" t="n">
        <v>121</v>
      </c>
      <c r="B124" s="70"/>
      <c r="C124" s="71"/>
      <c r="D124" s="72"/>
      <c r="E124" s="72"/>
      <c r="F124" s="72"/>
      <c r="G124" s="72"/>
      <c r="H124" s="72"/>
      <c r="I124" s="73"/>
      <c r="J124" s="72"/>
      <c r="K124" s="74"/>
      <c r="L124" s="75"/>
      <c r="M124" s="76"/>
      <c r="N124" s="76"/>
      <c r="O124" s="75"/>
      <c r="P124" s="72"/>
      <c r="Q124" s="72"/>
    </row>
    <row r="125" customFormat="false" ht="15.75" hidden="false" customHeight="true" outlineLevel="0" collapsed="false">
      <c r="A125" s="68" t="n">
        <v>122</v>
      </c>
      <c r="B125" s="78"/>
      <c r="C125" s="79"/>
      <c r="D125" s="80"/>
      <c r="E125" s="80"/>
      <c r="F125" s="80"/>
      <c r="G125" s="80"/>
      <c r="H125" s="80"/>
      <c r="I125" s="81"/>
      <c r="J125" s="80"/>
      <c r="K125" s="82"/>
      <c r="L125" s="83"/>
      <c r="M125" s="84"/>
      <c r="N125" s="84"/>
      <c r="O125" s="83"/>
      <c r="P125" s="80"/>
      <c r="Q125" s="80"/>
    </row>
    <row r="126" customFormat="false" ht="15.75" hidden="false" customHeight="true" outlineLevel="0" collapsed="false">
      <c r="A126" s="66" t="n">
        <v>123</v>
      </c>
      <c r="B126" s="70"/>
      <c r="C126" s="71"/>
      <c r="D126" s="72"/>
      <c r="E126" s="72"/>
      <c r="F126" s="72"/>
      <c r="G126" s="72"/>
      <c r="H126" s="72"/>
      <c r="I126" s="73"/>
      <c r="J126" s="72"/>
      <c r="K126" s="74"/>
      <c r="L126" s="75"/>
      <c r="M126" s="76"/>
      <c r="N126" s="76"/>
      <c r="O126" s="75"/>
      <c r="P126" s="72"/>
      <c r="Q126" s="72"/>
    </row>
    <row r="127" customFormat="false" ht="15.75" hidden="false" customHeight="true" outlineLevel="0" collapsed="false">
      <c r="A127" s="68" t="n">
        <v>124</v>
      </c>
      <c r="B127" s="78"/>
      <c r="C127" s="79"/>
      <c r="D127" s="80"/>
      <c r="E127" s="80"/>
      <c r="F127" s="80"/>
      <c r="G127" s="80"/>
      <c r="H127" s="80"/>
      <c r="I127" s="81"/>
      <c r="J127" s="80"/>
      <c r="K127" s="82"/>
      <c r="L127" s="83"/>
      <c r="M127" s="84"/>
      <c r="N127" s="84"/>
      <c r="O127" s="83"/>
      <c r="P127" s="80"/>
      <c r="Q127" s="80"/>
    </row>
    <row r="128" customFormat="false" ht="15.75" hidden="false" customHeight="true" outlineLevel="0" collapsed="false">
      <c r="A128" s="66" t="n">
        <v>125</v>
      </c>
      <c r="B128" s="70"/>
      <c r="C128" s="71"/>
      <c r="D128" s="72"/>
      <c r="E128" s="72"/>
      <c r="F128" s="72"/>
      <c r="G128" s="72"/>
      <c r="H128" s="72"/>
      <c r="I128" s="73"/>
      <c r="J128" s="72"/>
      <c r="K128" s="74"/>
      <c r="L128" s="75"/>
      <c r="M128" s="76"/>
      <c r="N128" s="76"/>
      <c r="O128" s="75"/>
      <c r="P128" s="72"/>
      <c r="Q128" s="72"/>
    </row>
    <row r="129" customFormat="false" ht="15.75" hidden="false" customHeight="true" outlineLevel="0" collapsed="false">
      <c r="A129" s="68" t="n">
        <v>126</v>
      </c>
      <c r="B129" s="78"/>
      <c r="C129" s="79"/>
      <c r="D129" s="80"/>
      <c r="E129" s="80"/>
      <c r="F129" s="80"/>
      <c r="G129" s="80"/>
      <c r="H129" s="80"/>
      <c r="I129" s="81"/>
      <c r="J129" s="80"/>
      <c r="K129" s="82"/>
      <c r="L129" s="83"/>
      <c r="M129" s="84"/>
      <c r="N129" s="84"/>
      <c r="O129" s="83"/>
      <c r="P129" s="80"/>
      <c r="Q129" s="80"/>
    </row>
    <row r="130" customFormat="false" ht="15.75" hidden="false" customHeight="true" outlineLevel="0" collapsed="false">
      <c r="A130" s="66" t="n">
        <v>127</v>
      </c>
      <c r="B130" s="70"/>
      <c r="C130" s="71"/>
      <c r="D130" s="72"/>
      <c r="E130" s="72"/>
      <c r="F130" s="72"/>
      <c r="G130" s="72"/>
      <c r="H130" s="72"/>
      <c r="I130" s="73"/>
      <c r="J130" s="72"/>
      <c r="K130" s="74"/>
      <c r="L130" s="75"/>
      <c r="M130" s="76"/>
      <c r="N130" s="76"/>
      <c r="O130" s="75"/>
      <c r="P130" s="72"/>
      <c r="Q130" s="72"/>
    </row>
    <row r="131" customFormat="false" ht="15.75" hidden="false" customHeight="true" outlineLevel="0" collapsed="false">
      <c r="A131" s="68" t="n">
        <v>128</v>
      </c>
      <c r="B131" s="78"/>
      <c r="C131" s="79"/>
      <c r="D131" s="80"/>
      <c r="E131" s="80"/>
      <c r="F131" s="80"/>
      <c r="G131" s="80"/>
      <c r="H131" s="80"/>
      <c r="I131" s="81"/>
      <c r="J131" s="80"/>
      <c r="K131" s="82"/>
      <c r="L131" s="83"/>
      <c r="M131" s="84"/>
      <c r="N131" s="84"/>
      <c r="O131" s="83"/>
      <c r="P131" s="80"/>
      <c r="Q131" s="80"/>
    </row>
    <row r="132" customFormat="false" ht="15.75" hidden="false" customHeight="true" outlineLevel="0" collapsed="false">
      <c r="A132" s="66" t="n">
        <v>129</v>
      </c>
      <c r="B132" s="70"/>
      <c r="C132" s="71"/>
      <c r="D132" s="72"/>
      <c r="E132" s="72"/>
      <c r="F132" s="72"/>
      <c r="G132" s="72"/>
      <c r="H132" s="72"/>
      <c r="I132" s="73"/>
      <c r="J132" s="72"/>
      <c r="K132" s="74"/>
      <c r="L132" s="75"/>
      <c r="M132" s="76"/>
      <c r="N132" s="76"/>
      <c r="O132" s="75"/>
      <c r="P132" s="72"/>
      <c r="Q132" s="72"/>
    </row>
    <row r="133" customFormat="false" ht="15.75" hidden="false" customHeight="true" outlineLevel="0" collapsed="false">
      <c r="A133" s="68" t="n">
        <v>130</v>
      </c>
      <c r="B133" s="78"/>
      <c r="C133" s="79"/>
      <c r="D133" s="80"/>
      <c r="E133" s="80"/>
      <c r="F133" s="80"/>
      <c r="G133" s="80"/>
      <c r="H133" s="80"/>
      <c r="I133" s="81"/>
      <c r="J133" s="80"/>
      <c r="K133" s="82"/>
      <c r="L133" s="83"/>
      <c r="M133" s="84"/>
      <c r="N133" s="84"/>
      <c r="O133" s="83"/>
      <c r="P133" s="80"/>
      <c r="Q133" s="80"/>
    </row>
    <row r="134" customFormat="false" ht="15.75" hidden="false" customHeight="true" outlineLevel="0" collapsed="false">
      <c r="A134" s="66" t="n">
        <v>131</v>
      </c>
      <c r="B134" s="70"/>
      <c r="C134" s="71"/>
      <c r="D134" s="72"/>
      <c r="E134" s="72"/>
      <c r="F134" s="72"/>
      <c r="G134" s="72"/>
      <c r="H134" s="72"/>
      <c r="I134" s="73"/>
      <c r="J134" s="72"/>
      <c r="K134" s="74"/>
      <c r="L134" s="75"/>
      <c r="M134" s="76"/>
      <c r="N134" s="76"/>
      <c r="O134" s="75"/>
      <c r="P134" s="72"/>
      <c r="Q134" s="72"/>
    </row>
    <row r="135" customFormat="false" ht="15.75" hidden="false" customHeight="true" outlineLevel="0" collapsed="false">
      <c r="A135" s="68" t="n">
        <v>132</v>
      </c>
      <c r="B135" s="78"/>
      <c r="C135" s="79"/>
      <c r="D135" s="80"/>
      <c r="E135" s="80"/>
      <c r="F135" s="80"/>
      <c r="G135" s="80"/>
      <c r="H135" s="80"/>
      <c r="I135" s="81"/>
      <c r="J135" s="80"/>
      <c r="K135" s="82"/>
      <c r="L135" s="83"/>
      <c r="M135" s="84"/>
      <c r="N135" s="84"/>
      <c r="O135" s="83"/>
      <c r="P135" s="80"/>
      <c r="Q135" s="80"/>
    </row>
    <row r="136" customFormat="false" ht="15.75" hidden="false" customHeight="true" outlineLevel="0" collapsed="false">
      <c r="A136" s="66" t="n">
        <v>133</v>
      </c>
      <c r="B136" s="70"/>
      <c r="C136" s="71"/>
      <c r="D136" s="72"/>
      <c r="E136" s="72"/>
      <c r="F136" s="72"/>
      <c r="G136" s="72"/>
      <c r="H136" s="72"/>
      <c r="I136" s="73"/>
      <c r="J136" s="72"/>
      <c r="K136" s="74"/>
      <c r="L136" s="75"/>
      <c r="M136" s="76"/>
      <c r="N136" s="76"/>
      <c r="O136" s="75"/>
      <c r="P136" s="72"/>
      <c r="Q136" s="72"/>
    </row>
    <row r="137" customFormat="false" ht="15.75" hidden="false" customHeight="true" outlineLevel="0" collapsed="false">
      <c r="A137" s="68" t="n">
        <v>134</v>
      </c>
      <c r="B137" s="78"/>
      <c r="C137" s="79"/>
      <c r="D137" s="80"/>
      <c r="E137" s="80"/>
      <c r="F137" s="80"/>
      <c r="G137" s="80"/>
      <c r="H137" s="80"/>
      <c r="I137" s="81"/>
      <c r="J137" s="80"/>
      <c r="K137" s="82"/>
      <c r="L137" s="83"/>
      <c r="M137" s="84"/>
      <c r="N137" s="84"/>
      <c r="O137" s="83"/>
      <c r="P137" s="80"/>
      <c r="Q137" s="80"/>
    </row>
    <row r="138" customFormat="false" ht="15.75" hidden="false" customHeight="true" outlineLevel="0" collapsed="false">
      <c r="A138" s="66" t="n">
        <v>135</v>
      </c>
      <c r="B138" s="70"/>
      <c r="C138" s="71"/>
      <c r="D138" s="72"/>
      <c r="E138" s="72"/>
      <c r="F138" s="72"/>
      <c r="G138" s="72"/>
      <c r="H138" s="72"/>
      <c r="I138" s="73"/>
      <c r="J138" s="72"/>
      <c r="K138" s="74"/>
      <c r="L138" s="75"/>
      <c r="M138" s="76"/>
      <c r="N138" s="76"/>
      <c r="O138" s="75"/>
      <c r="P138" s="72"/>
      <c r="Q138" s="72"/>
    </row>
    <row r="139" customFormat="false" ht="15.75" hidden="false" customHeight="true" outlineLevel="0" collapsed="false">
      <c r="A139" s="68" t="n">
        <v>136</v>
      </c>
      <c r="B139" s="78"/>
      <c r="C139" s="79"/>
      <c r="D139" s="80"/>
      <c r="E139" s="80"/>
      <c r="F139" s="80"/>
      <c r="G139" s="80"/>
      <c r="H139" s="80"/>
      <c r="I139" s="81"/>
      <c r="J139" s="80"/>
      <c r="K139" s="82"/>
      <c r="L139" s="83"/>
      <c r="M139" s="84"/>
      <c r="N139" s="84"/>
      <c r="O139" s="83"/>
      <c r="P139" s="80"/>
      <c r="Q139" s="80"/>
    </row>
    <row r="140" customFormat="false" ht="15.75" hidden="false" customHeight="true" outlineLevel="0" collapsed="false">
      <c r="A140" s="66" t="n">
        <v>137</v>
      </c>
      <c r="B140" s="70"/>
      <c r="C140" s="71"/>
      <c r="D140" s="72"/>
      <c r="E140" s="72"/>
      <c r="F140" s="72"/>
      <c r="G140" s="72"/>
      <c r="H140" s="72"/>
      <c r="I140" s="73"/>
      <c r="J140" s="72"/>
      <c r="K140" s="74"/>
      <c r="L140" s="75"/>
      <c r="M140" s="76"/>
      <c r="N140" s="76"/>
      <c r="O140" s="75"/>
      <c r="P140" s="72"/>
      <c r="Q140" s="72"/>
    </row>
    <row r="141" customFormat="false" ht="15.75" hidden="false" customHeight="true" outlineLevel="0" collapsed="false">
      <c r="A141" s="68" t="n">
        <v>138</v>
      </c>
      <c r="B141" s="78"/>
      <c r="C141" s="79"/>
      <c r="D141" s="80"/>
      <c r="E141" s="80"/>
      <c r="F141" s="80"/>
      <c r="G141" s="80"/>
      <c r="H141" s="80"/>
      <c r="I141" s="81"/>
      <c r="J141" s="80"/>
      <c r="K141" s="82"/>
      <c r="L141" s="83"/>
      <c r="M141" s="84"/>
      <c r="N141" s="84"/>
      <c r="O141" s="83"/>
      <c r="P141" s="80"/>
      <c r="Q141" s="80"/>
    </row>
    <row r="142" customFormat="false" ht="15.75" hidden="false" customHeight="true" outlineLevel="0" collapsed="false">
      <c r="A142" s="66" t="n">
        <v>139</v>
      </c>
      <c r="B142" s="70"/>
      <c r="C142" s="71"/>
      <c r="D142" s="72"/>
      <c r="E142" s="72"/>
      <c r="F142" s="72"/>
      <c r="G142" s="72"/>
      <c r="H142" s="72"/>
      <c r="I142" s="73"/>
      <c r="J142" s="72"/>
      <c r="K142" s="74"/>
      <c r="L142" s="75"/>
      <c r="M142" s="76"/>
      <c r="N142" s="76"/>
      <c r="O142" s="75"/>
      <c r="P142" s="72"/>
      <c r="Q142" s="72"/>
    </row>
    <row r="143" customFormat="false" ht="15.75" hidden="false" customHeight="true" outlineLevel="0" collapsed="false">
      <c r="A143" s="68" t="n">
        <v>140</v>
      </c>
      <c r="B143" s="78"/>
      <c r="C143" s="79"/>
      <c r="D143" s="80"/>
      <c r="E143" s="80"/>
      <c r="F143" s="80"/>
      <c r="G143" s="80"/>
      <c r="H143" s="80"/>
      <c r="I143" s="81"/>
      <c r="J143" s="80"/>
      <c r="K143" s="82"/>
      <c r="L143" s="83"/>
      <c r="M143" s="84"/>
      <c r="N143" s="84"/>
      <c r="O143" s="83"/>
      <c r="P143" s="80"/>
      <c r="Q143" s="80"/>
    </row>
    <row r="144" customFormat="false" ht="15.75" hidden="false" customHeight="true" outlineLevel="0" collapsed="false">
      <c r="A144" s="66" t="n">
        <v>141</v>
      </c>
      <c r="B144" s="70"/>
      <c r="C144" s="71"/>
      <c r="D144" s="72"/>
      <c r="E144" s="72"/>
      <c r="F144" s="72"/>
      <c r="G144" s="72"/>
      <c r="H144" s="72"/>
      <c r="I144" s="73"/>
      <c r="J144" s="72"/>
      <c r="K144" s="74"/>
      <c r="L144" s="75"/>
      <c r="M144" s="76"/>
      <c r="N144" s="76"/>
      <c r="O144" s="75"/>
      <c r="P144" s="72"/>
      <c r="Q144" s="72"/>
    </row>
    <row r="145" customFormat="false" ht="15.75" hidden="false" customHeight="true" outlineLevel="0" collapsed="false">
      <c r="A145" s="68" t="n">
        <v>142</v>
      </c>
      <c r="B145" s="78"/>
      <c r="C145" s="79"/>
      <c r="D145" s="80"/>
      <c r="E145" s="80"/>
      <c r="F145" s="80"/>
      <c r="G145" s="80"/>
      <c r="H145" s="80"/>
      <c r="I145" s="81"/>
      <c r="J145" s="80"/>
      <c r="K145" s="82"/>
      <c r="L145" s="83"/>
      <c r="M145" s="84"/>
      <c r="N145" s="84"/>
      <c r="O145" s="83"/>
      <c r="P145" s="80"/>
      <c r="Q145" s="80"/>
    </row>
    <row r="146" customFormat="false" ht="15.75" hidden="false" customHeight="true" outlineLevel="0" collapsed="false">
      <c r="A146" s="66" t="n">
        <v>143</v>
      </c>
      <c r="B146" s="70"/>
      <c r="C146" s="71"/>
      <c r="D146" s="72"/>
      <c r="E146" s="72"/>
      <c r="F146" s="72"/>
      <c r="G146" s="72"/>
      <c r="H146" s="72"/>
      <c r="I146" s="73"/>
      <c r="J146" s="72"/>
      <c r="K146" s="74"/>
      <c r="L146" s="75"/>
      <c r="M146" s="76"/>
      <c r="N146" s="76"/>
      <c r="O146" s="75"/>
      <c r="P146" s="72"/>
      <c r="Q146" s="72"/>
    </row>
    <row r="147" customFormat="false" ht="15.75" hidden="false" customHeight="true" outlineLevel="0" collapsed="false">
      <c r="A147" s="68" t="n">
        <v>144</v>
      </c>
      <c r="B147" s="78"/>
      <c r="C147" s="79"/>
      <c r="D147" s="80"/>
      <c r="E147" s="80"/>
      <c r="F147" s="80"/>
      <c r="G147" s="80"/>
      <c r="H147" s="80"/>
      <c r="I147" s="81"/>
      <c r="J147" s="80"/>
      <c r="K147" s="82"/>
      <c r="L147" s="83"/>
      <c r="M147" s="84"/>
      <c r="N147" s="84"/>
      <c r="O147" s="83"/>
      <c r="P147" s="80"/>
      <c r="Q147" s="80"/>
    </row>
    <row r="148" customFormat="false" ht="15.75" hidden="false" customHeight="true" outlineLevel="0" collapsed="false">
      <c r="A148" s="66" t="n">
        <v>145</v>
      </c>
      <c r="B148" s="70"/>
      <c r="C148" s="71"/>
      <c r="D148" s="72"/>
      <c r="E148" s="72"/>
      <c r="F148" s="72"/>
      <c r="G148" s="72"/>
      <c r="H148" s="72"/>
      <c r="I148" s="73"/>
      <c r="J148" s="72"/>
      <c r="K148" s="74"/>
      <c r="L148" s="75"/>
      <c r="M148" s="76"/>
      <c r="N148" s="76"/>
      <c r="O148" s="75"/>
      <c r="P148" s="72"/>
      <c r="Q148" s="72"/>
    </row>
    <row r="149" customFormat="false" ht="15.75" hidden="false" customHeight="true" outlineLevel="0" collapsed="false">
      <c r="A149" s="68" t="n">
        <v>146</v>
      </c>
      <c r="B149" s="78"/>
      <c r="C149" s="79"/>
      <c r="D149" s="80"/>
      <c r="E149" s="80"/>
      <c r="F149" s="80"/>
      <c r="G149" s="80"/>
      <c r="H149" s="80"/>
      <c r="I149" s="81"/>
      <c r="J149" s="80"/>
      <c r="K149" s="82"/>
      <c r="L149" s="83"/>
      <c r="M149" s="84"/>
      <c r="N149" s="84"/>
      <c r="O149" s="83"/>
      <c r="P149" s="80"/>
      <c r="Q149" s="80"/>
    </row>
    <row r="150" customFormat="false" ht="15.75" hidden="false" customHeight="true" outlineLevel="0" collapsed="false">
      <c r="A150" s="66" t="n">
        <v>147</v>
      </c>
      <c r="B150" s="70"/>
      <c r="C150" s="71"/>
      <c r="D150" s="72"/>
      <c r="E150" s="72"/>
      <c r="F150" s="72"/>
      <c r="G150" s="72"/>
      <c r="H150" s="72"/>
      <c r="I150" s="73"/>
      <c r="J150" s="72"/>
      <c r="K150" s="74"/>
      <c r="L150" s="75"/>
      <c r="M150" s="76"/>
      <c r="N150" s="76"/>
      <c r="O150" s="75"/>
      <c r="P150" s="72"/>
      <c r="Q150" s="72"/>
    </row>
    <row r="151" customFormat="false" ht="15.75" hidden="false" customHeight="true" outlineLevel="0" collapsed="false">
      <c r="A151" s="68" t="n">
        <v>148</v>
      </c>
      <c r="B151" s="78"/>
      <c r="C151" s="79"/>
      <c r="D151" s="80"/>
      <c r="E151" s="80"/>
      <c r="F151" s="80"/>
      <c r="G151" s="80"/>
      <c r="H151" s="80"/>
      <c r="I151" s="81"/>
      <c r="J151" s="80"/>
      <c r="K151" s="82"/>
      <c r="L151" s="83"/>
      <c r="M151" s="84"/>
      <c r="N151" s="84"/>
      <c r="O151" s="83"/>
      <c r="P151" s="80"/>
      <c r="Q151" s="80"/>
    </row>
    <row r="152" customFormat="false" ht="15.75" hidden="false" customHeight="true" outlineLevel="0" collapsed="false">
      <c r="A152" s="66" t="n">
        <v>149</v>
      </c>
      <c r="B152" s="70"/>
      <c r="C152" s="71"/>
      <c r="D152" s="72"/>
      <c r="E152" s="72"/>
      <c r="F152" s="72"/>
      <c r="G152" s="72"/>
      <c r="H152" s="72"/>
      <c r="I152" s="73"/>
      <c r="J152" s="72"/>
      <c r="K152" s="74"/>
      <c r="L152" s="75"/>
      <c r="M152" s="76"/>
      <c r="N152" s="76"/>
      <c r="O152" s="75"/>
      <c r="P152" s="72"/>
      <c r="Q152" s="72"/>
    </row>
    <row r="153" customFormat="false" ht="15.75" hidden="false" customHeight="true" outlineLevel="0" collapsed="false">
      <c r="A153" s="68" t="n">
        <v>150</v>
      </c>
      <c r="B153" s="78"/>
      <c r="C153" s="79"/>
      <c r="D153" s="80"/>
      <c r="E153" s="80"/>
      <c r="F153" s="80"/>
      <c r="G153" s="80"/>
      <c r="H153" s="80"/>
      <c r="I153" s="81"/>
      <c r="J153" s="80"/>
      <c r="K153" s="82"/>
      <c r="L153" s="83"/>
      <c r="M153" s="84"/>
      <c r="N153" s="84"/>
      <c r="O153" s="83"/>
      <c r="P153" s="80"/>
      <c r="Q153" s="80"/>
    </row>
    <row r="154" customFormat="false" ht="15.75" hidden="false" customHeight="true" outlineLevel="0" collapsed="false">
      <c r="A154" s="66" t="n">
        <v>151</v>
      </c>
      <c r="B154" s="70"/>
      <c r="C154" s="71"/>
      <c r="D154" s="72"/>
      <c r="E154" s="72"/>
      <c r="F154" s="72"/>
      <c r="G154" s="72"/>
      <c r="H154" s="72"/>
      <c r="I154" s="73"/>
      <c r="J154" s="72"/>
      <c r="K154" s="74"/>
      <c r="L154" s="75"/>
      <c r="M154" s="76"/>
      <c r="N154" s="76"/>
      <c r="O154" s="75"/>
      <c r="P154" s="72"/>
      <c r="Q154" s="72"/>
    </row>
    <row r="155" customFormat="false" ht="15.75" hidden="false" customHeight="true" outlineLevel="0" collapsed="false">
      <c r="A155" s="68" t="n">
        <v>152</v>
      </c>
      <c r="B155" s="78"/>
      <c r="C155" s="79"/>
      <c r="D155" s="80"/>
      <c r="E155" s="80"/>
      <c r="F155" s="80"/>
      <c r="G155" s="80"/>
      <c r="H155" s="80"/>
      <c r="I155" s="81"/>
      <c r="J155" s="80"/>
      <c r="K155" s="82"/>
      <c r="L155" s="83"/>
      <c r="M155" s="84"/>
      <c r="N155" s="84"/>
      <c r="O155" s="83"/>
      <c r="P155" s="80"/>
      <c r="Q155" s="80"/>
    </row>
    <row r="156" customFormat="false" ht="15.75" hidden="false" customHeight="true" outlineLevel="0" collapsed="false">
      <c r="A156" s="66" t="n">
        <v>153</v>
      </c>
      <c r="B156" s="70"/>
      <c r="C156" s="71"/>
      <c r="D156" s="72"/>
      <c r="E156" s="72"/>
      <c r="F156" s="72"/>
      <c r="G156" s="72"/>
      <c r="H156" s="72"/>
      <c r="I156" s="73"/>
      <c r="J156" s="72"/>
      <c r="K156" s="74"/>
      <c r="L156" s="75"/>
      <c r="M156" s="76"/>
      <c r="N156" s="76"/>
      <c r="O156" s="75"/>
      <c r="P156" s="72"/>
      <c r="Q156" s="72"/>
    </row>
    <row r="157" customFormat="false" ht="15.75" hidden="false" customHeight="true" outlineLevel="0" collapsed="false">
      <c r="A157" s="68" t="n">
        <v>154</v>
      </c>
      <c r="B157" s="78"/>
      <c r="C157" s="79"/>
      <c r="D157" s="80"/>
      <c r="E157" s="80"/>
      <c r="F157" s="80"/>
      <c r="G157" s="80"/>
      <c r="H157" s="80"/>
      <c r="I157" s="81"/>
      <c r="J157" s="80"/>
      <c r="K157" s="82"/>
      <c r="L157" s="83"/>
      <c r="M157" s="84"/>
      <c r="N157" s="84"/>
      <c r="O157" s="83"/>
      <c r="P157" s="80"/>
      <c r="Q157" s="80"/>
    </row>
    <row r="158" customFormat="false" ht="15.75" hidden="false" customHeight="true" outlineLevel="0" collapsed="false">
      <c r="A158" s="66" t="n">
        <v>155</v>
      </c>
      <c r="B158" s="70"/>
      <c r="C158" s="71"/>
      <c r="D158" s="72"/>
      <c r="E158" s="72"/>
      <c r="F158" s="72"/>
      <c r="G158" s="72"/>
      <c r="H158" s="72"/>
      <c r="I158" s="73"/>
      <c r="J158" s="72"/>
      <c r="K158" s="74"/>
      <c r="L158" s="75"/>
      <c r="M158" s="76"/>
      <c r="N158" s="76"/>
      <c r="O158" s="75"/>
      <c r="P158" s="72"/>
      <c r="Q158" s="72"/>
    </row>
    <row r="159" customFormat="false" ht="15.75" hidden="false" customHeight="true" outlineLevel="0" collapsed="false">
      <c r="A159" s="68" t="n">
        <v>156</v>
      </c>
      <c r="B159" s="78"/>
      <c r="C159" s="79"/>
      <c r="D159" s="80"/>
      <c r="E159" s="80"/>
      <c r="F159" s="80"/>
      <c r="G159" s="80"/>
      <c r="H159" s="80"/>
      <c r="I159" s="81"/>
      <c r="J159" s="80"/>
      <c r="K159" s="82"/>
      <c r="L159" s="83"/>
      <c r="M159" s="84"/>
      <c r="N159" s="84"/>
      <c r="O159" s="83"/>
      <c r="P159" s="80"/>
      <c r="Q159" s="80"/>
    </row>
    <row r="160" customFormat="false" ht="15.75" hidden="false" customHeight="true" outlineLevel="0" collapsed="false">
      <c r="A160" s="66" t="n">
        <v>157</v>
      </c>
      <c r="B160" s="70"/>
      <c r="C160" s="71"/>
      <c r="D160" s="72"/>
      <c r="E160" s="72"/>
      <c r="F160" s="72"/>
      <c r="G160" s="72"/>
      <c r="H160" s="72"/>
      <c r="I160" s="73"/>
      <c r="J160" s="72"/>
      <c r="K160" s="74"/>
      <c r="L160" s="75"/>
      <c r="M160" s="76"/>
      <c r="N160" s="76"/>
      <c r="O160" s="75"/>
      <c r="P160" s="72"/>
      <c r="Q160" s="72"/>
    </row>
    <row r="161" customFormat="false" ht="15.75" hidden="false" customHeight="true" outlineLevel="0" collapsed="false">
      <c r="A161" s="68" t="n">
        <v>158</v>
      </c>
      <c r="B161" s="78"/>
      <c r="C161" s="79"/>
      <c r="D161" s="80"/>
      <c r="E161" s="80"/>
      <c r="F161" s="80"/>
      <c r="G161" s="80"/>
      <c r="H161" s="80"/>
      <c r="I161" s="81"/>
      <c r="J161" s="80"/>
      <c r="K161" s="82"/>
      <c r="L161" s="83"/>
      <c r="M161" s="84"/>
      <c r="N161" s="84"/>
      <c r="O161" s="83"/>
      <c r="P161" s="80"/>
      <c r="Q161" s="80"/>
    </row>
    <row r="162" customFormat="false" ht="15.75" hidden="false" customHeight="true" outlineLevel="0" collapsed="false">
      <c r="A162" s="66" t="n">
        <v>159</v>
      </c>
      <c r="B162" s="70"/>
      <c r="C162" s="71"/>
      <c r="D162" s="72"/>
      <c r="E162" s="72"/>
      <c r="F162" s="72"/>
      <c r="G162" s="72"/>
      <c r="H162" s="72"/>
      <c r="I162" s="73"/>
      <c r="J162" s="72"/>
      <c r="K162" s="74"/>
      <c r="L162" s="75"/>
      <c r="M162" s="76"/>
      <c r="N162" s="76"/>
      <c r="O162" s="75"/>
      <c r="P162" s="72"/>
      <c r="Q162" s="72"/>
    </row>
    <row r="163" customFormat="false" ht="15.75" hidden="false" customHeight="true" outlineLevel="0" collapsed="false">
      <c r="A163" s="68" t="n">
        <v>160</v>
      </c>
      <c r="B163" s="78"/>
      <c r="C163" s="79"/>
      <c r="D163" s="80"/>
      <c r="E163" s="80"/>
      <c r="F163" s="80"/>
      <c r="G163" s="80"/>
      <c r="H163" s="80"/>
      <c r="I163" s="81"/>
      <c r="J163" s="80"/>
      <c r="K163" s="82"/>
      <c r="L163" s="83"/>
      <c r="M163" s="84"/>
      <c r="N163" s="84"/>
      <c r="O163" s="83"/>
      <c r="P163" s="80"/>
      <c r="Q163" s="80"/>
    </row>
    <row r="164" customFormat="false" ht="15.75" hidden="false" customHeight="true" outlineLevel="0" collapsed="false">
      <c r="A164" s="66" t="n">
        <v>161</v>
      </c>
      <c r="B164" s="70"/>
      <c r="C164" s="71"/>
      <c r="D164" s="72"/>
      <c r="E164" s="72"/>
      <c r="F164" s="72"/>
      <c r="G164" s="72"/>
      <c r="H164" s="72"/>
      <c r="I164" s="73"/>
      <c r="J164" s="72"/>
      <c r="K164" s="74"/>
      <c r="L164" s="75"/>
      <c r="M164" s="76"/>
      <c r="N164" s="76"/>
      <c r="O164" s="75"/>
      <c r="P164" s="72"/>
      <c r="Q164" s="72"/>
    </row>
    <row r="165" customFormat="false" ht="15.75" hidden="false" customHeight="true" outlineLevel="0" collapsed="false">
      <c r="A165" s="68" t="n">
        <v>162</v>
      </c>
      <c r="B165" s="78"/>
      <c r="C165" s="79"/>
      <c r="D165" s="80"/>
      <c r="E165" s="80"/>
      <c r="F165" s="80"/>
      <c r="G165" s="80"/>
      <c r="H165" s="80"/>
      <c r="I165" s="81"/>
      <c r="J165" s="80"/>
      <c r="K165" s="82"/>
      <c r="L165" s="83"/>
      <c r="M165" s="84"/>
      <c r="N165" s="84"/>
      <c r="O165" s="83"/>
      <c r="P165" s="80"/>
      <c r="Q165" s="80"/>
    </row>
    <row r="166" customFormat="false" ht="15.75" hidden="false" customHeight="true" outlineLevel="0" collapsed="false">
      <c r="A166" s="66" t="n">
        <v>163</v>
      </c>
      <c r="B166" s="70"/>
      <c r="C166" s="71"/>
      <c r="D166" s="72"/>
      <c r="E166" s="72"/>
      <c r="F166" s="72"/>
      <c r="G166" s="72"/>
      <c r="H166" s="72"/>
      <c r="I166" s="73"/>
      <c r="J166" s="72"/>
      <c r="K166" s="74"/>
      <c r="L166" s="75"/>
      <c r="M166" s="76"/>
      <c r="N166" s="76"/>
      <c r="O166" s="75"/>
      <c r="P166" s="72"/>
      <c r="Q166" s="72"/>
    </row>
    <row r="167" customFormat="false" ht="15.75" hidden="false" customHeight="true" outlineLevel="0" collapsed="false">
      <c r="A167" s="68" t="n">
        <v>164</v>
      </c>
      <c r="B167" s="78"/>
      <c r="C167" s="79"/>
      <c r="D167" s="80"/>
      <c r="E167" s="80"/>
      <c r="F167" s="80"/>
      <c r="G167" s="80"/>
      <c r="H167" s="80"/>
      <c r="I167" s="81"/>
      <c r="J167" s="80"/>
      <c r="K167" s="82"/>
      <c r="L167" s="83"/>
      <c r="M167" s="84"/>
      <c r="N167" s="84"/>
      <c r="O167" s="83"/>
      <c r="P167" s="80"/>
      <c r="Q167" s="80"/>
    </row>
    <row r="168" customFormat="false" ht="15.75" hidden="false" customHeight="true" outlineLevel="0" collapsed="false">
      <c r="A168" s="66" t="n">
        <v>165</v>
      </c>
      <c r="B168" s="70"/>
      <c r="C168" s="71"/>
      <c r="D168" s="72"/>
      <c r="E168" s="72"/>
      <c r="F168" s="72"/>
      <c r="G168" s="72"/>
      <c r="H168" s="72"/>
      <c r="I168" s="73"/>
      <c r="J168" s="72"/>
      <c r="K168" s="74"/>
      <c r="L168" s="75"/>
      <c r="M168" s="76"/>
      <c r="N168" s="76"/>
      <c r="O168" s="75"/>
      <c r="P168" s="72"/>
      <c r="Q168" s="72"/>
    </row>
    <row r="169" customFormat="false" ht="15.75" hidden="false" customHeight="true" outlineLevel="0" collapsed="false">
      <c r="A169" s="68" t="n">
        <v>166</v>
      </c>
      <c r="B169" s="78"/>
      <c r="C169" s="79"/>
      <c r="D169" s="80"/>
      <c r="E169" s="80"/>
      <c r="F169" s="80"/>
      <c r="G169" s="80"/>
      <c r="H169" s="80"/>
      <c r="I169" s="81"/>
      <c r="J169" s="80"/>
      <c r="K169" s="82"/>
      <c r="L169" s="83"/>
      <c r="M169" s="84"/>
      <c r="N169" s="84"/>
      <c r="O169" s="83"/>
      <c r="P169" s="80"/>
      <c r="Q169" s="80"/>
    </row>
    <row r="170" customFormat="false" ht="15.75" hidden="false" customHeight="true" outlineLevel="0" collapsed="false">
      <c r="A170" s="66" t="n">
        <v>167</v>
      </c>
      <c r="B170" s="70"/>
      <c r="C170" s="71"/>
      <c r="D170" s="72"/>
      <c r="E170" s="72"/>
      <c r="F170" s="72"/>
      <c r="G170" s="72"/>
      <c r="H170" s="72"/>
      <c r="I170" s="73"/>
      <c r="J170" s="72"/>
      <c r="K170" s="74"/>
      <c r="L170" s="75"/>
      <c r="M170" s="76"/>
      <c r="N170" s="76"/>
      <c r="O170" s="75"/>
      <c r="P170" s="72"/>
      <c r="Q170" s="72"/>
    </row>
    <row r="171" customFormat="false" ht="15.75" hidden="false" customHeight="true" outlineLevel="0" collapsed="false">
      <c r="A171" s="68" t="n">
        <v>168</v>
      </c>
      <c r="B171" s="78"/>
      <c r="C171" s="79"/>
      <c r="D171" s="80"/>
      <c r="E171" s="80"/>
      <c r="F171" s="80"/>
      <c r="G171" s="80"/>
      <c r="H171" s="80"/>
      <c r="I171" s="81"/>
      <c r="J171" s="80"/>
      <c r="K171" s="82"/>
      <c r="L171" s="83"/>
      <c r="M171" s="84"/>
      <c r="N171" s="84"/>
      <c r="O171" s="83"/>
      <c r="P171" s="80"/>
      <c r="Q171" s="80"/>
    </row>
    <row r="172" customFormat="false" ht="15.75" hidden="false" customHeight="true" outlineLevel="0" collapsed="false">
      <c r="A172" s="66" t="n">
        <v>169</v>
      </c>
      <c r="B172" s="70"/>
      <c r="C172" s="71"/>
      <c r="D172" s="72"/>
      <c r="E172" s="72"/>
      <c r="F172" s="72"/>
      <c r="G172" s="72"/>
      <c r="H172" s="72"/>
      <c r="I172" s="73"/>
      <c r="J172" s="72"/>
      <c r="K172" s="74"/>
      <c r="L172" s="75"/>
      <c r="M172" s="76"/>
      <c r="N172" s="76"/>
      <c r="O172" s="75"/>
      <c r="P172" s="72"/>
      <c r="Q172" s="72"/>
    </row>
    <row r="173" customFormat="false" ht="15.75" hidden="false" customHeight="true" outlineLevel="0" collapsed="false">
      <c r="A173" s="68" t="n">
        <v>170</v>
      </c>
      <c r="B173" s="78"/>
      <c r="C173" s="79"/>
      <c r="D173" s="80"/>
      <c r="E173" s="80"/>
      <c r="F173" s="80"/>
      <c r="G173" s="80"/>
      <c r="H173" s="80"/>
      <c r="I173" s="81"/>
      <c r="J173" s="80"/>
      <c r="K173" s="82"/>
      <c r="L173" s="83"/>
      <c r="M173" s="84"/>
      <c r="N173" s="84"/>
      <c r="O173" s="83"/>
      <c r="P173" s="80"/>
      <c r="Q173" s="80"/>
    </row>
    <row r="174" customFormat="false" ht="15.75" hidden="false" customHeight="true" outlineLevel="0" collapsed="false">
      <c r="A174" s="66" t="n">
        <v>171</v>
      </c>
      <c r="B174" s="70"/>
      <c r="C174" s="71"/>
      <c r="D174" s="72"/>
      <c r="E174" s="72"/>
      <c r="F174" s="72"/>
      <c r="G174" s="72"/>
      <c r="H174" s="72"/>
      <c r="I174" s="73"/>
      <c r="J174" s="72"/>
      <c r="K174" s="74"/>
      <c r="L174" s="75"/>
      <c r="M174" s="76"/>
      <c r="N174" s="76"/>
      <c r="O174" s="75"/>
      <c r="P174" s="72"/>
      <c r="Q174" s="72"/>
    </row>
    <row r="175" customFormat="false" ht="15.75" hidden="false" customHeight="true" outlineLevel="0" collapsed="false">
      <c r="A175" s="68" t="n">
        <v>172</v>
      </c>
      <c r="B175" s="78"/>
      <c r="C175" s="79"/>
      <c r="D175" s="80"/>
      <c r="E175" s="80"/>
      <c r="F175" s="80"/>
      <c r="G175" s="80"/>
      <c r="H175" s="80"/>
      <c r="I175" s="81"/>
      <c r="J175" s="80"/>
      <c r="K175" s="82"/>
      <c r="L175" s="83"/>
      <c r="M175" s="84"/>
      <c r="N175" s="84"/>
      <c r="O175" s="83"/>
      <c r="P175" s="80"/>
      <c r="Q175" s="80"/>
    </row>
    <row r="176" customFormat="false" ht="15.75" hidden="false" customHeight="true" outlineLevel="0" collapsed="false">
      <c r="A176" s="66" t="n">
        <v>173</v>
      </c>
      <c r="B176" s="70"/>
      <c r="C176" s="71"/>
      <c r="D176" s="72"/>
      <c r="E176" s="72"/>
      <c r="F176" s="72"/>
      <c r="G176" s="72"/>
      <c r="H176" s="72"/>
      <c r="I176" s="73"/>
      <c r="J176" s="72"/>
      <c r="K176" s="74"/>
      <c r="L176" s="75"/>
      <c r="M176" s="76"/>
      <c r="N176" s="76"/>
      <c r="O176" s="75"/>
      <c r="P176" s="72"/>
      <c r="Q176" s="72"/>
    </row>
    <row r="177" customFormat="false" ht="15.75" hidden="false" customHeight="true" outlineLevel="0" collapsed="false">
      <c r="A177" s="68" t="n">
        <v>174</v>
      </c>
      <c r="B177" s="78"/>
      <c r="C177" s="79"/>
      <c r="D177" s="80"/>
      <c r="E177" s="80"/>
      <c r="F177" s="80"/>
      <c r="G177" s="80"/>
      <c r="H177" s="80"/>
      <c r="I177" s="81"/>
      <c r="J177" s="80"/>
      <c r="K177" s="82"/>
      <c r="L177" s="83"/>
      <c r="M177" s="84"/>
      <c r="N177" s="84"/>
      <c r="O177" s="83"/>
      <c r="P177" s="80"/>
      <c r="Q177" s="80"/>
    </row>
    <row r="178" customFormat="false" ht="15.75" hidden="false" customHeight="true" outlineLevel="0" collapsed="false">
      <c r="A178" s="66" t="n">
        <v>175</v>
      </c>
      <c r="B178" s="70"/>
      <c r="C178" s="71"/>
      <c r="D178" s="72"/>
      <c r="E178" s="72"/>
      <c r="F178" s="72"/>
      <c r="G178" s="72"/>
      <c r="H178" s="72"/>
      <c r="I178" s="73"/>
      <c r="J178" s="72"/>
      <c r="K178" s="74"/>
      <c r="L178" s="75"/>
      <c r="M178" s="76"/>
      <c r="N178" s="76"/>
      <c r="O178" s="75"/>
      <c r="P178" s="72"/>
      <c r="Q178" s="72"/>
    </row>
    <row r="179" customFormat="false" ht="15.75" hidden="false" customHeight="true" outlineLevel="0" collapsed="false">
      <c r="A179" s="68" t="n">
        <v>176</v>
      </c>
      <c r="B179" s="78"/>
      <c r="C179" s="79"/>
      <c r="D179" s="80"/>
      <c r="E179" s="80"/>
      <c r="F179" s="80"/>
      <c r="G179" s="80"/>
      <c r="H179" s="80"/>
      <c r="I179" s="81"/>
      <c r="J179" s="80"/>
      <c r="K179" s="82"/>
      <c r="L179" s="83"/>
      <c r="M179" s="84"/>
      <c r="N179" s="84"/>
      <c r="O179" s="83"/>
      <c r="P179" s="80"/>
      <c r="Q179" s="80"/>
    </row>
    <row r="180" customFormat="false" ht="15.75" hidden="false" customHeight="true" outlineLevel="0" collapsed="false">
      <c r="A180" s="66" t="n">
        <v>177</v>
      </c>
      <c r="B180" s="70"/>
      <c r="C180" s="71"/>
      <c r="D180" s="72"/>
      <c r="E180" s="72"/>
      <c r="F180" s="72"/>
      <c r="G180" s="72"/>
      <c r="H180" s="72"/>
      <c r="I180" s="73"/>
      <c r="J180" s="72"/>
      <c r="K180" s="74"/>
      <c r="L180" s="75"/>
      <c r="M180" s="76"/>
      <c r="N180" s="76"/>
      <c r="O180" s="75"/>
      <c r="P180" s="72"/>
      <c r="Q180" s="72"/>
    </row>
    <row r="181" customFormat="false" ht="15.75" hidden="false" customHeight="true" outlineLevel="0" collapsed="false">
      <c r="A181" s="68" t="n">
        <v>178</v>
      </c>
      <c r="B181" s="78"/>
      <c r="C181" s="79"/>
      <c r="D181" s="80"/>
      <c r="E181" s="80"/>
      <c r="F181" s="80"/>
      <c r="G181" s="80"/>
      <c r="H181" s="80"/>
      <c r="I181" s="81"/>
      <c r="J181" s="80"/>
      <c r="K181" s="82"/>
      <c r="L181" s="83"/>
      <c r="M181" s="84"/>
      <c r="N181" s="84"/>
      <c r="O181" s="83"/>
      <c r="P181" s="80"/>
      <c r="Q181" s="80"/>
    </row>
    <row r="182" customFormat="false" ht="15.75" hidden="false" customHeight="true" outlineLevel="0" collapsed="false">
      <c r="A182" s="66" t="n">
        <v>179</v>
      </c>
      <c r="B182" s="70"/>
      <c r="C182" s="71"/>
      <c r="D182" s="72"/>
      <c r="E182" s="72"/>
      <c r="F182" s="72"/>
      <c r="G182" s="72"/>
      <c r="H182" s="72"/>
      <c r="I182" s="73"/>
      <c r="J182" s="72"/>
      <c r="K182" s="74"/>
      <c r="L182" s="75"/>
      <c r="M182" s="76"/>
      <c r="N182" s="76"/>
      <c r="O182" s="75"/>
      <c r="P182" s="72"/>
      <c r="Q182" s="72"/>
    </row>
    <row r="183" customFormat="false" ht="15.75" hidden="false" customHeight="true" outlineLevel="0" collapsed="false">
      <c r="A183" s="68" t="n">
        <v>180</v>
      </c>
      <c r="B183" s="78"/>
      <c r="C183" s="79"/>
      <c r="D183" s="80"/>
      <c r="E183" s="80"/>
      <c r="F183" s="80"/>
      <c r="G183" s="80"/>
      <c r="H183" s="80"/>
      <c r="I183" s="81"/>
      <c r="J183" s="80"/>
      <c r="K183" s="82"/>
      <c r="L183" s="83"/>
      <c r="M183" s="84"/>
      <c r="N183" s="84"/>
      <c r="O183" s="83"/>
      <c r="P183" s="80"/>
      <c r="Q183" s="80"/>
    </row>
    <row r="184" customFormat="false" ht="15.75" hidden="false" customHeight="true" outlineLevel="0" collapsed="false">
      <c r="A184" s="66" t="n">
        <v>181</v>
      </c>
      <c r="B184" s="70"/>
      <c r="C184" s="71"/>
      <c r="D184" s="72"/>
      <c r="E184" s="72"/>
      <c r="F184" s="72"/>
      <c r="G184" s="72"/>
      <c r="H184" s="72"/>
      <c r="I184" s="73"/>
      <c r="J184" s="72"/>
      <c r="K184" s="74"/>
      <c r="L184" s="75"/>
      <c r="M184" s="76"/>
      <c r="N184" s="76"/>
      <c r="O184" s="75"/>
      <c r="P184" s="72"/>
      <c r="Q184" s="72"/>
    </row>
    <row r="185" customFormat="false" ht="15.75" hidden="false" customHeight="true" outlineLevel="0" collapsed="false">
      <c r="A185" s="68" t="n">
        <v>182</v>
      </c>
      <c r="B185" s="78"/>
      <c r="C185" s="79"/>
      <c r="D185" s="80"/>
      <c r="E185" s="80"/>
      <c r="F185" s="80"/>
      <c r="G185" s="80"/>
      <c r="H185" s="80"/>
      <c r="I185" s="81"/>
      <c r="J185" s="80"/>
      <c r="K185" s="82"/>
      <c r="L185" s="83"/>
      <c r="M185" s="84"/>
      <c r="N185" s="84"/>
      <c r="O185" s="83"/>
      <c r="P185" s="80"/>
      <c r="Q185" s="80"/>
    </row>
    <row r="186" customFormat="false" ht="15.75" hidden="false" customHeight="true" outlineLevel="0" collapsed="false">
      <c r="A186" s="66" t="n">
        <v>183</v>
      </c>
      <c r="B186" s="70"/>
      <c r="C186" s="71"/>
      <c r="D186" s="72"/>
      <c r="E186" s="72"/>
      <c r="F186" s="72"/>
      <c r="G186" s="72"/>
      <c r="H186" s="72"/>
      <c r="I186" s="73"/>
      <c r="J186" s="72"/>
      <c r="K186" s="74"/>
      <c r="L186" s="75"/>
      <c r="M186" s="76"/>
      <c r="N186" s="76"/>
      <c r="O186" s="75"/>
      <c r="P186" s="72"/>
      <c r="Q186" s="72"/>
    </row>
    <row r="187" customFormat="false" ht="15.75" hidden="false" customHeight="true" outlineLevel="0" collapsed="false">
      <c r="A187" s="68" t="n">
        <v>184</v>
      </c>
      <c r="B187" s="78"/>
      <c r="C187" s="79"/>
      <c r="D187" s="80"/>
      <c r="E187" s="80"/>
      <c r="F187" s="80"/>
      <c r="G187" s="80"/>
      <c r="H187" s="80"/>
      <c r="I187" s="81"/>
      <c r="J187" s="80"/>
      <c r="K187" s="82"/>
      <c r="L187" s="83"/>
      <c r="M187" s="84"/>
      <c r="N187" s="84"/>
      <c r="O187" s="83"/>
      <c r="P187" s="80"/>
      <c r="Q187" s="80"/>
    </row>
    <row r="188" customFormat="false" ht="15.75" hidden="false" customHeight="true" outlineLevel="0" collapsed="false">
      <c r="A188" s="66" t="n">
        <v>185</v>
      </c>
      <c r="B188" s="70"/>
      <c r="C188" s="71"/>
      <c r="D188" s="72"/>
      <c r="E188" s="72"/>
      <c r="F188" s="72"/>
      <c r="G188" s="72"/>
      <c r="H188" s="72"/>
      <c r="I188" s="73"/>
      <c r="J188" s="72"/>
      <c r="K188" s="74"/>
      <c r="L188" s="75"/>
      <c r="M188" s="76"/>
      <c r="N188" s="76"/>
      <c r="O188" s="75"/>
      <c r="P188" s="72"/>
      <c r="Q188" s="72"/>
    </row>
    <row r="189" customFormat="false" ht="15.75" hidden="false" customHeight="true" outlineLevel="0" collapsed="false">
      <c r="A189" s="68" t="n">
        <v>186</v>
      </c>
      <c r="B189" s="78"/>
      <c r="C189" s="79"/>
      <c r="D189" s="80"/>
      <c r="E189" s="80"/>
      <c r="F189" s="80"/>
      <c r="G189" s="80"/>
      <c r="H189" s="80"/>
      <c r="I189" s="81"/>
      <c r="J189" s="80"/>
      <c r="K189" s="82"/>
      <c r="L189" s="83"/>
      <c r="M189" s="84"/>
      <c r="N189" s="84"/>
      <c r="O189" s="83"/>
      <c r="P189" s="80"/>
      <c r="Q189" s="80"/>
    </row>
    <row r="190" customFormat="false" ht="15.75" hidden="false" customHeight="true" outlineLevel="0" collapsed="false">
      <c r="A190" s="66" t="n">
        <v>187</v>
      </c>
      <c r="B190" s="70"/>
      <c r="C190" s="71"/>
      <c r="D190" s="72"/>
      <c r="E190" s="72"/>
      <c r="F190" s="72"/>
      <c r="G190" s="72"/>
      <c r="H190" s="72"/>
      <c r="I190" s="73"/>
      <c r="J190" s="72"/>
      <c r="K190" s="74"/>
      <c r="L190" s="75"/>
      <c r="M190" s="76"/>
      <c r="N190" s="76"/>
      <c r="O190" s="75"/>
      <c r="P190" s="72"/>
      <c r="Q190" s="72"/>
    </row>
    <row r="191" customFormat="false" ht="15.75" hidden="false" customHeight="true" outlineLevel="0" collapsed="false">
      <c r="A191" s="68" t="n">
        <v>188</v>
      </c>
      <c r="B191" s="78"/>
      <c r="C191" s="79"/>
      <c r="D191" s="80"/>
      <c r="E191" s="80"/>
      <c r="F191" s="80"/>
      <c r="G191" s="80"/>
      <c r="H191" s="80"/>
      <c r="I191" s="81"/>
      <c r="J191" s="80"/>
      <c r="K191" s="82"/>
      <c r="L191" s="83"/>
      <c r="M191" s="84"/>
      <c r="N191" s="84"/>
      <c r="O191" s="83"/>
      <c r="P191" s="80"/>
      <c r="Q191" s="80"/>
    </row>
    <row r="192" customFormat="false" ht="15.75" hidden="false" customHeight="true" outlineLevel="0" collapsed="false">
      <c r="A192" s="66" t="n">
        <v>189</v>
      </c>
      <c r="B192" s="70"/>
      <c r="C192" s="71"/>
      <c r="D192" s="72"/>
      <c r="E192" s="72"/>
      <c r="F192" s="72"/>
      <c r="G192" s="72"/>
      <c r="H192" s="72"/>
      <c r="I192" s="73"/>
      <c r="J192" s="72"/>
      <c r="K192" s="74"/>
      <c r="L192" s="75"/>
      <c r="M192" s="76"/>
      <c r="N192" s="76"/>
      <c r="O192" s="75"/>
      <c r="P192" s="72"/>
      <c r="Q192" s="72"/>
    </row>
    <row r="193" customFormat="false" ht="15.75" hidden="false" customHeight="true" outlineLevel="0" collapsed="false">
      <c r="A193" s="68" t="n">
        <v>190</v>
      </c>
      <c r="B193" s="78"/>
      <c r="C193" s="79"/>
      <c r="D193" s="80"/>
      <c r="E193" s="80"/>
      <c r="F193" s="80"/>
      <c r="G193" s="80"/>
      <c r="H193" s="80"/>
      <c r="I193" s="81"/>
      <c r="J193" s="80"/>
      <c r="K193" s="82"/>
      <c r="L193" s="83"/>
      <c r="M193" s="84"/>
      <c r="N193" s="84"/>
      <c r="O193" s="83"/>
      <c r="P193" s="80"/>
      <c r="Q193" s="80"/>
    </row>
    <row r="194" customFormat="false" ht="15.75" hidden="false" customHeight="true" outlineLevel="0" collapsed="false">
      <c r="A194" s="66" t="n">
        <v>191</v>
      </c>
      <c r="B194" s="70"/>
      <c r="C194" s="71"/>
      <c r="D194" s="72"/>
      <c r="E194" s="72"/>
      <c r="F194" s="72"/>
      <c r="G194" s="72"/>
      <c r="H194" s="72"/>
      <c r="I194" s="73"/>
      <c r="J194" s="72"/>
      <c r="K194" s="74"/>
      <c r="L194" s="75"/>
      <c r="M194" s="76"/>
      <c r="N194" s="76"/>
      <c r="O194" s="75"/>
      <c r="P194" s="72"/>
      <c r="Q194" s="72"/>
    </row>
    <row r="195" customFormat="false" ht="15.75" hidden="false" customHeight="true" outlineLevel="0" collapsed="false">
      <c r="A195" s="68" t="n">
        <v>192</v>
      </c>
      <c r="B195" s="78"/>
      <c r="C195" s="79"/>
      <c r="D195" s="80"/>
      <c r="E195" s="80"/>
      <c r="F195" s="80"/>
      <c r="G195" s="80"/>
      <c r="H195" s="80"/>
      <c r="I195" s="81"/>
      <c r="J195" s="80"/>
      <c r="K195" s="82"/>
      <c r="L195" s="83"/>
      <c r="M195" s="84"/>
      <c r="N195" s="84"/>
      <c r="O195" s="83"/>
      <c r="P195" s="80"/>
      <c r="Q195" s="80"/>
    </row>
    <row r="196" customFormat="false" ht="15.75" hidden="false" customHeight="true" outlineLevel="0" collapsed="false">
      <c r="A196" s="66" t="n">
        <v>193</v>
      </c>
      <c r="B196" s="70"/>
      <c r="C196" s="71"/>
      <c r="D196" s="72"/>
      <c r="E196" s="72"/>
      <c r="F196" s="72"/>
      <c r="G196" s="72"/>
      <c r="H196" s="72"/>
      <c r="I196" s="73"/>
      <c r="J196" s="72"/>
      <c r="K196" s="74"/>
      <c r="L196" s="75"/>
      <c r="M196" s="76"/>
      <c r="N196" s="76"/>
      <c r="O196" s="75"/>
      <c r="P196" s="72"/>
      <c r="Q196" s="72"/>
    </row>
    <row r="197" customFormat="false" ht="15.75" hidden="false" customHeight="true" outlineLevel="0" collapsed="false">
      <c r="A197" s="68" t="n">
        <v>194</v>
      </c>
      <c r="B197" s="78"/>
      <c r="C197" s="79"/>
      <c r="D197" s="80"/>
      <c r="E197" s="80"/>
      <c r="F197" s="80"/>
      <c r="G197" s="80"/>
      <c r="H197" s="80"/>
      <c r="I197" s="81"/>
      <c r="J197" s="80"/>
      <c r="K197" s="82"/>
      <c r="L197" s="83"/>
      <c r="M197" s="84"/>
      <c r="N197" s="84"/>
      <c r="O197" s="83"/>
      <c r="P197" s="80"/>
      <c r="Q197" s="80"/>
    </row>
    <row r="198" customFormat="false" ht="15.75" hidden="false" customHeight="true" outlineLevel="0" collapsed="false">
      <c r="A198" s="66" t="n">
        <v>195</v>
      </c>
      <c r="B198" s="70"/>
      <c r="C198" s="71"/>
      <c r="D198" s="72"/>
      <c r="E198" s="72"/>
      <c r="F198" s="72"/>
      <c r="G198" s="72"/>
      <c r="H198" s="72"/>
      <c r="I198" s="73"/>
      <c r="J198" s="72"/>
      <c r="K198" s="74"/>
      <c r="L198" s="75"/>
      <c r="M198" s="76"/>
      <c r="N198" s="76"/>
      <c r="O198" s="75"/>
      <c r="P198" s="72"/>
      <c r="Q198" s="72"/>
    </row>
    <row r="199" customFormat="false" ht="15.75" hidden="false" customHeight="true" outlineLevel="0" collapsed="false">
      <c r="A199" s="68" t="n">
        <v>196</v>
      </c>
      <c r="B199" s="78"/>
      <c r="C199" s="79"/>
      <c r="D199" s="80"/>
      <c r="E199" s="80"/>
      <c r="F199" s="80"/>
      <c r="G199" s="80"/>
      <c r="H199" s="80"/>
      <c r="I199" s="81"/>
      <c r="J199" s="80"/>
      <c r="K199" s="82"/>
      <c r="L199" s="83"/>
      <c r="M199" s="84"/>
      <c r="N199" s="84"/>
      <c r="O199" s="83"/>
      <c r="P199" s="80"/>
      <c r="Q199" s="80"/>
    </row>
    <row r="200" customFormat="false" ht="15.75" hidden="false" customHeight="true" outlineLevel="0" collapsed="false">
      <c r="A200" s="66" t="n">
        <v>197</v>
      </c>
      <c r="B200" s="70"/>
      <c r="C200" s="71"/>
      <c r="D200" s="72"/>
      <c r="E200" s="72"/>
      <c r="F200" s="72"/>
      <c r="G200" s="72"/>
      <c r="H200" s="72"/>
      <c r="I200" s="73"/>
      <c r="J200" s="72"/>
      <c r="K200" s="74"/>
      <c r="L200" s="75"/>
      <c r="M200" s="76"/>
      <c r="N200" s="76"/>
      <c r="O200" s="75"/>
      <c r="P200" s="72"/>
      <c r="Q200" s="72"/>
    </row>
    <row r="201" customFormat="false" ht="15.75" hidden="false" customHeight="true" outlineLevel="0" collapsed="false">
      <c r="A201" s="68" t="n">
        <v>198</v>
      </c>
      <c r="B201" s="78"/>
      <c r="C201" s="79"/>
      <c r="D201" s="80"/>
      <c r="E201" s="80"/>
      <c r="F201" s="80"/>
      <c r="G201" s="80"/>
      <c r="H201" s="80"/>
      <c r="I201" s="81"/>
      <c r="J201" s="80"/>
      <c r="K201" s="82"/>
      <c r="L201" s="83"/>
      <c r="M201" s="84"/>
      <c r="N201" s="84"/>
      <c r="O201" s="83"/>
      <c r="P201" s="80"/>
      <c r="Q201" s="80"/>
    </row>
    <row r="202" customFormat="false" ht="15.75" hidden="false" customHeight="true" outlineLevel="0" collapsed="false">
      <c r="A202" s="66" t="n">
        <v>199</v>
      </c>
      <c r="B202" s="70"/>
      <c r="C202" s="71"/>
      <c r="D202" s="72"/>
      <c r="E202" s="72"/>
      <c r="F202" s="72"/>
      <c r="G202" s="72"/>
      <c r="H202" s="72"/>
      <c r="I202" s="73"/>
      <c r="J202" s="72"/>
      <c r="K202" s="74"/>
      <c r="L202" s="75"/>
      <c r="M202" s="76"/>
      <c r="N202" s="76"/>
      <c r="O202" s="75"/>
      <c r="P202" s="72"/>
      <c r="Q202" s="72"/>
    </row>
    <row r="203" customFormat="false" ht="15.75" hidden="false" customHeight="true" outlineLevel="0" collapsed="false">
      <c r="A203" s="68" t="n">
        <v>200</v>
      </c>
      <c r="B203" s="78"/>
      <c r="C203" s="79"/>
      <c r="D203" s="80"/>
      <c r="E203" s="80"/>
      <c r="F203" s="80"/>
      <c r="G203" s="80"/>
      <c r="H203" s="80"/>
      <c r="I203" s="81"/>
      <c r="J203" s="80"/>
      <c r="K203" s="82"/>
      <c r="L203" s="83"/>
      <c r="M203" s="84"/>
      <c r="N203" s="84"/>
      <c r="O203" s="83"/>
      <c r="P203" s="80"/>
      <c r="Q203" s="80"/>
    </row>
    <row r="204" customFormat="false" ht="15.75" hidden="false" customHeight="true" outlineLevel="0" collapsed="false">
      <c r="A204" s="66" t="n">
        <v>201</v>
      </c>
      <c r="B204" s="70"/>
      <c r="C204" s="71"/>
      <c r="D204" s="72"/>
      <c r="E204" s="72"/>
      <c r="F204" s="72"/>
      <c r="G204" s="72"/>
      <c r="H204" s="72"/>
      <c r="I204" s="73"/>
      <c r="J204" s="72"/>
      <c r="K204" s="74"/>
      <c r="L204" s="75"/>
      <c r="M204" s="76"/>
      <c r="N204" s="76"/>
      <c r="O204" s="75"/>
      <c r="P204" s="72"/>
      <c r="Q204" s="72"/>
    </row>
    <row r="205" customFormat="false" ht="15.75" hidden="false" customHeight="true" outlineLevel="0" collapsed="false">
      <c r="A205" s="68" t="n">
        <v>202</v>
      </c>
      <c r="B205" s="78"/>
      <c r="C205" s="79"/>
      <c r="D205" s="80"/>
      <c r="E205" s="80"/>
      <c r="F205" s="80"/>
      <c r="G205" s="80"/>
      <c r="H205" s="80"/>
      <c r="I205" s="81"/>
      <c r="J205" s="80"/>
      <c r="K205" s="82"/>
      <c r="L205" s="83"/>
      <c r="M205" s="84"/>
      <c r="N205" s="84"/>
      <c r="O205" s="83"/>
      <c r="P205" s="80"/>
      <c r="Q205" s="80"/>
    </row>
    <row r="206" customFormat="false" ht="15.75" hidden="false" customHeight="true" outlineLevel="0" collapsed="false">
      <c r="A206" s="66" t="n">
        <v>203</v>
      </c>
      <c r="B206" s="70"/>
      <c r="C206" s="71"/>
      <c r="D206" s="72"/>
      <c r="E206" s="72"/>
      <c r="F206" s="72"/>
      <c r="G206" s="72"/>
      <c r="H206" s="72"/>
      <c r="I206" s="73"/>
      <c r="J206" s="72"/>
      <c r="K206" s="74"/>
      <c r="L206" s="75"/>
      <c r="M206" s="76"/>
      <c r="N206" s="76"/>
      <c r="O206" s="75"/>
      <c r="P206" s="72"/>
      <c r="Q206" s="72"/>
    </row>
    <row r="207" customFormat="false" ht="15.75" hidden="false" customHeight="true" outlineLevel="0" collapsed="false">
      <c r="A207" s="68" t="n">
        <v>204</v>
      </c>
      <c r="B207" s="78"/>
      <c r="C207" s="79"/>
      <c r="D207" s="80"/>
      <c r="E207" s="80"/>
      <c r="F207" s="80"/>
      <c r="G207" s="80"/>
      <c r="H207" s="80"/>
      <c r="I207" s="81"/>
      <c r="J207" s="80"/>
      <c r="K207" s="82"/>
      <c r="L207" s="83"/>
      <c r="M207" s="84"/>
      <c r="N207" s="84"/>
      <c r="O207" s="83"/>
      <c r="P207" s="80"/>
      <c r="Q207" s="80"/>
    </row>
    <row r="208" customFormat="false" ht="15.75" hidden="false" customHeight="true" outlineLevel="0" collapsed="false">
      <c r="A208" s="66" t="n">
        <v>205</v>
      </c>
      <c r="B208" s="70"/>
      <c r="C208" s="71"/>
      <c r="D208" s="72"/>
      <c r="E208" s="72"/>
      <c r="F208" s="72"/>
      <c r="G208" s="72"/>
      <c r="H208" s="72"/>
      <c r="I208" s="73"/>
      <c r="J208" s="72"/>
      <c r="K208" s="74"/>
      <c r="L208" s="75"/>
      <c r="M208" s="76"/>
      <c r="N208" s="76"/>
      <c r="O208" s="75"/>
      <c r="P208" s="72"/>
      <c r="Q208" s="72"/>
    </row>
    <row r="209" customFormat="false" ht="15.75" hidden="false" customHeight="true" outlineLevel="0" collapsed="false">
      <c r="A209" s="68" t="n">
        <v>206</v>
      </c>
      <c r="B209" s="78"/>
      <c r="C209" s="79"/>
      <c r="D209" s="80"/>
      <c r="E209" s="80"/>
      <c r="F209" s="80"/>
      <c r="G209" s="80"/>
      <c r="H209" s="80"/>
      <c r="I209" s="81"/>
      <c r="J209" s="80"/>
      <c r="K209" s="82"/>
      <c r="L209" s="83"/>
      <c r="M209" s="84"/>
      <c r="N209" s="84"/>
      <c r="O209" s="83"/>
      <c r="P209" s="80"/>
      <c r="Q209" s="80"/>
    </row>
    <row r="210" customFormat="false" ht="15.75" hidden="false" customHeight="true" outlineLevel="0" collapsed="false">
      <c r="A210" s="66" t="n">
        <v>207</v>
      </c>
      <c r="B210" s="70"/>
      <c r="C210" s="71"/>
      <c r="D210" s="72"/>
      <c r="E210" s="72"/>
      <c r="F210" s="72"/>
      <c r="G210" s="72"/>
      <c r="H210" s="72"/>
      <c r="I210" s="73"/>
      <c r="J210" s="72"/>
      <c r="K210" s="74"/>
      <c r="L210" s="75"/>
      <c r="M210" s="76"/>
      <c r="N210" s="76"/>
      <c r="O210" s="75"/>
      <c r="P210" s="72"/>
      <c r="Q210" s="72"/>
    </row>
    <row r="211" customFormat="false" ht="15.75" hidden="false" customHeight="true" outlineLevel="0" collapsed="false">
      <c r="A211" s="68" t="n">
        <v>208</v>
      </c>
      <c r="B211" s="78"/>
      <c r="C211" s="79"/>
      <c r="D211" s="80"/>
      <c r="E211" s="80"/>
      <c r="F211" s="80"/>
      <c r="G211" s="80"/>
      <c r="H211" s="80"/>
      <c r="I211" s="81"/>
      <c r="J211" s="80"/>
      <c r="K211" s="82"/>
      <c r="L211" s="83"/>
      <c r="M211" s="84"/>
      <c r="N211" s="84"/>
      <c r="O211" s="83"/>
      <c r="P211" s="80"/>
      <c r="Q211" s="80"/>
    </row>
    <row r="212" customFormat="false" ht="15.75" hidden="false" customHeight="true" outlineLevel="0" collapsed="false">
      <c r="A212" s="66" t="n">
        <v>209</v>
      </c>
      <c r="B212" s="70"/>
      <c r="C212" s="71"/>
      <c r="D212" s="72"/>
      <c r="E212" s="72"/>
      <c r="F212" s="72"/>
      <c r="G212" s="72"/>
      <c r="H212" s="72"/>
      <c r="I212" s="73"/>
      <c r="J212" s="72"/>
      <c r="K212" s="74"/>
      <c r="L212" s="75"/>
      <c r="M212" s="76"/>
      <c r="N212" s="76"/>
      <c r="O212" s="75"/>
      <c r="P212" s="72"/>
      <c r="Q212" s="72"/>
    </row>
    <row r="213" customFormat="false" ht="15.75" hidden="false" customHeight="true" outlineLevel="0" collapsed="false">
      <c r="A213" s="68" t="n">
        <v>210</v>
      </c>
      <c r="B213" s="78"/>
      <c r="C213" s="79"/>
      <c r="D213" s="80"/>
      <c r="E213" s="80"/>
      <c r="F213" s="80"/>
      <c r="G213" s="80"/>
      <c r="H213" s="80"/>
      <c r="I213" s="81"/>
      <c r="J213" s="80"/>
      <c r="K213" s="82"/>
      <c r="L213" s="83"/>
      <c r="M213" s="84"/>
      <c r="N213" s="84"/>
      <c r="O213" s="83"/>
      <c r="P213" s="80"/>
      <c r="Q213" s="80"/>
    </row>
    <row r="214" customFormat="false" ht="15.75" hidden="false" customHeight="true" outlineLevel="0" collapsed="false">
      <c r="A214" s="66" t="n">
        <v>211</v>
      </c>
      <c r="B214" s="70"/>
      <c r="C214" s="71"/>
      <c r="D214" s="72"/>
      <c r="E214" s="72"/>
      <c r="F214" s="72"/>
      <c r="G214" s="72"/>
      <c r="H214" s="72"/>
      <c r="I214" s="73"/>
      <c r="J214" s="72"/>
      <c r="K214" s="74"/>
      <c r="L214" s="75"/>
      <c r="M214" s="76"/>
      <c r="N214" s="76"/>
      <c r="O214" s="75"/>
      <c r="P214" s="72"/>
      <c r="Q214" s="72"/>
    </row>
    <row r="215" customFormat="false" ht="15.75" hidden="false" customHeight="true" outlineLevel="0" collapsed="false">
      <c r="A215" s="68" t="n">
        <v>212</v>
      </c>
      <c r="B215" s="78"/>
      <c r="C215" s="79"/>
      <c r="D215" s="80"/>
      <c r="E215" s="80"/>
      <c r="F215" s="80"/>
      <c r="G215" s="80"/>
      <c r="H215" s="80"/>
      <c r="I215" s="81"/>
      <c r="J215" s="80"/>
      <c r="K215" s="82"/>
      <c r="L215" s="83"/>
      <c r="M215" s="84"/>
      <c r="N215" s="84"/>
      <c r="O215" s="83"/>
      <c r="P215" s="80"/>
      <c r="Q215" s="80"/>
    </row>
    <row r="216" customFormat="false" ht="15.75" hidden="false" customHeight="true" outlineLevel="0" collapsed="false">
      <c r="A216" s="66" t="n">
        <v>213</v>
      </c>
      <c r="B216" s="70"/>
      <c r="C216" s="71"/>
      <c r="D216" s="72"/>
      <c r="E216" s="72"/>
      <c r="F216" s="72"/>
      <c r="G216" s="72"/>
      <c r="H216" s="72"/>
      <c r="I216" s="73"/>
      <c r="J216" s="72"/>
      <c r="K216" s="74"/>
      <c r="L216" s="75"/>
      <c r="M216" s="76"/>
      <c r="N216" s="76"/>
      <c r="O216" s="75"/>
      <c r="P216" s="72"/>
      <c r="Q216" s="72"/>
    </row>
    <row r="217" customFormat="false" ht="15.75" hidden="false" customHeight="true" outlineLevel="0" collapsed="false">
      <c r="A217" s="68" t="n">
        <v>214</v>
      </c>
      <c r="B217" s="78"/>
      <c r="C217" s="79"/>
      <c r="D217" s="80"/>
      <c r="E217" s="80"/>
      <c r="F217" s="80"/>
      <c r="G217" s="80"/>
      <c r="H217" s="80"/>
      <c r="I217" s="81"/>
      <c r="J217" s="80"/>
      <c r="K217" s="82"/>
      <c r="L217" s="83"/>
      <c r="M217" s="84"/>
      <c r="N217" s="84"/>
      <c r="O217" s="83"/>
      <c r="P217" s="80"/>
      <c r="Q217" s="80"/>
    </row>
    <row r="218" customFormat="false" ht="15.75" hidden="false" customHeight="true" outlineLevel="0" collapsed="false">
      <c r="A218" s="66" t="n">
        <v>215</v>
      </c>
      <c r="B218" s="70"/>
      <c r="C218" s="71"/>
      <c r="D218" s="72"/>
      <c r="E218" s="72"/>
      <c r="F218" s="72"/>
      <c r="G218" s="72"/>
      <c r="H218" s="72"/>
      <c r="I218" s="73"/>
      <c r="J218" s="72"/>
      <c r="K218" s="74"/>
      <c r="L218" s="75"/>
      <c r="M218" s="76"/>
      <c r="N218" s="76"/>
      <c r="O218" s="75"/>
      <c r="P218" s="72"/>
      <c r="Q218" s="72"/>
    </row>
    <row r="219" customFormat="false" ht="15.75" hidden="false" customHeight="true" outlineLevel="0" collapsed="false">
      <c r="A219" s="68" t="n">
        <v>216</v>
      </c>
      <c r="B219" s="78"/>
      <c r="C219" s="79"/>
      <c r="D219" s="80"/>
      <c r="E219" s="80"/>
      <c r="F219" s="80"/>
      <c r="G219" s="80"/>
      <c r="H219" s="80"/>
      <c r="I219" s="81"/>
      <c r="J219" s="80"/>
      <c r="K219" s="82"/>
      <c r="L219" s="83"/>
      <c r="M219" s="84"/>
      <c r="N219" s="84"/>
      <c r="O219" s="83"/>
      <c r="P219" s="80"/>
      <c r="Q219" s="80"/>
    </row>
    <row r="220" customFormat="false" ht="15.75" hidden="false" customHeight="true" outlineLevel="0" collapsed="false">
      <c r="A220" s="66" t="n">
        <v>217</v>
      </c>
      <c r="B220" s="70"/>
      <c r="C220" s="71"/>
      <c r="D220" s="72"/>
      <c r="E220" s="72"/>
      <c r="F220" s="72"/>
      <c r="G220" s="72"/>
      <c r="H220" s="72"/>
      <c r="I220" s="73"/>
      <c r="J220" s="72"/>
      <c r="K220" s="74"/>
      <c r="L220" s="75"/>
      <c r="M220" s="76"/>
      <c r="N220" s="76"/>
      <c r="O220" s="75"/>
      <c r="P220" s="72"/>
      <c r="Q220" s="72"/>
    </row>
    <row r="221" customFormat="false" ht="15.75" hidden="false" customHeight="true" outlineLevel="0" collapsed="false">
      <c r="A221" s="68" t="n">
        <v>218</v>
      </c>
      <c r="B221" s="78"/>
      <c r="C221" s="79"/>
      <c r="D221" s="80"/>
      <c r="E221" s="80"/>
      <c r="F221" s="80"/>
      <c r="G221" s="80"/>
      <c r="H221" s="80"/>
      <c r="I221" s="81"/>
      <c r="J221" s="80"/>
      <c r="K221" s="82"/>
      <c r="L221" s="83"/>
      <c r="M221" s="84"/>
      <c r="N221" s="84"/>
      <c r="O221" s="83"/>
      <c r="P221" s="80"/>
      <c r="Q221" s="80"/>
    </row>
    <row r="222" customFormat="false" ht="15.75" hidden="false" customHeight="true" outlineLevel="0" collapsed="false">
      <c r="A222" s="66" t="n">
        <v>219</v>
      </c>
      <c r="B222" s="70"/>
      <c r="C222" s="71"/>
      <c r="D222" s="72"/>
      <c r="E222" s="72"/>
      <c r="F222" s="72"/>
      <c r="G222" s="72"/>
      <c r="H222" s="72"/>
      <c r="I222" s="73"/>
      <c r="J222" s="72"/>
      <c r="K222" s="74"/>
      <c r="L222" s="75"/>
      <c r="M222" s="76"/>
      <c r="N222" s="76"/>
      <c r="O222" s="75"/>
      <c r="P222" s="72"/>
      <c r="Q222" s="72"/>
    </row>
    <row r="223" customFormat="false" ht="15.75" hidden="false" customHeight="true" outlineLevel="0" collapsed="false">
      <c r="A223" s="68" t="n">
        <v>220</v>
      </c>
      <c r="B223" s="78"/>
      <c r="C223" s="79"/>
      <c r="D223" s="80"/>
      <c r="E223" s="80"/>
      <c r="F223" s="80"/>
      <c r="G223" s="80"/>
      <c r="H223" s="80"/>
      <c r="I223" s="81"/>
      <c r="J223" s="80"/>
      <c r="K223" s="82"/>
      <c r="L223" s="83"/>
      <c r="M223" s="84"/>
      <c r="N223" s="84"/>
      <c r="O223" s="83"/>
      <c r="P223" s="80"/>
      <c r="Q223" s="80"/>
    </row>
    <row r="224" customFormat="false" ht="15.75" hidden="false" customHeight="true" outlineLevel="0" collapsed="false">
      <c r="A224" s="66" t="n">
        <v>221</v>
      </c>
      <c r="B224" s="70"/>
      <c r="C224" s="71"/>
      <c r="D224" s="72"/>
      <c r="E224" s="72"/>
      <c r="F224" s="72"/>
      <c r="G224" s="72"/>
      <c r="H224" s="72"/>
      <c r="I224" s="73"/>
      <c r="J224" s="72"/>
      <c r="K224" s="74"/>
      <c r="L224" s="75"/>
      <c r="M224" s="76"/>
      <c r="N224" s="76"/>
      <c r="O224" s="75"/>
      <c r="P224" s="72"/>
      <c r="Q224" s="72"/>
    </row>
    <row r="225" customFormat="false" ht="15.75" hidden="false" customHeight="true" outlineLevel="0" collapsed="false">
      <c r="A225" s="68" t="n">
        <v>222</v>
      </c>
      <c r="B225" s="78"/>
      <c r="C225" s="79"/>
      <c r="D225" s="80"/>
      <c r="E225" s="80"/>
      <c r="F225" s="80"/>
      <c r="G225" s="80"/>
      <c r="H225" s="80"/>
      <c r="I225" s="81"/>
      <c r="J225" s="80"/>
      <c r="K225" s="82"/>
      <c r="L225" s="83"/>
      <c r="M225" s="84"/>
      <c r="N225" s="84"/>
      <c r="O225" s="83"/>
      <c r="P225" s="80"/>
      <c r="Q225" s="80"/>
    </row>
    <row r="226" customFormat="false" ht="15.75" hidden="false" customHeight="true" outlineLevel="0" collapsed="false">
      <c r="A226" s="66" t="n">
        <v>223</v>
      </c>
      <c r="B226" s="70"/>
      <c r="C226" s="71"/>
      <c r="D226" s="72"/>
      <c r="E226" s="72"/>
      <c r="F226" s="72"/>
      <c r="G226" s="72"/>
      <c r="H226" s="72"/>
      <c r="I226" s="73"/>
      <c r="J226" s="72"/>
      <c r="K226" s="74"/>
      <c r="L226" s="75"/>
      <c r="M226" s="76"/>
      <c r="N226" s="76"/>
      <c r="O226" s="75"/>
      <c r="P226" s="72"/>
      <c r="Q226" s="72"/>
    </row>
    <row r="227" customFormat="false" ht="15.75" hidden="false" customHeight="true" outlineLevel="0" collapsed="false">
      <c r="A227" s="68" t="n">
        <v>224</v>
      </c>
      <c r="B227" s="78"/>
      <c r="C227" s="79"/>
      <c r="D227" s="80"/>
      <c r="E227" s="80"/>
      <c r="F227" s="80"/>
      <c r="G227" s="80"/>
      <c r="H227" s="80"/>
      <c r="I227" s="81"/>
      <c r="J227" s="80"/>
      <c r="K227" s="82"/>
      <c r="L227" s="83"/>
      <c r="M227" s="84"/>
      <c r="N227" s="84"/>
      <c r="O227" s="83"/>
      <c r="P227" s="80"/>
      <c r="Q227" s="80"/>
    </row>
    <row r="228" customFormat="false" ht="15.75" hidden="false" customHeight="true" outlineLevel="0" collapsed="false">
      <c r="A228" s="66" t="n">
        <v>225</v>
      </c>
      <c r="B228" s="70"/>
      <c r="C228" s="71"/>
      <c r="D228" s="72"/>
      <c r="E228" s="72"/>
      <c r="F228" s="72"/>
      <c r="G228" s="72"/>
      <c r="H228" s="72"/>
      <c r="I228" s="73"/>
      <c r="J228" s="72"/>
      <c r="K228" s="74"/>
      <c r="L228" s="75"/>
      <c r="M228" s="76"/>
      <c r="N228" s="76"/>
      <c r="O228" s="75"/>
      <c r="P228" s="72"/>
      <c r="Q228" s="72"/>
    </row>
    <row r="229" customFormat="false" ht="15.75" hidden="false" customHeight="true" outlineLevel="0" collapsed="false">
      <c r="A229" s="68" t="n">
        <v>226</v>
      </c>
      <c r="B229" s="78"/>
      <c r="C229" s="79"/>
      <c r="D229" s="80"/>
      <c r="E229" s="80"/>
      <c r="F229" s="80"/>
      <c r="G229" s="80"/>
      <c r="H229" s="80"/>
      <c r="I229" s="81"/>
      <c r="J229" s="80"/>
      <c r="K229" s="82"/>
      <c r="L229" s="83"/>
      <c r="M229" s="84"/>
      <c r="N229" s="84"/>
      <c r="O229" s="83"/>
      <c r="P229" s="80"/>
      <c r="Q229" s="80"/>
    </row>
    <row r="230" customFormat="false" ht="15.75" hidden="false" customHeight="true" outlineLevel="0" collapsed="false">
      <c r="A230" s="66" t="n">
        <v>227</v>
      </c>
      <c r="B230" s="70"/>
      <c r="C230" s="71"/>
      <c r="D230" s="72"/>
      <c r="E230" s="72"/>
      <c r="F230" s="72"/>
      <c r="G230" s="72"/>
      <c r="H230" s="72"/>
      <c r="I230" s="73"/>
      <c r="J230" s="72"/>
      <c r="K230" s="74"/>
      <c r="L230" s="75"/>
      <c r="M230" s="76"/>
      <c r="N230" s="76"/>
      <c r="O230" s="75"/>
      <c r="P230" s="72"/>
      <c r="Q230" s="72"/>
    </row>
    <row r="231" customFormat="false" ht="15.75" hidden="false" customHeight="true" outlineLevel="0" collapsed="false">
      <c r="A231" s="68" t="n">
        <v>228</v>
      </c>
      <c r="B231" s="78"/>
      <c r="C231" s="79"/>
      <c r="D231" s="80"/>
      <c r="E231" s="80"/>
      <c r="F231" s="80"/>
      <c r="G231" s="80"/>
      <c r="H231" s="80"/>
      <c r="I231" s="81"/>
      <c r="J231" s="80"/>
      <c r="K231" s="82"/>
      <c r="L231" s="83"/>
      <c r="M231" s="84"/>
      <c r="N231" s="84"/>
      <c r="O231" s="83"/>
      <c r="P231" s="80"/>
      <c r="Q231" s="80"/>
    </row>
    <row r="232" customFormat="false" ht="15.75" hidden="false" customHeight="true" outlineLevel="0" collapsed="false">
      <c r="A232" s="66" t="n">
        <v>229</v>
      </c>
      <c r="B232" s="70"/>
      <c r="C232" s="71"/>
      <c r="D232" s="72"/>
      <c r="E232" s="72"/>
      <c r="F232" s="72"/>
      <c r="G232" s="72"/>
      <c r="H232" s="72"/>
      <c r="I232" s="73"/>
      <c r="J232" s="72"/>
      <c r="K232" s="74"/>
      <c r="L232" s="75"/>
      <c r="M232" s="76"/>
      <c r="N232" s="76"/>
      <c r="O232" s="75"/>
      <c r="P232" s="72"/>
      <c r="Q232" s="72"/>
    </row>
    <row r="233" customFormat="false" ht="15.75" hidden="false" customHeight="true" outlineLevel="0" collapsed="false">
      <c r="A233" s="68" t="n">
        <v>230</v>
      </c>
      <c r="B233" s="78"/>
      <c r="C233" s="79"/>
      <c r="D233" s="80"/>
      <c r="E233" s="80"/>
      <c r="F233" s="80"/>
      <c r="G233" s="80"/>
      <c r="H233" s="80"/>
      <c r="I233" s="81"/>
      <c r="J233" s="80"/>
      <c r="K233" s="82"/>
      <c r="L233" s="83"/>
      <c r="M233" s="84"/>
      <c r="N233" s="84"/>
      <c r="O233" s="83"/>
      <c r="P233" s="80"/>
      <c r="Q233" s="80"/>
    </row>
    <row r="234" customFormat="false" ht="15.75" hidden="false" customHeight="true" outlineLevel="0" collapsed="false">
      <c r="A234" s="66" t="n">
        <v>231</v>
      </c>
      <c r="B234" s="70"/>
      <c r="C234" s="71"/>
      <c r="D234" s="72"/>
      <c r="E234" s="72"/>
      <c r="F234" s="72"/>
      <c r="G234" s="72"/>
      <c r="H234" s="72"/>
      <c r="I234" s="73"/>
      <c r="J234" s="72"/>
      <c r="K234" s="74"/>
      <c r="L234" s="75"/>
      <c r="M234" s="76"/>
      <c r="N234" s="76"/>
      <c r="O234" s="75"/>
      <c r="P234" s="72"/>
      <c r="Q234" s="72"/>
    </row>
    <row r="235" customFormat="false" ht="15.75" hidden="false" customHeight="true" outlineLevel="0" collapsed="false">
      <c r="A235" s="68" t="n">
        <v>232</v>
      </c>
      <c r="B235" s="78"/>
      <c r="C235" s="79"/>
      <c r="D235" s="80"/>
      <c r="E235" s="80"/>
      <c r="F235" s="80"/>
      <c r="G235" s="80"/>
      <c r="H235" s="80"/>
      <c r="I235" s="81"/>
      <c r="J235" s="80"/>
      <c r="K235" s="82"/>
      <c r="L235" s="83"/>
      <c r="M235" s="84"/>
      <c r="N235" s="84"/>
      <c r="O235" s="83"/>
      <c r="P235" s="80"/>
      <c r="Q235" s="80"/>
    </row>
    <row r="236" customFormat="false" ht="15.75" hidden="false" customHeight="true" outlineLevel="0" collapsed="false">
      <c r="A236" s="66" t="n">
        <v>233</v>
      </c>
      <c r="B236" s="70"/>
      <c r="C236" s="71"/>
      <c r="D236" s="72"/>
      <c r="E236" s="72"/>
      <c r="F236" s="72"/>
      <c r="G236" s="72"/>
      <c r="H236" s="72"/>
      <c r="I236" s="73"/>
      <c r="J236" s="72"/>
      <c r="K236" s="74"/>
      <c r="L236" s="75"/>
      <c r="M236" s="76"/>
      <c r="N236" s="76"/>
      <c r="O236" s="75"/>
      <c r="P236" s="72"/>
      <c r="Q236" s="72"/>
    </row>
    <row r="237" customFormat="false" ht="15.75" hidden="false" customHeight="true" outlineLevel="0" collapsed="false">
      <c r="A237" s="68" t="n">
        <v>234</v>
      </c>
      <c r="B237" s="78"/>
      <c r="C237" s="79"/>
      <c r="D237" s="80"/>
      <c r="E237" s="80"/>
      <c r="F237" s="80"/>
      <c r="G237" s="80"/>
      <c r="H237" s="80"/>
      <c r="I237" s="81"/>
      <c r="J237" s="80"/>
      <c r="K237" s="82"/>
      <c r="L237" s="83"/>
      <c r="M237" s="84"/>
      <c r="N237" s="84"/>
      <c r="O237" s="83"/>
      <c r="P237" s="80"/>
      <c r="Q237" s="80"/>
    </row>
    <row r="238" customFormat="false" ht="15.75" hidden="false" customHeight="true" outlineLevel="0" collapsed="false">
      <c r="A238" s="66" t="n">
        <v>235</v>
      </c>
      <c r="B238" s="70"/>
      <c r="C238" s="71"/>
      <c r="D238" s="72"/>
      <c r="E238" s="72"/>
      <c r="F238" s="72"/>
      <c r="G238" s="72"/>
      <c r="H238" s="72"/>
      <c r="I238" s="73"/>
      <c r="J238" s="72"/>
      <c r="K238" s="74"/>
      <c r="L238" s="75"/>
      <c r="M238" s="76"/>
      <c r="N238" s="76"/>
      <c r="O238" s="75"/>
      <c r="P238" s="72"/>
      <c r="Q238" s="72"/>
    </row>
    <row r="239" customFormat="false" ht="15.75" hidden="false" customHeight="true" outlineLevel="0" collapsed="false">
      <c r="A239" s="68" t="n">
        <v>236</v>
      </c>
      <c r="B239" s="78"/>
      <c r="C239" s="79"/>
      <c r="D239" s="80"/>
      <c r="E239" s="80"/>
      <c r="F239" s="80"/>
      <c r="G239" s="80"/>
      <c r="H239" s="80"/>
      <c r="I239" s="81"/>
      <c r="J239" s="80"/>
      <c r="K239" s="82"/>
      <c r="L239" s="83"/>
      <c r="M239" s="84"/>
      <c r="N239" s="84"/>
      <c r="O239" s="83"/>
      <c r="P239" s="80"/>
      <c r="Q239" s="80"/>
    </row>
    <row r="240" customFormat="false" ht="15.75" hidden="false" customHeight="true" outlineLevel="0" collapsed="false">
      <c r="A240" s="66" t="n">
        <v>237</v>
      </c>
      <c r="B240" s="70"/>
      <c r="C240" s="71"/>
      <c r="D240" s="72"/>
      <c r="E240" s="72"/>
      <c r="F240" s="72"/>
      <c r="G240" s="72"/>
      <c r="H240" s="72"/>
      <c r="I240" s="73"/>
      <c r="J240" s="72"/>
      <c r="K240" s="74"/>
      <c r="L240" s="75"/>
      <c r="M240" s="76"/>
      <c r="N240" s="76"/>
      <c r="O240" s="75"/>
      <c r="P240" s="72"/>
      <c r="Q240" s="72"/>
    </row>
    <row r="241" customFormat="false" ht="15.75" hidden="false" customHeight="true" outlineLevel="0" collapsed="false">
      <c r="A241" s="68" t="n">
        <v>238</v>
      </c>
      <c r="B241" s="78"/>
      <c r="C241" s="79"/>
      <c r="D241" s="80"/>
      <c r="E241" s="80"/>
      <c r="F241" s="80"/>
      <c r="G241" s="80"/>
      <c r="H241" s="80"/>
      <c r="I241" s="81"/>
      <c r="J241" s="80"/>
      <c r="K241" s="82"/>
      <c r="L241" s="83"/>
      <c r="M241" s="84"/>
      <c r="N241" s="84"/>
      <c r="O241" s="83"/>
      <c r="P241" s="80"/>
      <c r="Q241" s="80"/>
    </row>
    <row r="242" customFormat="false" ht="15.75" hidden="false" customHeight="true" outlineLevel="0" collapsed="false">
      <c r="A242" s="66" t="n">
        <v>239</v>
      </c>
      <c r="B242" s="70"/>
      <c r="C242" s="71"/>
      <c r="D242" s="72"/>
      <c r="E242" s="72"/>
      <c r="F242" s="72"/>
      <c r="G242" s="72"/>
      <c r="H242" s="72"/>
      <c r="I242" s="73"/>
      <c r="J242" s="72"/>
      <c r="K242" s="74"/>
      <c r="L242" s="75"/>
      <c r="M242" s="76"/>
      <c r="N242" s="76"/>
      <c r="O242" s="75"/>
      <c r="P242" s="72"/>
      <c r="Q242" s="72"/>
    </row>
    <row r="243" customFormat="false" ht="15.75" hidden="false" customHeight="true" outlineLevel="0" collapsed="false">
      <c r="A243" s="68" t="n">
        <v>240</v>
      </c>
      <c r="B243" s="78"/>
      <c r="C243" s="79"/>
      <c r="D243" s="80"/>
      <c r="E243" s="80"/>
      <c r="F243" s="80"/>
      <c r="G243" s="80"/>
      <c r="H243" s="80"/>
      <c r="I243" s="81"/>
      <c r="J243" s="80"/>
      <c r="K243" s="82"/>
      <c r="L243" s="83"/>
      <c r="M243" s="84"/>
      <c r="N243" s="84"/>
      <c r="O243" s="83"/>
      <c r="P243" s="80"/>
      <c r="Q243" s="80"/>
    </row>
    <row r="244" customFormat="false" ht="15.75" hidden="false" customHeight="true" outlineLevel="0" collapsed="false">
      <c r="A244" s="66" t="n">
        <v>241</v>
      </c>
      <c r="B244" s="70"/>
      <c r="C244" s="71"/>
      <c r="D244" s="72"/>
      <c r="E244" s="72"/>
      <c r="F244" s="72"/>
      <c r="G244" s="72"/>
      <c r="H244" s="72"/>
      <c r="I244" s="73"/>
      <c r="J244" s="72"/>
      <c r="K244" s="74"/>
      <c r="L244" s="75"/>
      <c r="M244" s="76"/>
      <c r="N244" s="76"/>
      <c r="O244" s="75"/>
      <c r="P244" s="72"/>
      <c r="Q244" s="72"/>
    </row>
    <row r="245" customFormat="false" ht="15.75" hidden="false" customHeight="true" outlineLevel="0" collapsed="false">
      <c r="A245" s="68" t="n">
        <v>242</v>
      </c>
      <c r="B245" s="78"/>
      <c r="C245" s="79"/>
      <c r="D245" s="80"/>
      <c r="E245" s="80"/>
      <c r="F245" s="80"/>
      <c r="G245" s="80"/>
      <c r="H245" s="80"/>
      <c r="I245" s="81"/>
      <c r="J245" s="80"/>
      <c r="K245" s="82"/>
      <c r="L245" s="83"/>
      <c r="M245" s="84"/>
      <c r="N245" s="84"/>
      <c r="O245" s="83"/>
      <c r="P245" s="80"/>
      <c r="Q245" s="80"/>
    </row>
    <row r="246" customFormat="false" ht="15.75" hidden="false" customHeight="true" outlineLevel="0" collapsed="false">
      <c r="A246" s="66" t="n">
        <v>243</v>
      </c>
      <c r="B246" s="70"/>
      <c r="C246" s="71"/>
      <c r="D246" s="72"/>
      <c r="E246" s="72"/>
      <c r="F246" s="72"/>
      <c r="G246" s="72"/>
      <c r="H246" s="72"/>
      <c r="I246" s="73"/>
      <c r="J246" s="72"/>
      <c r="K246" s="74"/>
      <c r="L246" s="75"/>
      <c r="M246" s="76"/>
      <c r="N246" s="76"/>
      <c r="O246" s="75"/>
      <c r="P246" s="72"/>
      <c r="Q246" s="72"/>
    </row>
    <row r="247" customFormat="false" ht="15.75" hidden="false" customHeight="true" outlineLevel="0" collapsed="false">
      <c r="A247" s="68" t="n">
        <v>244</v>
      </c>
      <c r="B247" s="78"/>
      <c r="C247" s="79"/>
      <c r="D247" s="80"/>
      <c r="E247" s="80"/>
      <c r="F247" s="80"/>
      <c r="G247" s="80"/>
      <c r="H247" s="80"/>
      <c r="I247" s="81"/>
      <c r="J247" s="80"/>
      <c r="K247" s="82"/>
      <c r="L247" s="83"/>
      <c r="M247" s="84"/>
      <c r="N247" s="84"/>
      <c r="O247" s="83"/>
      <c r="P247" s="80"/>
      <c r="Q247" s="80"/>
    </row>
    <row r="248" customFormat="false" ht="15.75" hidden="false" customHeight="true" outlineLevel="0" collapsed="false">
      <c r="A248" s="66" t="n">
        <v>245</v>
      </c>
      <c r="B248" s="70"/>
      <c r="C248" s="71"/>
      <c r="D248" s="72"/>
      <c r="E248" s="72"/>
      <c r="F248" s="72"/>
      <c r="G248" s="72"/>
      <c r="H248" s="72"/>
      <c r="I248" s="73"/>
      <c r="J248" s="72"/>
      <c r="K248" s="74"/>
      <c r="L248" s="75"/>
      <c r="M248" s="76"/>
      <c r="N248" s="76"/>
      <c r="O248" s="75"/>
      <c r="P248" s="72"/>
      <c r="Q248" s="72"/>
    </row>
    <row r="249" customFormat="false" ht="15.75" hidden="false" customHeight="true" outlineLevel="0" collapsed="false">
      <c r="A249" s="68" t="n">
        <v>246</v>
      </c>
      <c r="B249" s="78"/>
      <c r="C249" s="79"/>
      <c r="D249" s="80"/>
      <c r="E249" s="80"/>
      <c r="F249" s="80"/>
      <c r="G249" s="80"/>
      <c r="H249" s="80"/>
      <c r="I249" s="81"/>
      <c r="J249" s="80"/>
      <c r="K249" s="82"/>
      <c r="L249" s="83"/>
      <c r="M249" s="84"/>
      <c r="N249" s="84"/>
      <c r="O249" s="83"/>
      <c r="P249" s="80"/>
      <c r="Q249" s="80"/>
    </row>
    <row r="250" customFormat="false" ht="15.75" hidden="false" customHeight="true" outlineLevel="0" collapsed="false">
      <c r="A250" s="66" t="n">
        <v>247</v>
      </c>
      <c r="B250" s="70"/>
      <c r="C250" s="71"/>
      <c r="D250" s="72"/>
      <c r="E250" s="72"/>
      <c r="F250" s="72"/>
      <c r="G250" s="72"/>
      <c r="H250" s="72"/>
      <c r="I250" s="73"/>
      <c r="J250" s="72"/>
      <c r="K250" s="74"/>
      <c r="L250" s="75"/>
      <c r="M250" s="76"/>
      <c r="N250" s="76"/>
      <c r="O250" s="75"/>
      <c r="P250" s="72"/>
      <c r="Q250" s="72"/>
    </row>
    <row r="251" customFormat="false" ht="15.75" hidden="false" customHeight="true" outlineLevel="0" collapsed="false">
      <c r="A251" s="68" t="n">
        <v>248</v>
      </c>
      <c r="B251" s="78"/>
      <c r="C251" s="79"/>
      <c r="D251" s="80"/>
      <c r="E251" s="80"/>
      <c r="F251" s="80"/>
      <c r="G251" s="80"/>
      <c r="H251" s="80"/>
      <c r="I251" s="81"/>
      <c r="J251" s="80"/>
      <c r="K251" s="82"/>
      <c r="L251" s="83"/>
      <c r="M251" s="84"/>
      <c r="N251" s="84"/>
      <c r="O251" s="83"/>
      <c r="P251" s="80"/>
      <c r="Q251" s="80"/>
    </row>
    <row r="252" customFormat="false" ht="15.75" hidden="false" customHeight="true" outlineLevel="0" collapsed="false">
      <c r="A252" s="66" t="n">
        <v>249</v>
      </c>
      <c r="B252" s="70"/>
      <c r="C252" s="71"/>
      <c r="D252" s="72"/>
      <c r="E252" s="72"/>
      <c r="F252" s="72"/>
      <c r="G252" s="72"/>
      <c r="H252" s="72"/>
      <c r="I252" s="73"/>
      <c r="J252" s="72"/>
      <c r="K252" s="74"/>
      <c r="L252" s="75"/>
      <c r="M252" s="76"/>
      <c r="N252" s="76"/>
      <c r="O252" s="75"/>
      <c r="P252" s="72"/>
      <c r="Q252" s="72"/>
    </row>
    <row r="253" customFormat="false" ht="15.75" hidden="false" customHeight="true" outlineLevel="0" collapsed="false">
      <c r="A253" s="68" t="n">
        <v>250</v>
      </c>
      <c r="B253" s="78"/>
      <c r="C253" s="79"/>
      <c r="D253" s="80"/>
      <c r="E253" s="80"/>
      <c r="F253" s="80"/>
      <c r="G253" s="80"/>
      <c r="H253" s="80"/>
      <c r="I253" s="81"/>
      <c r="J253" s="80"/>
      <c r="K253" s="82"/>
      <c r="L253" s="83"/>
      <c r="M253" s="84"/>
      <c r="N253" s="84"/>
      <c r="O253" s="83"/>
      <c r="P253" s="80"/>
      <c r="Q253" s="80"/>
    </row>
    <row r="254" customFormat="false" ht="15.75" hidden="false" customHeight="true" outlineLevel="0" collapsed="false">
      <c r="A254" s="66" t="n">
        <v>251</v>
      </c>
      <c r="B254" s="70"/>
      <c r="C254" s="71"/>
      <c r="D254" s="72"/>
      <c r="E254" s="72"/>
      <c r="F254" s="72"/>
      <c r="G254" s="72"/>
      <c r="H254" s="72"/>
      <c r="I254" s="73"/>
      <c r="J254" s="72"/>
      <c r="K254" s="74"/>
      <c r="L254" s="75"/>
      <c r="M254" s="76"/>
      <c r="N254" s="76"/>
      <c r="O254" s="75"/>
      <c r="P254" s="72"/>
      <c r="Q254" s="72"/>
    </row>
    <row r="255" customFormat="false" ht="15.75" hidden="false" customHeight="true" outlineLevel="0" collapsed="false">
      <c r="A255" s="68" t="n">
        <v>252</v>
      </c>
      <c r="B255" s="78"/>
      <c r="C255" s="79"/>
      <c r="D255" s="80"/>
      <c r="E255" s="80"/>
      <c r="F255" s="80"/>
      <c r="G255" s="80"/>
      <c r="H255" s="80"/>
      <c r="I255" s="81"/>
      <c r="J255" s="80"/>
      <c r="K255" s="82"/>
      <c r="L255" s="83"/>
      <c r="M255" s="84"/>
      <c r="N255" s="84"/>
      <c r="O255" s="83"/>
      <c r="P255" s="80"/>
      <c r="Q255" s="80"/>
    </row>
    <row r="256" customFormat="false" ht="15.75" hidden="false" customHeight="true" outlineLevel="0" collapsed="false">
      <c r="A256" s="66" t="n">
        <v>253</v>
      </c>
      <c r="B256" s="70"/>
      <c r="C256" s="71"/>
      <c r="D256" s="72"/>
      <c r="E256" s="72"/>
      <c r="F256" s="72"/>
      <c r="G256" s="72"/>
      <c r="H256" s="72"/>
      <c r="I256" s="73"/>
      <c r="J256" s="72"/>
      <c r="K256" s="74"/>
      <c r="L256" s="75"/>
      <c r="M256" s="76"/>
      <c r="N256" s="76"/>
      <c r="O256" s="75"/>
      <c r="P256" s="72"/>
      <c r="Q256" s="72"/>
    </row>
    <row r="257" customFormat="false" ht="15.75" hidden="false" customHeight="true" outlineLevel="0" collapsed="false">
      <c r="A257" s="68" t="n">
        <v>254</v>
      </c>
      <c r="B257" s="78"/>
      <c r="C257" s="79"/>
      <c r="D257" s="80"/>
      <c r="E257" s="80"/>
      <c r="F257" s="80"/>
      <c r="G257" s="80"/>
      <c r="H257" s="80"/>
      <c r="I257" s="81"/>
      <c r="J257" s="80"/>
      <c r="K257" s="82"/>
      <c r="L257" s="83"/>
      <c r="M257" s="84"/>
      <c r="N257" s="84"/>
      <c r="O257" s="83"/>
      <c r="P257" s="80"/>
      <c r="Q257" s="80"/>
    </row>
    <row r="258" customFormat="false" ht="15.75" hidden="false" customHeight="true" outlineLevel="0" collapsed="false">
      <c r="A258" s="66" t="n">
        <v>255</v>
      </c>
      <c r="B258" s="70"/>
      <c r="C258" s="71"/>
      <c r="D258" s="72"/>
      <c r="E258" s="72"/>
      <c r="F258" s="72"/>
      <c r="G258" s="72"/>
      <c r="H258" s="72"/>
      <c r="I258" s="73"/>
      <c r="J258" s="72"/>
      <c r="K258" s="74"/>
      <c r="L258" s="75"/>
      <c r="M258" s="76"/>
      <c r="N258" s="76"/>
      <c r="O258" s="75"/>
      <c r="P258" s="72"/>
      <c r="Q258" s="72"/>
    </row>
    <row r="259" customFormat="false" ht="15.75" hidden="false" customHeight="true" outlineLevel="0" collapsed="false">
      <c r="A259" s="68" t="n">
        <v>256</v>
      </c>
      <c r="B259" s="78"/>
      <c r="C259" s="79"/>
      <c r="D259" s="80"/>
      <c r="E259" s="80"/>
      <c r="F259" s="80"/>
      <c r="G259" s="80"/>
      <c r="H259" s="80"/>
      <c r="I259" s="81"/>
      <c r="J259" s="80"/>
      <c r="K259" s="82"/>
      <c r="L259" s="83"/>
      <c r="M259" s="84"/>
      <c r="N259" s="84"/>
      <c r="O259" s="83"/>
      <c r="P259" s="80"/>
      <c r="Q259" s="80"/>
    </row>
    <row r="260" customFormat="false" ht="15.75" hidden="false" customHeight="true" outlineLevel="0" collapsed="false">
      <c r="A260" s="66" t="n">
        <v>257</v>
      </c>
      <c r="B260" s="70"/>
      <c r="C260" s="71"/>
      <c r="D260" s="72"/>
      <c r="E260" s="72"/>
      <c r="F260" s="72"/>
      <c r="G260" s="72"/>
      <c r="H260" s="72"/>
      <c r="I260" s="73"/>
      <c r="J260" s="72"/>
      <c r="K260" s="74"/>
      <c r="L260" s="75"/>
      <c r="M260" s="76"/>
      <c r="N260" s="76"/>
      <c r="O260" s="75"/>
      <c r="P260" s="72"/>
      <c r="Q260" s="72"/>
    </row>
    <row r="261" customFormat="false" ht="15.75" hidden="false" customHeight="true" outlineLevel="0" collapsed="false">
      <c r="A261" s="68" t="n">
        <v>258</v>
      </c>
      <c r="B261" s="78"/>
      <c r="C261" s="79"/>
      <c r="D261" s="80"/>
      <c r="E261" s="80"/>
      <c r="F261" s="80"/>
      <c r="G261" s="80"/>
      <c r="H261" s="80"/>
      <c r="I261" s="81"/>
      <c r="J261" s="80"/>
      <c r="K261" s="82"/>
      <c r="L261" s="83"/>
      <c r="M261" s="84"/>
      <c r="N261" s="84"/>
      <c r="O261" s="83"/>
      <c r="P261" s="80"/>
      <c r="Q261" s="80"/>
    </row>
    <row r="262" customFormat="false" ht="15.75" hidden="false" customHeight="true" outlineLevel="0" collapsed="false">
      <c r="A262" s="66" t="n">
        <v>259</v>
      </c>
      <c r="B262" s="70"/>
      <c r="C262" s="71"/>
      <c r="D262" s="72"/>
      <c r="E262" s="72"/>
      <c r="F262" s="72"/>
      <c r="G262" s="72"/>
      <c r="H262" s="72"/>
      <c r="I262" s="73"/>
      <c r="J262" s="72"/>
      <c r="K262" s="74"/>
      <c r="L262" s="75"/>
      <c r="M262" s="76"/>
      <c r="N262" s="76"/>
      <c r="O262" s="75"/>
      <c r="P262" s="72"/>
      <c r="Q262" s="72"/>
    </row>
    <row r="263" customFormat="false" ht="15.75" hidden="false" customHeight="true" outlineLevel="0" collapsed="false">
      <c r="A263" s="68" t="n">
        <v>260</v>
      </c>
      <c r="B263" s="78"/>
      <c r="C263" s="79"/>
      <c r="D263" s="80"/>
      <c r="E263" s="80"/>
      <c r="F263" s="80"/>
      <c r="G263" s="80"/>
      <c r="H263" s="80"/>
      <c r="I263" s="81"/>
      <c r="J263" s="80"/>
      <c r="K263" s="82"/>
      <c r="L263" s="83"/>
      <c r="M263" s="84"/>
      <c r="N263" s="84"/>
      <c r="O263" s="83"/>
      <c r="P263" s="80"/>
      <c r="Q263" s="80"/>
    </row>
    <row r="264" customFormat="false" ht="15.75" hidden="false" customHeight="true" outlineLevel="0" collapsed="false">
      <c r="A264" s="66" t="n">
        <v>261</v>
      </c>
      <c r="B264" s="70"/>
      <c r="C264" s="71"/>
      <c r="D264" s="72"/>
      <c r="E264" s="72"/>
      <c r="F264" s="72"/>
      <c r="G264" s="72"/>
      <c r="H264" s="72"/>
      <c r="I264" s="73"/>
      <c r="J264" s="72"/>
      <c r="K264" s="74"/>
      <c r="L264" s="75"/>
      <c r="M264" s="76"/>
      <c r="N264" s="76"/>
      <c r="O264" s="75"/>
      <c r="P264" s="72"/>
      <c r="Q264" s="72"/>
    </row>
    <row r="265" customFormat="false" ht="15.75" hidden="false" customHeight="true" outlineLevel="0" collapsed="false">
      <c r="A265" s="68" t="n">
        <v>262</v>
      </c>
      <c r="B265" s="78"/>
      <c r="C265" s="79"/>
      <c r="D265" s="80"/>
      <c r="E265" s="80"/>
      <c r="F265" s="80"/>
      <c r="G265" s="80"/>
      <c r="H265" s="80"/>
      <c r="I265" s="81"/>
      <c r="J265" s="80"/>
      <c r="K265" s="82"/>
      <c r="L265" s="83"/>
      <c r="M265" s="84"/>
      <c r="N265" s="84"/>
      <c r="O265" s="83"/>
      <c r="P265" s="80"/>
      <c r="Q265" s="80"/>
    </row>
    <row r="266" customFormat="false" ht="15.75" hidden="false" customHeight="true" outlineLevel="0" collapsed="false">
      <c r="A266" s="66" t="n">
        <v>263</v>
      </c>
      <c r="B266" s="70"/>
      <c r="C266" s="71"/>
      <c r="D266" s="72"/>
      <c r="E266" s="72"/>
      <c r="F266" s="72"/>
      <c r="G266" s="72"/>
      <c r="H266" s="72"/>
      <c r="I266" s="73"/>
      <c r="J266" s="72"/>
      <c r="K266" s="74"/>
      <c r="L266" s="75"/>
      <c r="M266" s="76"/>
      <c r="N266" s="76"/>
      <c r="O266" s="75"/>
      <c r="P266" s="72"/>
      <c r="Q266" s="72"/>
    </row>
    <row r="267" customFormat="false" ht="15.75" hidden="false" customHeight="true" outlineLevel="0" collapsed="false">
      <c r="A267" s="68" t="n">
        <v>264</v>
      </c>
      <c r="B267" s="78"/>
      <c r="C267" s="79"/>
      <c r="D267" s="80"/>
      <c r="E267" s="80"/>
      <c r="F267" s="80"/>
      <c r="G267" s="80"/>
      <c r="H267" s="80"/>
      <c r="I267" s="81"/>
      <c r="J267" s="80"/>
      <c r="K267" s="82"/>
      <c r="L267" s="83"/>
      <c r="M267" s="84"/>
      <c r="N267" s="84"/>
      <c r="O267" s="83"/>
      <c r="P267" s="80"/>
      <c r="Q267" s="80"/>
    </row>
    <row r="268" customFormat="false" ht="15.75" hidden="false" customHeight="true" outlineLevel="0" collapsed="false">
      <c r="A268" s="66" t="n">
        <v>265</v>
      </c>
      <c r="B268" s="70"/>
      <c r="C268" s="71"/>
      <c r="D268" s="72"/>
      <c r="E268" s="72"/>
      <c r="F268" s="72"/>
      <c r="G268" s="72"/>
      <c r="H268" s="72"/>
      <c r="I268" s="73"/>
      <c r="J268" s="72"/>
      <c r="K268" s="74"/>
      <c r="L268" s="75"/>
      <c r="M268" s="76"/>
      <c r="N268" s="76"/>
      <c r="O268" s="75"/>
      <c r="P268" s="72"/>
      <c r="Q268" s="72"/>
    </row>
    <row r="269" customFormat="false" ht="15.75" hidden="false" customHeight="true" outlineLevel="0" collapsed="false">
      <c r="A269" s="68" t="n">
        <v>266</v>
      </c>
      <c r="B269" s="78"/>
      <c r="C269" s="79"/>
      <c r="D269" s="80"/>
      <c r="E269" s="80"/>
      <c r="F269" s="80"/>
      <c r="G269" s="80"/>
      <c r="H269" s="80"/>
      <c r="I269" s="81"/>
      <c r="J269" s="80"/>
      <c r="K269" s="82"/>
      <c r="L269" s="83"/>
      <c r="M269" s="84"/>
      <c r="N269" s="84"/>
      <c r="O269" s="83"/>
      <c r="P269" s="80"/>
      <c r="Q269" s="80"/>
    </row>
    <row r="270" customFormat="false" ht="15.75" hidden="false" customHeight="true" outlineLevel="0" collapsed="false">
      <c r="A270" s="66" t="n">
        <v>267</v>
      </c>
      <c r="B270" s="70"/>
      <c r="C270" s="71"/>
      <c r="D270" s="72"/>
      <c r="E270" s="72"/>
      <c r="F270" s="72"/>
      <c r="G270" s="72"/>
      <c r="H270" s="72"/>
      <c r="I270" s="73"/>
      <c r="J270" s="72"/>
      <c r="K270" s="74"/>
      <c r="L270" s="75"/>
      <c r="M270" s="76"/>
      <c r="N270" s="76"/>
      <c r="O270" s="75"/>
      <c r="P270" s="72"/>
      <c r="Q270" s="72"/>
    </row>
    <row r="271" customFormat="false" ht="15.75" hidden="false" customHeight="true" outlineLevel="0" collapsed="false">
      <c r="A271" s="68" t="n">
        <v>268</v>
      </c>
      <c r="B271" s="78"/>
      <c r="C271" s="79"/>
      <c r="D271" s="80"/>
      <c r="E271" s="80"/>
      <c r="F271" s="80"/>
      <c r="G271" s="80"/>
      <c r="H271" s="80"/>
      <c r="I271" s="81"/>
      <c r="J271" s="80"/>
      <c r="K271" s="82"/>
      <c r="L271" s="83"/>
      <c r="M271" s="84"/>
      <c r="N271" s="84"/>
      <c r="O271" s="83"/>
      <c r="P271" s="80"/>
      <c r="Q271" s="80"/>
    </row>
    <row r="272" customFormat="false" ht="15.75" hidden="false" customHeight="true" outlineLevel="0" collapsed="false">
      <c r="A272" s="66" t="n">
        <v>269</v>
      </c>
      <c r="B272" s="70"/>
      <c r="C272" s="71"/>
      <c r="D272" s="72"/>
      <c r="E272" s="72"/>
      <c r="F272" s="72"/>
      <c r="G272" s="72"/>
      <c r="H272" s="72"/>
      <c r="I272" s="73"/>
      <c r="J272" s="72"/>
      <c r="K272" s="74"/>
      <c r="L272" s="75"/>
      <c r="M272" s="76"/>
      <c r="N272" s="76"/>
      <c r="O272" s="75"/>
      <c r="P272" s="72"/>
      <c r="Q272" s="72"/>
    </row>
    <row r="273" customFormat="false" ht="15.75" hidden="false" customHeight="true" outlineLevel="0" collapsed="false">
      <c r="A273" s="68" t="n">
        <v>270</v>
      </c>
      <c r="B273" s="78"/>
      <c r="C273" s="79"/>
      <c r="D273" s="80"/>
      <c r="E273" s="80"/>
      <c r="F273" s="80"/>
      <c r="G273" s="80"/>
      <c r="H273" s="80"/>
      <c r="I273" s="81"/>
      <c r="J273" s="80"/>
      <c r="K273" s="82"/>
      <c r="L273" s="83"/>
      <c r="M273" s="84"/>
      <c r="N273" s="84"/>
      <c r="O273" s="83"/>
      <c r="P273" s="80"/>
      <c r="Q273" s="80"/>
    </row>
    <row r="274" customFormat="false" ht="15.75" hidden="false" customHeight="true" outlineLevel="0" collapsed="false">
      <c r="A274" s="66" t="n">
        <v>271</v>
      </c>
      <c r="B274" s="70"/>
      <c r="C274" s="71"/>
      <c r="D274" s="72"/>
      <c r="E274" s="72"/>
      <c r="F274" s="72"/>
      <c r="G274" s="72"/>
      <c r="H274" s="72"/>
      <c r="I274" s="73"/>
      <c r="J274" s="72"/>
      <c r="K274" s="74"/>
      <c r="L274" s="75"/>
      <c r="M274" s="76"/>
      <c r="N274" s="76"/>
      <c r="O274" s="75"/>
      <c r="P274" s="72"/>
      <c r="Q274" s="72"/>
    </row>
    <row r="275" customFormat="false" ht="15.75" hidden="false" customHeight="true" outlineLevel="0" collapsed="false">
      <c r="A275" s="68" t="n">
        <v>272</v>
      </c>
      <c r="B275" s="78"/>
      <c r="C275" s="79"/>
      <c r="D275" s="80"/>
      <c r="E275" s="80"/>
      <c r="F275" s="80"/>
      <c r="G275" s="80"/>
      <c r="H275" s="80"/>
      <c r="I275" s="81"/>
      <c r="J275" s="80"/>
      <c r="K275" s="82"/>
      <c r="L275" s="83"/>
      <c r="M275" s="84"/>
      <c r="N275" s="84"/>
      <c r="O275" s="83"/>
      <c r="P275" s="80"/>
      <c r="Q275" s="80"/>
    </row>
    <row r="276" customFormat="false" ht="15.75" hidden="false" customHeight="true" outlineLevel="0" collapsed="false">
      <c r="A276" s="66" t="n">
        <v>273</v>
      </c>
      <c r="B276" s="70"/>
      <c r="C276" s="71"/>
      <c r="D276" s="72"/>
      <c r="E276" s="72"/>
      <c r="F276" s="72"/>
      <c r="G276" s="72"/>
      <c r="H276" s="72"/>
      <c r="I276" s="73"/>
      <c r="J276" s="72"/>
      <c r="K276" s="74"/>
      <c r="L276" s="75"/>
      <c r="M276" s="76"/>
      <c r="N276" s="76"/>
      <c r="O276" s="75"/>
      <c r="P276" s="72"/>
      <c r="Q276" s="72"/>
    </row>
    <row r="277" customFormat="false" ht="15.75" hidden="false" customHeight="true" outlineLevel="0" collapsed="false">
      <c r="A277" s="68" t="n">
        <v>274</v>
      </c>
      <c r="B277" s="78"/>
      <c r="C277" s="79"/>
      <c r="D277" s="80"/>
      <c r="E277" s="80"/>
      <c r="F277" s="80"/>
      <c r="G277" s="80"/>
      <c r="H277" s="80"/>
      <c r="I277" s="81"/>
      <c r="J277" s="80"/>
      <c r="K277" s="82"/>
      <c r="L277" s="83"/>
      <c r="M277" s="84"/>
      <c r="N277" s="84"/>
      <c r="O277" s="83"/>
      <c r="P277" s="80"/>
      <c r="Q277" s="80"/>
    </row>
    <row r="278" customFormat="false" ht="15.75" hidden="false" customHeight="true" outlineLevel="0" collapsed="false">
      <c r="A278" s="66" t="n">
        <v>275</v>
      </c>
      <c r="B278" s="70"/>
      <c r="C278" s="71"/>
      <c r="D278" s="72"/>
      <c r="E278" s="72"/>
      <c r="F278" s="72"/>
      <c r="G278" s="72"/>
      <c r="H278" s="72"/>
      <c r="I278" s="73"/>
      <c r="J278" s="72"/>
      <c r="K278" s="74"/>
      <c r="L278" s="75"/>
      <c r="M278" s="76"/>
      <c r="N278" s="76"/>
      <c r="O278" s="75"/>
      <c r="P278" s="72"/>
      <c r="Q278" s="72"/>
    </row>
    <row r="279" customFormat="false" ht="15.75" hidden="false" customHeight="true" outlineLevel="0" collapsed="false">
      <c r="A279" s="68" t="n">
        <v>276</v>
      </c>
      <c r="B279" s="78"/>
      <c r="C279" s="79"/>
      <c r="D279" s="80"/>
      <c r="E279" s="80"/>
      <c r="F279" s="80"/>
      <c r="G279" s="80"/>
      <c r="H279" s="80"/>
      <c r="I279" s="81"/>
      <c r="J279" s="80"/>
      <c r="K279" s="82"/>
      <c r="L279" s="83"/>
      <c r="M279" s="84"/>
      <c r="N279" s="84"/>
      <c r="O279" s="83"/>
      <c r="P279" s="80"/>
      <c r="Q279" s="80"/>
    </row>
    <row r="280" customFormat="false" ht="15.75" hidden="false" customHeight="true" outlineLevel="0" collapsed="false">
      <c r="A280" s="66" t="n">
        <v>277</v>
      </c>
      <c r="B280" s="70"/>
      <c r="C280" s="71"/>
      <c r="D280" s="72"/>
      <c r="E280" s="72"/>
      <c r="F280" s="72"/>
      <c r="G280" s="72"/>
      <c r="H280" s="72"/>
      <c r="I280" s="73"/>
      <c r="J280" s="72"/>
      <c r="K280" s="74"/>
      <c r="L280" s="75"/>
      <c r="M280" s="76"/>
      <c r="N280" s="76"/>
      <c r="O280" s="75"/>
      <c r="P280" s="72"/>
      <c r="Q280" s="72"/>
    </row>
    <row r="281" customFormat="false" ht="15.75" hidden="false" customHeight="true" outlineLevel="0" collapsed="false">
      <c r="A281" s="68" t="n">
        <v>278</v>
      </c>
      <c r="B281" s="78"/>
      <c r="C281" s="79"/>
      <c r="D281" s="80"/>
      <c r="E281" s="80"/>
      <c r="F281" s="80"/>
      <c r="G281" s="80"/>
      <c r="H281" s="80"/>
      <c r="I281" s="81"/>
      <c r="J281" s="80"/>
      <c r="K281" s="82"/>
      <c r="L281" s="83"/>
      <c r="M281" s="84"/>
      <c r="N281" s="84"/>
      <c r="O281" s="83"/>
      <c r="P281" s="80"/>
      <c r="Q281" s="80"/>
    </row>
    <row r="282" customFormat="false" ht="15.75" hidden="false" customHeight="true" outlineLevel="0" collapsed="false">
      <c r="A282" s="66" t="n">
        <v>279</v>
      </c>
      <c r="B282" s="70"/>
      <c r="C282" s="71"/>
      <c r="D282" s="72"/>
      <c r="E282" s="72"/>
      <c r="F282" s="72"/>
      <c r="G282" s="72"/>
      <c r="H282" s="72"/>
      <c r="I282" s="73"/>
      <c r="J282" s="72"/>
      <c r="K282" s="74"/>
      <c r="L282" s="75"/>
      <c r="M282" s="76"/>
      <c r="N282" s="76"/>
      <c r="O282" s="75"/>
      <c r="P282" s="72"/>
      <c r="Q282" s="72"/>
    </row>
    <row r="283" customFormat="false" ht="15.75" hidden="false" customHeight="true" outlineLevel="0" collapsed="false">
      <c r="A283" s="68" t="n">
        <v>280</v>
      </c>
      <c r="B283" s="78"/>
      <c r="C283" s="79"/>
      <c r="D283" s="80"/>
      <c r="E283" s="80"/>
      <c r="F283" s="80"/>
      <c r="G283" s="80"/>
      <c r="H283" s="80"/>
      <c r="I283" s="81"/>
      <c r="J283" s="80"/>
      <c r="K283" s="82"/>
      <c r="L283" s="83"/>
      <c r="M283" s="84"/>
      <c r="N283" s="84"/>
      <c r="O283" s="83"/>
      <c r="P283" s="80"/>
      <c r="Q283" s="80"/>
    </row>
    <row r="284" customFormat="false" ht="15.75" hidden="false" customHeight="true" outlineLevel="0" collapsed="false">
      <c r="A284" s="66" t="n">
        <v>281</v>
      </c>
      <c r="B284" s="70"/>
      <c r="C284" s="71"/>
      <c r="D284" s="72"/>
      <c r="E284" s="72"/>
      <c r="F284" s="72"/>
      <c r="G284" s="72"/>
      <c r="H284" s="72"/>
      <c r="I284" s="73"/>
      <c r="J284" s="72"/>
      <c r="K284" s="74"/>
      <c r="L284" s="75"/>
      <c r="M284" s="76"/>
      <c r="N284" s="76"/>
      <c r="O284" s="75"/>
      <c r="P284" s="72"/>
      <c r="Q284" s="72"/>
    </row>
    <row r="285" customFormat="false" ht="15.75" hidden="false" customHeight="true" outlineLevel="0" collapsed="false">
      <c r="A285" s="68" t="n">
        <v>282</v>
      </c>
      <c r="B285" s="78"/>
      <c r="C285" s="79"/>
      <c r="D285" s="80"/>
      <c r="E285" s="80"/>
      <c r="F285" s="80"/>
      <c r="G285" s="80"/>
      <c r="H285" s="80"/>
      <c r="I285" s="81"/>
      <c r="J285" s="80"/>
      <c r="K285" s="82"/>
      <c r="L285" s="83"/>
      <c r="M285" s="84"/>
      <c r="N285" s="84"/>
      <c r="O285" s="83"/>
      <c r="P285" s="80"/>
      <c r="Q285" s="80"/>
    </row>
    <row r="286" customFormat="false" ht="15.75" hidden="false" customHeight="true" outlineLevel="0" collapsed="false">
      <c r="A286" s="66" t="n">
        <v>283</v>
      </c>
      <c r="B286" s="70"/>
      <c r="C286" s="71"/>
      <c r="D286" s="72"/>
      <c r="E286" s="72"/>
      <c r="F286" s="72"/>
      <c r="G286" s="72"/>
      <c r="H286" s="72"/>
      <c r="I286" s="73"/>
      <c r="J286" s="72"/>
      <c r="K286" s="74"/>
      <c r="L286" s="75"/>
      <c r="M286" s="76"/>
      <c r="N286" s="76"/>
      <c r="O286" s="75"/>
      <c r="P286" s="72"/>
      <c r="Q286" s="72"/>
    </row>
    <row r="287" customFormat="false" ht="15.75" hidden="false" customHeight="true" outlineLevel="0" collapsed="false">
      <c r="A287" s="68" t="n">
        <v>284</v>
      </c>
      <c r="B287" s="78"/>
      <c r="C287" s="79"/>
      <c r="D287" s="80"/>
      <c r="E287" s="80"/>
      <c r="F287" s="80"/>
      <c r="G287" s="80"/>
      <c r="H287" s="80"/>
      <c r="I287" s="81"/>
      <c r="J287" s="80"/>
      <c r="K287" s="82"/>
      <c r="L287" s="83"/>
      <c r="M287" s="84"/>
      <c r="N287" s="84"/>
      <c r="O287" s="83"/>
      <c r="P287" s="80"/>
      <c r="Q287" s="80"/>
    </row>
    <row r="288" customFormat="false" ht="15.75" hidden="false" customHeight="true" outlineLevel="0" collapsed="false">
      <c r="A288" s="66" t="n">
        <v>285</v>
      </c>
      <c r="B288" s="70"/>
      <c r="C288" s="71"/>
      <c r="D288" s="72"/>
      <c r="E288" s="72"/>
      <c r="F288" s="72"/>
      <c r="G288" s="72"/>
      <c r="H288" s="72"/>
      <c r="I288" s="73"/>
      <c r="J288" s="72"/>
      <c r="K288" s="74"/>
      <c r="L288" s="75"/>
      <c r="M288" s="76"/>
      <c r="N288" s="76"/>
      <c r="O288" s="75"/>
      <c r="P288" s="72"/>
      <c r="Q288" s="72"/>
    </row>
    <row r="289" customFormat="false" ht="15.75" hidden="false" customHeight="true" outlineLevel="0" collapsed="false">
      <c r="A289" s="68" t="n">
        <v>286</v>
      </c>
      <c r="B289" s="78"/>
      <c r="C289" s="79"/>
      <c r="D289" s="80"/>
      <c r="E289" s="80"/>
      <c r="F289" s="80"/>
      <c r="G289" s="80"/>
      <c r="H289" s="80"/>
      <c r="I289" s="81"/>
      <c r="J289" s="80"/>
      <c r="K289" s="82"/>
      <c r="L289" s="83"/>
      <c r="M289" s="84"/>
      <c r="N289" s="84"/>
      <c r="O289" s="83"/>
      <c r="P289" s="80"/>
      <c r="Q289" s="80"/>
    </row>
    <row r="290" customFormat="false" ht="15.75" hidden="false" customHeight="true" outlineLevel="0" collapsed="false">
      <c r="A290" s="66" t="n">
        <v>287</v>
      </c>
      <c r="B290" s="70"/>
      <c r="C290" s="71"/>
      <c r="D290" s="72"/>
      <c r="E290" s="72"/>
      <c r="F290" s="72"/>
      <c r="G290" s="72"/>
      <c r="H290" s="72"/>
      <c r="I290" s="73"/>
      <c r="J290" s="72"/>
      <c r="K290" s="74"/>
      <c r="L290" s="75"/>
      <c r="M290" s="76"/>
      <c r="N290" s="76"/>
      <c r="O290" s="75"/>
      <c r="P290" s="72"/>
      <c r="Q290" s="72"/>
    </row>
    <row r="291" customFormat="false" ht="15.75" hidden="false" customHeight="true" outlineLevel="0" collapsed="false">
      <c r="A291" s="68" t="n">
        <v>288</v>
      </c>
      <c r="B291" s="78"/>
      <c r="C291" s="79"/>
      <c r="D291" s="80"/>
      <c r="E291" s="80"/>
      <c r="F291" s="80"/>
      <c r="G291" s="80"/>
      <c r="H291" s="80"/>
      <c r="I291" s="81"/>
      <c r="J291" s="80"/>
      <c r="K291" s="82"/>
      <c r="L291" s="83"/>
      <c r="M291" s="84"/>
      <c r="N291" s="84"/>
      <c r="O291" s="83"/>
      <c r="P291" s="80"/>
      <c r="Q291" s="80"/>
    </row>
    <row r="292" customFormat="false" ht="15.75" hidden="false" customHeight="true" outlineLevel="0" collapsed="false">
      <c r="A292" s="66" t="n">
        <v>289</v>
      </c>
      <c r="B292" s="70"/>
      <c r="C292" s="71"/>
      <c r="D292" s="72"/>
      <c r="E292" s="72"/>
      <c r="F292" s="72"/>
      <c r="G292" s="72"/>
      <c r="H292" s="72"/>
      <c r="I292" s="73"/>
      <c r="J292" s="72"/>
      <c r="K292" s="74"/>
      <c r="L292" s="75"/>
      <c r="M292" s="76"/>
      <c r="N292" s="76"/>
      <c r="O292" s="75"/>
      <c r="P292" s="72"/>
      <c r="Q292" s="72"/>
    </row>
    <row r="293" customFormat="false" ht="15.75" hidden="false" customHeight="true" outlineLevel="0" collapsed="false">
      <c r="A293" s="68" t="n">
        <v>290</v>
      </c>
      <c r="B293" s="78"/>
      <c r="C293" s="79"/>
      <c r="D293" s="80"/>
      <c r="E293" s="80"/>
      <c r="F293" s="80"/>
      <c r="G293" s="80"/>
      <c r="H293" s="80"/>
      <c r="I293" s="81"/>
      <c r="J293" s="80"/>
      <c r="K293" s="82"/>
      <c r="L293" s="83"/>
      <c r="M293" s="84"/>
      <c r="N293" s="84"/>
      <c r="O293" s="83"/>
      <c r="P293" s="80"/>
      <c r="Q293" s="80"/>
    </row>
    <row r="294" customFormat="false" ht="15.75" hidden="false" customHeight="true" outlineLevel="0" collapsed="false">
      <c r="A294" s="66" t="n">
        <v>291</v>
      </c>
      <c r="B294" s="70"/>
      <c r="C294" s="71"/>
      <c r="D294" s="72"/>
      <c r="E294" s="72"/>
      <c r="F294" s="72"/>
      <c r="G294" s="72"/>
      <c r="H294" s="72"/>
      <c r="I294" s="73"/>
      <c r="J294" s="72"/>
      <c r="K294" s="74"/>
      <c r="L294" s="75"/>
      <c r="M294" s="76"/>
      <c r="N294" s="76"/>
      <c r="O294" s="75"/>
      <c r="P294" s="72"/>
      <c r="Q294" s="72"/>
    </row>
    <row r="295" customFormat="false" ht="15.75" hidden="false" customHeight="true" outlineLevel="0" collapsed="false">
      <c r="A295" s="68" t="n">
        <v>292</v>
      </c>
      <c r="B295" s="78"/>
      <c r="C295" s="79"/>
      <c r="D295" s="80"/>
      <c r="E295" s="80"/>
      <c r="F295" s="80"/>
      <c r="G295" s="80"/>
      <c r="H295" s="80"/>
      <c r="I295" s="81"/>
      <c r="J295" s="80"/>
      <c r="K295" s="82"/>
      <c r="L295" s="83"/>
      <c r="M295" s="84"/>
      <c r="N295" s="84"/>
      <c r="O295" s="83"/>
      <c r="P295" s="80"/>
      <c r="Q295" s="80"/>
    </row>
    <row r="296" customFormat="false" ht="15.75" hidden="false" customHeight="true" outlineLevel="0" collapsed="false">
      <c r="A296" s="66" t="n">
        <v>293</v>
      </c>
      <c r="B296" s="70"/>
      <c r="C296" s="71"/>
      <c r="D296" s="72"/>
      <c r="E296" s="72"/>
      <c r="F296" s="72"/>
      <c r="G296" s="72"/>
      <c r="H296" s="72"/>
      <c r="I296" s="73"/>
      <c r="J296" s="72"/>
      <c r="K296" s="74"/>
      <c r="L296" s="75"/>
      <c r="M296" s="76"/>
      <c r="N296" s="76"/>
      <c r="O296" s="75"/>
      <c r="P296" s="72"/>
      <c r="Q296" s="72"/>
    </row>
    <row r="297" customFormat="false" ht="15.75" hidden="false" customHeight="true" outlineLevel="0" collapsed="false">
      <c r="A297" s="68" t="n">
        <v>294</v>
      </c>
      <c r="B297" s="78"/>
      <c r="C297" s="79"/>
      <c r="D297" s="80"/>
      <c r="E297" s="80"/>
      <c r="F297" s="80"/>
      <c r="G297" s="80"/>
      <c r="H297" s="80"/>
      <c r="I297" s="81"/>
      <c r="J297" s="80"/>
      <c r="K297" s="82"/>
      <c r="L297" s="83"/>
      <c r="M297" s="84"/>
      <c r="N297" s="84"/>
      <c r="O297" s="83"/>
      <c r="P297" s="80"/>
      <c r="Q297" s="80"/>
    </row>
    <row r="298" customFormat="false" ht="15.75" hidden="false" customHeight="true" outlineLevel="0" collapsed="false">
      <c r="A298" s="66" t="n">
        <v>295</v>
      </c>
      <c r="B298" s="70"/>
      <c r="C298" s="71"/>
      <c r="D298" s="72"/>
      <c r="E298" s="72"/>
      <c r="F298" s="72"/>
      <c r="G298" s="72"/>
      <c r="H298" s="72"/>
      <c r="I298" s="73"/>
      <c r="J298" s="72"/>
      <c r="K298" s="74"/>
      <c r="L298" s="75"/>
      <c r="M298" s="76"/>
      <c r="N298" s="76"/>
      <c r="O298" s="75"/>
      <c r="P298" s="72"/>
      <c r="Q298" s="72"/>
    </row>
    <row r="299" customFormat="false" ht="15.75" hidden="false" customHeight="true" outlineLevel="0" collapsed="false">
      <c r="A299" s="68" t="n">
        <v>296</v>
      </c>
      <c r="B299" s="78"/>
      <c r="C299" s="79"/>
      <c r="D299" s="80"/>
      <c r="E299" s="80"/>
      <c r="F299" s="80"/>
      <c r="G299" s="80"/>
      <c r="H299" s="80"/>
      <c r="I299" s="81"/>
      <c r="J299" s="80"/>
      <c r="K299" s="82"/>
      <c r="L299" s="83"/>
      <c r="M299" s="84"/>
      <c r="N299" s="84"/>
      <c r="O299" s="83"/>
      <c r="P299" s="80"/>
      <c r="Q299" s="80"/>
    </row>
    <row r="300" customFormat="false" ht="15.75" hidden="false" customHeight="true" outlineLevel="0" collapsed="false">
      <c r="A300" s="66" t="n">
        <v>297</v>
      </c>
      <c r="B300" s="70"/>
      <c r="C300" s="71"/>
      <c r="D300" s="72"/>
      <c r="E300" s="72"/>
      <c r="F300" s="72"/>
      <c r="G300" s="72"/>
      <c r="H300" s="72"/>
      <c r="I300" s="73"/>
      <c r="J300" s="72"/>
      <c r="K300" s="74"/>
      <c r="L300" s="75"/>
      <c r="M300" s="76"/>
      <c r="N300" s="76"/>
      <c r="O300" s="75"/>
      <c r="P300" s="72"/>
      <c r="Q300" s="72"/>
    </row>
    <row r="301" customFormat="false" ht="15.75" hidden="false" customHeight="true" outlineLevel="0" collapsed="false">
      <c r="A301" s="68" t="n">
        <v>298</v>
      </c>
      <c r="B301" s="78"/>
      <c r="C301" s="79"/>
      <c r="D301" s="80"/>
      <c r="E301" s="80"/>
      <c r="F301" s="80"/>
      <c r="G301" s="80"/>
      <c r="H301" s="80"/>
      <c r="I301" s="81"/>
      <c r="J301" s="80"/>
      <c r="K301" s="82"/>
      <c r="L301" s="83"/>
      <c r="M301" s="84"/>
      <c r="N301" s="84"/>
      <c r="O301" s="83"/>
      <c r="P301" s="80"/>
      <c r="Q301" s="80"/>
    </row>
    <row r="302" customFormat="false" ht="15.75" hidden="false" customHeight="true" outlineLevel="0" collapsed="false">
      <c r="A302" s="66" t="n">
        <v>299</v>
      </c>
      <c r="B302" s="70"/>
      <c r="C302" s="71"/>
      <c r="D302" s="72"/>
      <c r="E302" s="72"/>
      <c r="F302" s="72"/>
      <c r="G302" s="72"/>
      <c r="H302" s="72"/>
      <c r="I302" s="73"/>
      <c r="J302" s="72"/>
      <c r="K302" s="74"/>
      <c r="L302" s="75"/>
      <c r="M302" s="76"/>
      <c r="N302" s="76"/>
      <c r="O302" s="75"/>
      <c r="P302" s="72"/>
      <c r="Q302" s="72"/>
    </row>
    <row r="303" customFormat="false" ht="15.75" hidden="false" customHeight="true" outlineLevel="0" collapsed="false">
      <c r="A303" s="68" t="n">
        <v>300</v>
      </c>
      <c r="B303" s="78"/>
      <c r="C303" s="79"/>
      <c r="D303" s="80"/>
      <c r="E303" s="80"/>
      <c r="F303" s="80"/>
      <c r="G303" s="80"/>
      <c r="H303" s="80"/>
      <c r="I303" s="81"/>
      <c r="J303" s="80"/>
      <c r="K303" s="82"/>
      <c r="L303" s="83"/>
      <c r="M303" s="84"/>
      <c r="N303" s="84"/>
      <c r="O303" s="83"/>
      <c r="P303" s="80"/>
      <c r="Q303" s="80"/>
    </row>
    <row r="304" customFormat="false" ht="15.75" hidden="false" customHeight="true" outlineLevel="0" collapsed="false">
      <c r="A304" s="66" t="n">
        <v>301</v>
      </c>
      <c r="B304" s="70"/>
      <c r="C304" s="71"/>
      <c r="D304" s="72"/>
      <c r="E304" s="72"/>
      <c r="F304" s="72"/>
      <c r="G304" s="72"/>
      <c r="H304" s="72"/>
      <c r="I304" s="73"/>
      <c r="J304" s="72"/>
      <c r="K304" s="74"/>
      <c r="L304" s="75"/>
      <c r="M304" s="76"/>
      <c r="N304" s="76"/>
      <c r="O304" s="75"/>
      <c r="P304" s="72"/>
      <c r="Q304" s="72"/>
    </row>
    <row r="305" customFormat="false" ht="15.75" hidden="false" customHeight="true" outlineLevel="0" collapsed="false">
      <c r="A305" s="68" t="n">
        <v>302</v>
      </c>
      <c r="B305" s="78"/>
      <c r="C305" s="79"/>
      <c r="D305" s="80"/>
      <c r="E305" s="80"/>
      <c r="F305" s="80"/>
      <c r="G305" s="80"/>
      <c r="H305" s="80"/>
      <c r="I305" s="81"/>
      <c r="J305" s="80"/>
      <c r="K305" s="82"/>
      <c r="L305" s="83"/>
      <c r="M305" s="84"/>
      <c r="N305" s="84"/>
      <c r="O305" s="83"/>
      <c r="P305" s="80"/>
      <c r="Q305" s="80"/>
    </row>
    <row r="306" customFormat="false" ht="15.75" hidden="false" customHeight="true" outlineLevel="0" collapsed="false">
      <c r="A306" s="66" t="n">
        <v>303</v>
      </c>
      <c r="B306" s="70"/>
      <c r="C306" s="71"/>
      <c r="D306" s="72"/>
      <c r="E306" s="72"/>
      <c r="F306" s="72"/>
      <c r="G306" s="72"/>
      <c r="H306" s="72"/>
      <c r="I306" s="73"/>
      <c r="J306" s="72"/>
      <c r="K306" s="74"/>
      <c r="L306" s="75"/>
      <c r="M306" s="76"/>
      <c r="N306" s="76"/>
      <c r="O306" s="75"/>
      <c r="P306" s="72"/>
      <c r="Q306" s="72"/>
    </row>
    <row r="307" customFormat="false" ht="15.75" hidden="false" customHeight="true" outlineLevel="0" collapsed="false">
      <c r="A307" s="68" t="n">
        <v>304</v>
      </c>
      <c r="B307" s="78"/>
      <c r="C307" s="79"/>
      <c r="D307" s="80"/>
      <c r="E307" s="80"/>
      <c r="F307" s="80"/>
      <c r="G307" s="80"/>
      <c r="H307" s="80"/>
      <c r="I307" s="81"/>
      <c r="J307" s="80"/>
      <c r="K307" s="82"/>
      <c r="L307" s="83"/>
      <c r="M307" s="84"/>
      <c r="N307" s="84"/>
      <c r="O307" s="83"/>
      <c r="P307" s="80"/>
      <c r="Q307" s="80"/>
    </row>
    <row r="308" customFormat="false" ht="15.75" hidden="false" customHeight="true" outlineLevel="0" collapsed="false">
      <c r="A308" s="66" t="n">
        <v>305</v>
      </c>
      <c r="B308" s="70"/>
      <c r="C308" s="71"/>
      <c r="D308" s="72"/>
      <c r="E308" s="72"/>
      <c r="F308" s="72"/>
      <c r="G308" s="72"/>
      <c r="H308" s="72"/>
      <c r="I308" s="73"/>
      <c r="J308" s="72"/>
      <c r="K308" s="74"/>
      <c r="L308" s="75"/>
      <c r="M308" s="76"/>
      <c r="N308" s="76"/>
      <c r="O308" s="75"/>
      <c r="P308" s="72"/>
      <c r="Q308" s="72"/>
    </row>
    <row r="309" customFormat="false" ht="15.75" hidden="false" customHeight="true" outlineLevel="0" collapsed="false">
      <c r="A309" s="68" t="n">
        <v>306</v>
      </c>
      <c r="B309" s="78"/>
      <c r="C309" s="79"/>
      <c r="D309" s="80"/>
      <c r="E309" s="80"/>
      <c r="F309" s="80"/>
      <c r="G309" s="80"/>
      <c r="H309" s="80"/>
      <c r="I309" s="81"/>
      <c r="J309" s="80"/>
      <c r="K309" s="82"/>
      <c r="L309" s="83"/>
      <c r="M309" s="84"/>
      <c r="N309" s="84"/>
      <c r="O309" s="83"/>
      <c r="P309" s="80"/>
      <c r="Q309" s="80"/>
    </row>
    <row r="310" customFormat="false" ht="15.75" hidden="false" customHeight="true" outlineLevel="0" collapsed="false">
      <c r="A310" s="66" t="n">
        <v>307</v>
      </c>
      <c r="B310" s="70"/>
      <c r="C310" s="71"/>
      <c r="D310" s="72"/>
      <c r="E310" s="72"/>
      <c r="F310" s="72"/>
      <c r="G310" s="72"/>
      <c r="H310" s="72"/>
      <c r="I310" s="73"/>
      <c r="J310" s="72"/>
      <c r="K310" s="74"/>
      <c r="L310" s="75"/>
      <c r="M310" s="76"/>
      <c r="N310" s="76"/>
      <c r="O310" s="75"/>
      <c r="P310" s="72"/>
      <c r="Q310" s="72"/>
    </row>
    <row r="311" customFormat="false" ht="15.75" hidden="false" customHeight="true" outlineLevel="0" collapsed="false">
      <c r="A311" s="68" t="n">
        <v>308</v>
      </c>
      <c r="B311" s="78"/>
      <c r="C311" s="79"/>
      <c r="D311" s="80"/>
      <c r="E311" s="80"/>
      <c r="F311" s="80"/>
      <c r="G311" s="80"/>
      <c r="H311" s="80"/>
      <c r="I311" s="81"/>
      <c r="J311" s="80"/>
      <c r="K311" s="82"/>
      <c r="L311" s="83"/>
      <c r="M311" s="84"/>
      <c r="N311" s="84"/>
      <c r="O311" s="83"/>
      <c r="P311" s="80"/>
      <c r="Q311" s="80"/>
    </row>
    <row r="312" customFormat="false" ht="15.75" hidden="false" customHeight="true" outlineLevel="0" collapsed="false">
      <c r="A312" s="66" t="n">
        <v>309</v>
      </c>
      <c r="B312" s="70"/>
      <c r="C312" s="71"/>
      <c r="D312" s="72"/>
      <c r="E312" s="72"/>
      <c r="F312" s="72"/>
      <c r="G312" s="72"/>
      <c r="H312" s="72"/>
      <c r="I312" s="73"/>
      <c r="J312" s="72"/>
      <c r="K312" s="74"/>
      <c r="L312" s="75"/>
      <c r="M312" s="76"/>
      <c r="N312" s="76"/>
      <c r="O312" s="75"/>
      <c r="P312" s="72"/>
      <c r="Q312" s="72"/>
    </row>
    <row r="313" customFormat="false" ht="15.75" hidden="false" customHeight="true" outlineLevel="0" collapsed="false">
      <c r="A313" s="68" t="n">
        <v>310</v>
      </c>
      <c r="B313" s="78"/>
      <c r="C313" s="79"/>
      <c r="D313" s="80"/>
      <c r="E313" s="80"/>
      <c r="F313" s="80"/>
      <c r="G313" s="80"/>
      <c r="H313" s="80"/>
      <c r="I313" s="81"/>
      <c r="J313" s="80"/>
      <c r="K313" s="82"/>
      <c r="L313" s="83"/>
      <c r="M313" s="84"/>
      <c r="N313" s="84"/>
      <c r="O313" s="83"/>
      <c r="P313" s="80"/>
      <c r="Q313" s="80"/>
    </row>
    <row r="314" customFormat="false" ht="15.75" hidden="false" customHeight="true" outlineLevel="0" collapsed="false">
      <c r="A314" s="66" t="n">
        <v>311</v>
      </c>
      <c r="B314" s="70"/>
      <c r="C314" s="71"/>
      <c r="D314" s="72"/>
      <c r="E314" s="72"/>
      <c r="F314" s="72"/>
      <c r="G314" s="72"/>
      <c r="H314" s="72"/>
      <c r="I314" s="73"/>
      <c r="J314" s="72"/>
      <c r="K314" s="74"/>
      <c r="L314" s="75"/>
      <c r="M314" s="76"/>
      <c r="N314" s="76"/>
      <c r="O314" s="75"/>
      <c r="P314" s="72"/>
      <c r="Q314" s="72"/>
    </row>
    <row r="315" customFormat="false" ht="15.75" hidden="false" customHeight="true" outlineLevel="0" collapsed="false">
      <c r="A315" s="68" t="n">
        <v>312</v>
      </c>
      <c r="B315" s="78"/>
      <c r="C315" s="79"/>
      <c r="D315" s="80"/>
      <c r="E315" s="80"/>
      <c r="F315" s="80"/>
      <c r="G315" s="80"/>
      <c r="H315" s="80"/>
      <c r="I315" s="81"/>
      <c r="J315" s="80"/>
      <c r="K315" s="82"/>
      <c r="L315" s="83"/>
      <c r="M315" s="84"/>
      <c r="N315" s="84"/>
      <c r="O315" s="83"/>
      <c r="P315" s="80"/>
      <c r="Q315" s="80"/>
    </row>
    <row r="316" customFormat="false" ht="15.75" hidden="false" customHeight="true" outlineLevel="0" collapsed="false">
      <c r="A316" s="66" t="n">
        <v>313</v>
      </c>
      <c r="B316" s="70"/>
      <c r="C316" s="71"/>
      <c r="D316" s="72"/>
      <c r="E316" s="72"/>
      <c r="F316" s="72"/>
      <c r="G316" s="72"/>
      <c r="H316" s="72"/>
      <c r="I316" s="73"/>
      <c r="J316" s="72"/>
      <c r="K316" s="74"/>
      <c r="L316" s="75"/>
      <c r="M316" s="76"/>
      <c r="N316" s="76"/>
      <c r="O316" s="75"/>
      <c r="P316" s="72"/>
      <c r="Q316" s="72"/>
    </row>
    <row r="317" customFormat="false" ht="15.75" hidden="false" customHeight="true" outlineLevel="0" collapsed="false">
      <c r="A317" s="68" t="n">
        <v>314</v>
      </c>
      <c r="B317" s="78"/>
      <c r="C317" s="79"/>
      <c r="D317" s="80"/>
      <c r="E317" s="80"/>
      <c r="F317" s="80"/>
      <c r="G317" s="80"/>
      <c r="H317" s="80"/>
      <c r="I317" s="81"/>
      <c r="J317" s="80"/>
      <c r="K317" s="82"/>
      <c r="L317" s="83"/>
      <c r="M317" s="84"/>
      <c r="N317" s="84"/>
      <c r="O317" s="83"/>
      <c r="P317" s="80"/>
      <c r="Q317" s="80"/>
    </row>
    <row r="318" customFormat="false" ht="15.75" hidden="false" customHeight="true" outlineLevel="0" collapsed="false">
      <c r="A318" s="66" t="n">
        <v>315</v>
      </c>
      <c r="B318" s="70"/>
      <c r="C318" s="71"/>
      <c r="D318" s="72"/>
      <c r="E318" s="72"/>
      <c r="F318" s="72"/>
      <c r="G318" s="72"/>
      <c r="H318" s="72"/>
      <c r="I318" s="73"/>
      <c r="J318" s="72"/>
      <c r="K318" s="74"/>
      <c r="L318" s="75"/>
      <c r="M318" s="76"/>
      <c r="N318" s="76"/>
      <c r="O318" s="75"/>
      <c r="P318" s="72"/>
      <c r="Q318" s="72"/>
    </row>
    <row r="319" customFormat="false" ht="15.75" hidden="false" customHeight="true" outlineLevel="0" collapsed="false">
      <c r="A319" s="68" t="n">
        <v>316</v>
      </c>
      <c r="B319" s="78"/>
      <c r="C319" s="79"/>
      <c r="D319" s="80"/>
      <c r="E319" s="80"/>
      <c r="F319" s="80"/>
      <c r="G319" s="80"/>
      <c r="H319" s="80"/>
      <c r="I319" s="81"/>
      <c r="J319" s="80"/>
      <c r="K319" s="82"/>
      <c r="L319" s="83"/>
      <c r="M319" s="84"/>
      <c r="N319" s="84"/>
      <c r="O319" s="83"/>
      <c r="P319" s="80"/>
      <c r="Q319" s="80"/>
    </row>
    <row r="320" customFormat="false" ht="15.75" hidden="false" customHeight="true" outlineLevel="0" collapsed="false">
      <c r="A320" s="66" t="n">
        <v>317</v>
      </c>
      <c r="B320" s="70"/>
      <c r="C320" s="71"/>
      <c r="D320" s="72"/>
      <c r="E320" s="72"/>
      <c r="F320" s="72"/>
      <c r="G320" s="72"/>
      <c r="H320" s="72"/>
      <c r="I320" s="73"/>
      <c r="J320" s="72"/>
      <c r="K320" s="74"/>
      <c r="L320" s="75"/>
      <c r="M320" s="76"/>
      <c r="N320" s="76"/>
      <c r="O320" s="75"/>
      <c r="P320" s="72"/>
      <c r="Q320" s="72"/>
    </row>
    <row r="321" customFormat="false" ht="15.75" hidden="false" customHeight="true" outlineLevel="0" collapsed="false">
      <c r="A321" s="68" t="n">
        <v>318</v>
      </c>
      <c r="B321" s="78"/>
      <c r="C321" s="79"/>
      <c r="D321" s="80"/>
      <c r="E321" s="80"/>
      <c r="F321" s="80"/>
      <c r="G321" s="80"/>
      <c r="H321" s="80"/>
      <c r="I321" s="81"/>
      <c r="J321" s="80"/>
      <c r="K321" s="82"/>
      <c r="L321" s="83"/>
      <c r="M321" s="84"/>
      <c r="N321" s="84"/>
      <c r="O321" s="83"/>
      <c r="P321" s="80"/>
      <c r="Q321" s="80"/>
    </row>
    <row r="322" customFormat="false" ht="15.75" hidden="false" customHeight="true" outlineLevel="0" collapsed="false">
      <c r="A322" s="66" t="n">
        <v>319</v>
      </c>
      <c r="B322" s="70"/>
      <c r="C322" s="71"/>
      <c r="D322" s="72"/>
      <c r="E322" s="72"/>
      <c r="F322" s="72"/>
      <c r="G322" s="72"/>
      <c r="H322" s="72"/>
      <c r="I322" s="73"/>
      <c r="J322" s="72"/>
      <c r="K322" s="74"/>
      <c r="L322" s="75"/>
      <c r="M322" s="76"/>
      <c r="N322" s="76"/>
      <c r="O322" s="75"/>
      <c r="P322" s="72"/>
      <c r="Q322" s="72"/>
    </row>
    <row r="323" customFormat="false" ht="15.75" hidden="false" customHeight="true" outlineLevel="0" collapsed="false">
      <c r="A323" s="68" t="n">
        <v>320</v>
      </c>
      <c r="B323" s="78"/>
      <c r="C323" s="79"/>
      <c r="D323" s="80"/>
      <c r="E323" s="80"/>
      <c r="F323" s="80"/>
      <c r="G323" s="80"/>
      <c r="H323" s="80"/>
      <c r="I323" s="81"/>
      <c r="J323" s="80"/>
      <c r="K323" s="82"/>
      <c r="L323" s="83"/>
      <c r="M323" s="84"/>
      <c r="N323" s="84"/>
      <c r="O323" s="83"/>
      <c r="P323" s="80"/>
      <c r="Q323" s="80"/>
    </row>
    <row r="324" customFormat="false" ht="15.75" hidden="false" customHeight="true" outlineLevel="0" collapsed="false">
      <c r="A324" s="66" t="n">
        <v>321</v>
      </c>
      <c r="B324" s="70"/>
      <c r="C324" s="71"/>
      <c r="D324" s="72"/>
      <c r="E324" s="72"/>
      <c r="F324" s="72"/>
      <c r="G324" s="72"/>
      <c r="H324" s="72"/>
      <c r="I324" s="73"/>
      <c r="J324" s="72"/>
      <c r="K324" s="74"/>
      <c r="L324" s="75"/>
      <c r="M324" s="76"/>
      <c r="N324" s="76"/>
      <c r="O324" s="75"/>
      <c r="P324" s="72"/>
      <c r="Q324" s="72"/>
    </row>
    <row r="325" customFormat="false" ht="15.75" hidden="false" customHeight="true" outlineLevel="0" collapsed="false">
      <c r="A325" s="68" t="n">
        <v>322</v>
      </c>
      <c r="B325" s="78"/>
      <c r="C325" s="79"/>
      <c r="D325" s="80"/>
      <c r="E325" s="80"/>
      <c r="F325" s="80"/>
      <c r="G325" s="80"/>
      <c r="H325" s="80"/>
      <c r="I325" s="81"/>
      <c r="J325" s="80"/>
      <c r="K325" s="82"/>
      <c r="L325" s="83"/>
      <c r="M325" s="84"/>
      <c r="N325" s="84"/>
      <c r="O325" s="83"/>
      <c r="P325" s="80"/>
      <c r="Q325" s="80"/>
    </row>
    <row r="326" customFormat="false" ht="15.75" hidden="false" customHeight="true" outlineLevel="0" collapsed="false">
      <c r="A326" s="66" t="n">
        <v>323</v>
      </c>
      <c r="B326" s="70"/>
      <c r="C326" s="71"/>
      <c r="D326" s="72"/>
      <c r="E326" s="72"/>
      <c r="F326" s="72"/>
      <c r="G326" s="72"/>
      <c r="H326" s="72"/>
      <c r="I326" s="73"/>
      <c r="J326" s="72"/>
      <c r="K326" s="74"/>
      <c r="L326" s="75"/>
      <c r="M326" s="76"/>
      <c r="N326" s="76"/>
      <c r="O326" s="75"/>
      <c r="P326" s="72"/>
      <c r="Q326" s="72"/>
    </row>
    <row r="327" customFormat="false" ht="15.75" hidden="false" customHeight="true" outlineLevel="0" collapsed="false">
      <c r="A327" s="68" t="n">
        <v>324</v>
      </c>
      <c r="B327" s="78"/>
      <c r="C327" s="79"/>
      <c r="D327" s="80"/>
      <c r="E327" s="80"/>
      <c r="F327" s="80"/>
      <c r="G327" s="80"/>
      <c r="H327" s="80"/>
      <c r="I327" s="81"/>
      <c r="J327" s="80"/>
      <c r="K327" s="82"/>
      <c r="L327" s="83"/>
      <c r="M327" s="84"/>
      <c r="N327" s="84"/>
      <c r="O327" s="83"/>
      <c r="P327" s="80"/>
      <c r="Q327" s="80"/>
    </row>
    <row r="328" customFormat="false" ht="15.75" hidden="false" customHeight="true" outlineLevel="0" collapsed="false">
      <c r="A328" s="66" t="n">
        <v>325</v>
      </c>
      <c r="B328" s="70"/>
      <c r="C328" s="71"/>
      <c r="D328" s="72"/>
      <c r="E328" s="72"/>
      <c r="F328" s="72"/>
      <c r="G328" s="72"/>
      <c r="H328" s="72"/>
      <c r="I328" s="73"/>
      <c r="J328" s="72"/>
      <c r="K328" s="74"/>
      <c r="L328" s="75"/>
      <c r="M328" s="76"/>
      <c r="N328" s="76"/>
      <c r="O328" s="75"/>
      <c r="P328" s="72"/>
      <c r="Q328" s="72"/>
    </row>
    <row r="329" customFormat="false" ht="15.75" hidden="false" customHeight="true" outlineLevel="0" collapsed="false">
      <c r="A329" s="68" t="n">
        <v>326</v>
      </c>
      <c r="B329" s="78"/>
      <c r="C329" s="79"/>
      <c r="D329" s="80"/>
      <c r="E329" s="80"/>
      <c r="F329" s="80"/>
      <c r="G329" s="80"/>
      <c r="H329" s="80"/>
      <c r="I329" s="81"/>
      <c r="J329" s="80"/>
      <c r="K329" s="82"/>
      <c r="L329" s="83"/>
      <c r="M329" s="84"/>
      <c r="N329" s="84"/>
      <c r="O329" s="83"/>
      <c r="P329" s="80"/>
      <c r="Q329" s="80"/>
    </row>
    <row r="330" customFormat="false" ht="15.75" hidden="false" customHeight="true" outlineLevel="0" collapsed="false">
      <c r="A330" s="66" t="n">
        <v>327</v>
      </c>
      <c r="B330" s="70"/>
      <c r="C330" s="71"/>
      <c r="D330" s="72"/>
      <c r="E330" s="72"/>
      <c r="F330" s="72"/>
      <c r="G330" s="72"/>
      <c r="H330" s="72"/>
      <c r="I330" s="73"/>
      <c r="J330" s="72"/>
      <c r="K330" s="74"/>
      <c r="L330" s="75"/>
      <c r="M330" s="76"/>
      <c r="N330" s="76"/>
      <c r="O330" s="75"/>
      <c r="P330" s="72"/>
      <c r="Q330" s="72"/>
    </row>
    <row r="331" customFormat="false" ht="15.75" hidden="false" customHeight="true" outlineLevel="0" collapsed="false">
      <c r="A331" s="68" t="n">
        <v>328</v>
      </c>
      <c r="B331" s="78"/>
      <c r="C331" s="79"/>
      <c r="D331" s="80"/>
      <c r="E331" s="80"/>
      <c r="F331" s="80"/>
      <c r="G331" s="80"/>
      <c r="H331" s="80"/>
      <c r="I331" s="81"/>
      <c r="J331" s="80"/>
      <c r="K331" s="82"/>
      <c r="L331" s="83"/>
      <c r="M331" s="84"/>
      <c r="N331" s="84"/>
      <c r="O331" s="83"/>
      <c r="P331" s="80"/>
      <c r="Q331" s="80"/>
    </row>
    <row r="332" customFormat="false" ht="15.75" hidden="false" customHeight="true" outlineLevel="0" collapsed="false">
      <c r="A332" s="66" t="n">
        <v>329</v>
      </c>
      <c r="B332" s="70"/>
      <c r="C332" s="71"/>
      <c r="D332" s="72"/>
      <c r="E332" s="72"/>
      <c r="F332" s="72"/>
      <c r="G332" s="72"/>
      <c r="H332" s="72"/>
      <c r="I332" s="73"/>
      <c r="J332" s="72"/>
      <c r="K332" s="74"/>
      <c r="L332" s="75"/>
      <c r="M332" s="76"/>
      <c r="N332" s="76"/>
      <c r="O332" s="75"/>
      <c r="P332" s="72"/>
      <c r="Q332" s="72"/>
    </row>
    <row r="333" customFormat="false" ht="15.75" hidden="false" customHeight="true" outlineLevel="0" collapsed="false">
      <c r="A333" s="68" t="n">
        <v>330</v>
      </c>
      <c r="B333" s="78"/>
      <c r="C333" s="79"/>
      <c r="D333" s="80"/>
      <c r="E333" s="80"/>
      <c r="F333" s="80"/>
      <c r="G333" s="80"/>
      <c r="H333" s="80"/>
      <c r="I333" s="81"/>
      <c r="J333" s="80"/>
      <c r="K333" s="82"/>
      <c r="L333" s="83"/>
      <c r="M333" s="84"/>
      <c r="N333" s="84"/>
      <c r="O333" s="83"/>
      <c r="P333" s="80"/>
      <c r="Q333" s="80"/>
    </row>
    <row r="334" customFormat="false" ht="15.75" hidden="false" customHeight="true" outlineLevel="0" collapsed="false">
      <c r="A334" s="66" t="n">
        <v>331</v>
      </c>
      <c r="B334" s="70"/>
      <c r="C334" s="71"/>
      <c r="D334" s="72"/>
      <c r="E334" s="72"/>
      <c r="F334" s="72"/>
      <c r="G334" s="72"/>
      <c r="H334" s="72"/>
      <c r="I334" s="73"/>
      <c r="J334" s="72"/>
      <c r="K334" s="74"/>
      <c r="L334" s="75"/>
      <c r="M334" s="76"/>
      <c r="N334" s="76"/>
      <c r="O334" s="75"/>
      <c r="P334" s="72"/>
      <c r="Q334" s="72"/>
    </row>
    <row r="335" customFormat="false" ht="15.75" hidden="false" customHeight="true" outlineLevel="0" collapsed="false">
      <c r="A335" s="68" t="n">
        <v>332</v>
      </c>
      <c r="B335" s="78"/>
      <c r="C335" s="79"/>
      <c r="D335" s="80"/>
      <c r="E335" s="80"/>
      <c r="F335" s="80"/>
      <c r="G335" s="80"/>
      <c r="H335" s="80"/>
      <c r="I335" s="81"/>
      <c r="J335" s="80"/>
      <c r="K335" s="82"/>
      <c r="L335" s="83"/>
      <c r="M335" s="84"/>
      <c r="N335" s="84"/>
      <c r="O335" s="83"/>
      <c r="P335" s="80"/>
      <c r="Q335" s="80"/>
    </row>
    <row r="336" customFormat="false" ht="15.75" hidden="false" customHeight="true" outlineLevel="0" collapsed="false">
      <c r="A336" s="66" t="n">
        <v>333</v>
      </c>
      <c r="B336" s="70"/>
      <c r="C336" s="71"/>
      <c r="D336" s="72"/>
      <c r="E336" s="72"/>
      <c r="F336" s="72"/>
      <c r="G336" s="72"/>
      <c r="H336" s="72"/>
      <c r="I336" s="73"/>
      <c r="J336" s="72"/>
      <c r="K336" s="74"/>
      <c r="L336" s="75"/>
      <c r="M336" s="76"/>
      <c r="N336" s="76"/>
      <c r="O336" s="75"/>
      <c r="P336" s="72"/>
      <c r="Q336" s="72"/>
    </row>
    <row r="337" customFormat="false" ht="15.75" hidden="false" customHeight="true" outlineLevel="0" collapsed="false">
      <c r="A337" s="68" t="n">
        <v>334</v>
      </c>
      <c r="B337" s="78"/>
      <c r="C337" s="79"/>
      <c r="D337" s="80"/>
      <c r="E337" s="80"/>
      <c r="F337" s="80"/>
      <c r="G337" s="80"/>
      <c r="H337" s="80"/>
      <c r="I337" s="81"/>
      <c r="J337" s="80"/>
      <c r="K337" s="82"/>
      <c r="L337" s="83"/>
      <c r="M337" s="84"/>
      <c r="N337" s="84"/>
      <c r="O337" s="83"/>
      <c r="P337" s="80"/>
      <c r="Q337" s="80"/>
    </row>
    <row r="338" customFormat="false" ht="15.75" hidden="false" customHeight="true" outlineLevel="0" collapsed="false">
      <c r="A338" s="66" t="n">
        <v>335</v>
      </c>
      <c r="B338" s="70"/>
      <c r="C338" s="71"/>
      <c r="D338" s="72"/>
      <c r="E338" s="72"/>
      <c r="F338" s="72"/>
      <c r="G338" s="72"/>
      <c r="H338" s="72"/>
      <c r="I338" s="73"/>
      <c r="J338" s="72"/>
      <c r="K338" s="74"/>
      <c r="L338" s="75"/>
      <c r="M338" s="76"/>
      <c r="N338" s="76"/>
      <c r="O338" s="75"/>
      <c r="P338" s="72"/>
      <c r="Q338" s="72"/>
    </row>
    <row r="339" customFormat="false" ht="15.75" hidden="false" customHeight="true" outlineLevel="0" collapsed="false">
      <c r="A339" s="68" t="n">
        <v>336</v>
      </c>
      <c r="B339" s="78"/>
      <c r="C339" s="79"/>
      <c r="D339" s="80"/>
      <c r="E339" s="80"/>
      <c r="F339" s="80"/>
      <c r="G339" s="80"/>
      <c r="H339" s="80"/>
      <c r="I339" s="81"/>
      <c r="J339" s="80"/>
      <c r="K339" s="82"/>
      <c r="L339" s="83"/>
      <c r="M339" s="84"/>
      <c r="N339" s="84"/>
      <c r="O339" s="83"/>
      <c r="P339" s="80"/>
      <c r="Q339" s="80"/>
    </row>
    <row r="340" customFormat="false" ht="15.75" hidden="false" customHeight="true" outlineLevel="0" collapsed="false">
      <c r="A340" s="66" t="n">
        <v>337</v>
      </c>
      <c r="B340" s="70"/>
      <c r="C340" s="71"/>
      <c r="D340" s="72"/>
      <c r="E340" s="72"/>
      <c r="F340" s="72"/>
      <c r="G340" s="72"/>
      <c r="H340" s="72"/>
      <c r="I340" s="73"/>
      <c r="J340" s="72"/>
      <c r="K340" s="74"/>
      <c r="L340" s="75"/>
      <c r="M340" s="76"/>
      <c r="N340" s="76"/>
      <c r="O340" s="75"/>
      <c r="P340" s="72"/>
      <c r="Q340" s="72"/>
    </row>
    <row r="341" customFormat="false" ht="15.75" hidden="false" customHeight="true" outlineLevel="0" collapsed="false">
      <c r="A341" s="68" t="n">
        <v>338</v>
      </c>
      <c r="B341" s="78"/>
      <c r="C341" s="79"/>
      <c r="D341" s="80"/>
      <c r="E341" s="80"/>
      <c r="F341" s="80"/>
      <c r="G341" s="80"/>
      <c r="H341" s="80"/>
      <c r="I341" s="81"/>
      <c r="J341" s="80"/>
      <c r="K341" s="82"/>
      <c r="L341" s="83"/>
      <c r="M341" s="84"/>
      <c r="N341" s="84"/>
      <c r="O341" s="83"/>
      <c r="P341" s="80"/>
      <c r="Q341" s="80"/>
    </row>
    <row r="342" customFormat="false" ht="15.75" hidden="false" customHeight="true" outlineLevel="0" collapsed="false">
      <c r="A342" s="66" t="n">
        <v>339</v>
      </c>
      <c r="B342" s="70"/>
      <c r="C342" s="71"/>
      <c r="D342" s="72"/>
      <c r="E342" s="72"/>
      <c r="F342" s="72"/>
      <c r="G342" s="72"/>
      <c r="H342" s="72"/>
      <c r="I342" s="73"/>
      <c r="J342" s="72"/>
      <c r="K342" s="74"/>
      <c r="L342" s="75"/>
      <c r="M342" s="76"/>
      <c r="N342" s="76"/>
      <c r="O342" s="75"/>
      <c r="P342" s="72"/>
      <c r="Q342" s="72"/>
    </row>
    <row r="343" customFormat="false" ht="15.75" hidden="false" customHeight="true" outlineLevel="0" collapsed="false">
      <c r="A343" s="68" t="n">
        <v>340</v>
      </c>
      <c r="B343" s="78"/>
      <c r="C343" s="79"/>
      <c r="D343" s="80"/>
      <c r="E343" s="80"/>
      <c r="F343" s="80"/>
      <c r="G343" s="80"/>
      <c r="H343" s="80"/>
      <c r="I343" s="81"/>
      <c r="J343" s="80"/>
      <c r="K343" s="82"/>
      <c r="L343" s="83"/>
      <c r="M343" s="84"/>
      <c r="N343" s="84"/>
      <c r="O343" s="83"/>
      <c r="P343" s="80"/>
      <c r="Q343" s="80"/>
    </row>
    <row r="344" customFormat="false" ht="15.75" hidden="false" customHeight="true" outlineLevel="0" collapsed="false">
      <c r="A344" s="66" t="n">
        <v>341</v>
      </c>
      <c r="B344" s="70"/>
      <c r="C344" s="71"/>
      <c r="D344" s="72"/>
      <c r="E344" s="72"/>
      <c r="F344" s="72"/>
      <c r="G344" s="72"/>
      <c r="H344" s="72"/>
      <c r="I344" s="73"/>
      <c r="J344" s="72"/>
      <c r="K344" s="74"/>
      <c r="L344" s="75"/>
      <c r="M344" s="76"/>
      <c r="N344" s="76"/>
      <c r="O344" s="75"/>
      <c r="P344" s="72"/>
      <c r="Q344" s="72"/>
    </row>
    <row r="345" customFormat="false" ht="15.75" hidden="false" customHeight="true" outlineLevel="0" collapsed="false">
      <c r="A345" s="68" t="n">
        <v>342</v>
      </c>
      <c r="B345" s="78"/>
      <c r="C345" s="79"/>
      <c r="D345" s="80"/>
      <c r="E345" s="80"/>
      <c r="F345" s="80"/>
      <c r="G345" s="80"/>
      <c r="H345" s="80"/>
      <c r="I345" s="81"/>
      <c r="J345" s="80"/>
      <c r="K345" s="82"/>
      <c r="L345" s="83"/>
      <c r="M345" s="84"/>
      <c r="N345" s="84"/>
      <c r="O345" s="83"/>
      <c r="P345" s="80"/>
      <c r="Q345" s="80"/>
    </row>
    <row r="346" customFormat="false" ht="15.75" hidden="false" customHeight="true" outlineLevel="0" collapsed="false">
      <c r="A346" s="66" t="n">
        <v>343</v>
      </c>
      <c r="B346" s="70"/>
      <c r="C346" s="71"/>
      <c r="D346" s="72"/>
      <c r="E346" s="72"/>
      <c r="F346" s="72"/>
      <c r="G346" s="72"/>
      <c r="H346" s="72"/>
      <c r="I346" s="73"/>
      <c r="J346" s="72"/>
      <c r="K346" s="74"/>
      <c r="L346" s="75"/>
      <c r="M346" s="76"/>
      <c r="N346" s="76"/>
      <c r="O346" s="75"/>
      <c r="P346" s="72"/>
      <c r="Q346" s="72"/>
    </row>
    <row r="347" customFormat="false" ht="15.75" hidden="false" customHeight="true" outlineLevel="0" collapsed="false">
      <c r="A347" s="68" t="n">
        <v>344</v>
      </c>
      <c r="B347" s="78"/>
      <c r="C347" s="79"/>
      <c r="D347" s="80"/>
      <c r="E347" s="80"/>
      <c r="F347" s="80"/>
      <c r="G347" s="80"/>
      <c r="H347" s="80"/>
      <c r="I347" s="81"/>
      <c r="J347" s="80"/>
      <c r="K347" s="82"/>
      <c r="L347" s="83"/>
      <c r="M347" s="84"/>
      <c r="N347" s="84"/>
      <c r="O347" s="83"/>
      <c r="P347" s="80"/>
      <c r="Q347" s="80"/>
    </row>
    <row r="348" customFormat="false" ht="15.75" hidden="false" customHeight="true" outlineLevel="0" collapsed="false">
      <c r="A348" s="66" t="n">
        <v>345</v>
      </c>
      <c r="B348" s="70"/>
      <c r="C348" s="71"/>
      <c r="D348" s="72"/>
      <c r="E348" s="72"/>
      <c r="F348" s="72"/>
      <c r="G348" s="72"/>
      <c r="H348" s="72"/>
      <c r="I348" s="73"/>
      <c r="J348" s="72"/>
      <c r="K348" s="74"/>
      <c r="L348" s="75"/>
      <c r="M348" s="76"/>
      <c r="N348" s="76"/>
      <c r="O348" s="75"/>
      <c r="P348" s="72"/>
      <c r="Q348" s="72"/>
    </row>
    <row r="349" customFormat="false" ht="15.75" hidden="false" customHeight="true" outlineLevel="0" collapsed="false">
      <c r="A349" s="68" t="n">
        <v>346</v>
      </c>
      <c r="B349" s="78"/>
      <c r="C349" s="79"/>
      <c r="D349" s="80"/>
      <c r="E349" s="80"/>
      <c r="F349" s="80"/>
      <c r="G349" s="80"/>
      <c r="H349" s="80"/>
      <c r="I349" s="81"/>
      <c r="J349" s="80"/>
      <c r="K349" s="82"/>
      <c r="L349" s="83"/>
      <c r="M349" s="84"/>
      <c r="N349" s="84"/>
      <c r="O349" s="83"/>
      <c r="P349" s="80"/>
      <c r="Q349" s="80"/>
    </row>
    <row r="350" customFormat="false" ht="15.75" hidden="false" customHeight="true" outlineLevel="0" collapsed="false">
      <c r="A350" s="66" t="n">
        <v>347</v>
      </c>
      <c r="B350" s="70"/>
      <c r="C350" s="71"/>
      <c r="D350" s="72"/>
      <c r="E350" s="72"/>
      <c r="F350" s="72"/>
      <c r="G350" s="72"/>
      <c r="H350" s="72"/>
      <c r="I350" s="73"/>
      <c r="J350" s="72"/>
      <c r="K350" s="74"/>
      <c r="L350" s="75"/>
      <c r="M350" s="76"/>
      <c r="N350" s="76"/>
      <c r="O350" s="75"/>
      <c r="P350" s="72"/>
      <c r="Q350" s="72"/>
    </row>
    <row r="351" customFormat="false" ht="15.75" hidden="false" customHeight="true" outlineLevel="0" collapsed="false">
      <c r="A351" s="68" t="n">
        <v>348</v>
      </c>
      <c r="B351" s="78"/>
      <c r="C351" s="79"/>
      <c r="D351" s="80"/>
      <c r="E351" s="80"/>
      <c r="F351" s="80"/>
      <c r="G351" s="80"/>
      <c r="H351" s="80"/>
      <c r="I351" s="81"/>
      <c r="J351" s="80"/>
      <c r="K351" s="82"/>
      <c r="L351" s="83"/>
      <c r="M351" s="84"/>
      <c r="N351" s="84"/>
      <c r="O351" s="83"/>
      <c r="P351" s="80"/>
      <c r="Q351" s="80"/>
    </row>
    <row r="352" customFormat="false" ht="15.75" hidden="false" customHeight="true" outlineLevel="0" collapsed="false">
      <c r="A352" s="66" t="n">
        <v>349</v>
      </c>
      <c r="B352" s="70"/>
      <c r="C352" s="71"/>
      <c r="D352" s="72"/>
      <c r="E352" s="72"/>
      <c r="F352" s="72"/>
      <c r="G352" s="72"/>
      <c r="H352" s="72"/>
      <c r="I352" s="73"/>
      <c r="J352" s="72"/>
      <c r="K352" s="74"/>
      <c r="L352" s="75"/>
      <c r="M352" s="76"/>
      <c r="N352" s="76"/>
      <c r="O352" s="75"/>
      <c r="P352" s="72"/>
      <c r="Q352" s="72"/>
    </row>
    <row r="353" customFormat="false" ht="15.75" hidden="false" customHeight="true" outlineLevel="0" collapsed="false">
      <c r="A353" s="68" t="n">
        <v>350</v>
      </c>
      <c r="B353" s="78"/>
      <c r="C353" s="79"/>
      <c r="D353" s="80"/>
      <c r="E353" s="80"/>
      <c r="F353" s="80"/>
      <c r="G353" s="80"/>
      <c r="H353" s="80"/>
      <c r="I353" s="81"/>
      <c r="J353" s="80"/>
      <c r="K353" s="82"/>
      <c r="L353" s="83"/>
      <c r="M353" s="84"/>
      <c r="N353" s="84"/>
      <c r="O353" s="83"/>
      <c r="P353" s="80"/>
      <c r="Q353" s="80"/>
    </row>
    <row r="354" customFormat="false" ht="15.75" hidden="false" customHeight="true" outlineLevel="0" collapsed="false">
      <c r="A354" s="66" t="n">
        <v>351</v>
      </c>
      <c r="B354" s="70"/>
      <c r="C354" s="71"/>
      <c r="D354" s="72"/>
      <c r="E354" s="72"/>
      <c r="F354" s="72"/>
      <c r="G354" s="72"/>
      <c r="H354" s="72"/>
      <c r="I354" s="73"/>
      <c r="J354" s="72"/>
      <c r="K354" s="74"/>
      <c r="L354" s="75"/>
      <c r="M354" s="76"/>
      <c r="N354" s="76"/>
      <c r="O354" s="75"/>
      <c r="P354" s="72"/>
      <c r="Q354" s="72"/>
    </row>
    <row r="355" customFormat="false" ht="15.75" hidden="false" customHeight="true" outlineLevel="0" collapsed="false">
      <c r="A355" s="68" t="n">
        <v>352</v>
      </c>
      <c r="B355" s="78"/>
      <c r="C355" s="79"/>
      <c r="D355" s="80"/>
      <c r="E355" s="80"/>
      <c r="F355" s="80"/>
      <c r="G355" s="80"/>
      <c r="H355" s="80"/>
      <c r="I355" s="81"/>
      <c r="J355" s="80"/>
      <c r="K355" s="82"/>
      <c r="L355" s="83"/>
      <c r="M355" s="84"/>
      <c r="N355" s="84"/>
      <c r="O355" s="83"/>
      <c r="P355" s="80"/>
      <c r="Q355" s="80"/>
    </row>
    <row r="356" customFormat="false" ht="15.75" hidden="false" customHeight="true" outlineLevel="0" collapsed="false">
      <c r="A356" s="66" t="n">
        <v>353</v>
      </c>
      <c r="B356" s="70"/>
      <c r="C356" s="71"/>
      <c r="D356" s="72"/>
      <c r="E356" s="72"/>
      <c r="F356" s="72"/>
      <c r="G356" s="72"/>
      <c r="H356" s="72"/>
      <c r="I356" s="73"/>
      <c r="J356" s="72"/>
      <c r="K356" s="74"/>
      <c r="L356" s="75"/>
      <c r="M356" s="76"/>
      <c r="N356" s="76"/>
      <c r="O356" s="75"/>
      <c r="P356" s="72"/>
      <c r="Q356" s="72"/>
    </row>
    <row r="357" customFormat="false" ht="15.75" hidden="false" customHeight="true" outlineLevel="0" collapsed="false">
      <c r="A357" s="68" t="n">
        <v>354</v>
      </c>
      <c r="B357" s="78"/>
      <c r="C357" s="79"/>
      <c r="D357" s="80"/>
      <c r="E357" s="80"/>
      <c r="F357" s="80"/>
      <c r="G357" s="80"/>
      <c r="H357" s="80"/>
      <c r="I357" s="81"/>
      <c r="J357" s="80"/>
      <c r="K357" s="82"/>
      <c r="L357" s="83"/>
      <c r="M357" s="84"/>
      <c r="N357" s="84"/>
      <c r="O357" s="83"/>
      <c r="P357" s="80"/>
      <c r="Q357" s="80"/>
    </row>
    <row r="358" customFormat="false" ht="15.75" hidden="false" customHeight="true" outlineLevel="0" collapsed="false">
      <c r="A358" s="66" t="n">
        <v>355</v>
      </c>
      <c r="B358" s="70"/>
      <c r="C358" s="71"/>
      <c r="D358" s="72"/>
      <c r="E358" s="72"/>
      <c r="F358" s="72"/>
      <c r="G358" s="72"/>
      <c r="H358" s="72"/>
      <c r="I358" s="73"/>
      <c r="J358" s="72"/>
      <c r="K358" s="74"/>
      <c r="L358" s="75"/>
      <c r="M358" s="76"/>
      <c r="N358" s="76"/>
      <c r="O358" s="75"/>
      <c r="P358" s="72"/>
      <c r="Q358" s="72"/>
    </row>
    <row r="359" customFormat="false" ht="15.75" hidden="false" customHeight="true" outlineLevel="0" collapsed="false">
      <c r="A359" s="68" t="n">
        <v>356</v>
      </c>
      <c r="B359" s="78"/>
      <c r="C359" s="79"/>
      <c r="D359" s="80"/>
      <c r="E359" s="80"/>
      <c r="F359" s="80"/>
      <c r="G359" s="80"/>
      <c r="H359" s="80"/>
      <c r="I359" s="81"/>
      <c r="J359" s="80"/>
      <c r="K359" s="82"/>
      <c r="L359" s="83"/>
      <c r="M359" s="84"/>
      <c r="N359" s="84"/>
      <c r="O359" s="83"/>
      <c r="P359" s="80"/>
      <c r="Q359" s="80"/>
    </row>
    <row r="360" customFormat="false" ht="15.75" hidden="false" customHeight="true" outlineLevel="0" collapsed="false">
      <c r="A360" s="66" t="n">
        <v>357</v>
      </c>
      <c r="B360" s="70"/>
      <c r="C360" s="71"/>
      <c r="D360" s="72"/>
      <c r="E360" s="72"/>
      <c r="F360" s="72"/>
      <c r="G360" s="72"/>
      <c r="H360" s="72"/>
      <c r="I360" s="73"/>
      <c r="J360" s="72"/>
      <c r="K360" s="74"/>
      <c r="L360" s="75"/>
      <c r="M360" s="76"/>
      <c r="N360" s="76"/>
      <c r="O360" s="75"/>
      <c r="P360" s="72"/>
      <c r="Q360" s="72"/>
    </row>
    <row r="361" customFormat="false" ht="15.75" hidden="false" customHeight="true" outlineLevel="0" collapsed="false">
      <c r="A361" s="68" t="n">
        <v>358</v>
      </c>
      <c r="B361" s="78"/>
      <c r="C361" s="79"/>
      <c r="D361" s="80"/>
      <c r="E361" s="80"/>
      <c r="F361" s="80"/>
      <c r="G361" s="80"/>
      <c r="H361" s="80"/>
      <c r="I361" s="81"/>
      <c r="J361" s="80"/>
      <c r="K361" s="82"/>
      <c r="L361" s="83"/>
      <c r="M361" s="84"/>
      <c r="N361" s="84"/>
      <c r="O361" s="83"/>
      <c r="P361" s="80"/>
      <c r="Q361" s="80"/>
    </row>
    <row r="362" customFormat="false" ht="15.75" hidden="false" customHeight="true" outlineLevel="0" collapsed="false">
      <c r="A362" s="66" t="n">
        <v>359</v>
      </c>
      <c r="B362" s="70"/>
      <c r="C362" s="71"/>
      <c r="D362" s="72"/>
      <c r="E362" s="72"/>
      <c r="F362" s="72"/>
      <c r="G362" s="72"/>
      <c r="H362" s="72"/>
      <c r="I362" s="73"/>
      <c r="J362" s="72"/>
      <c r="K362" s="74"/>
      <c r="L362" s="75"/>
      <c r="M362" s="76"/>
      <c r="N362" s="76"/>
      <c r="O362" s="75"/>
      <c r="P362" s="72"/>
      <c r="Q362" s="72"/>
    </row>
    <row r="363" customFormat="false" ht="15.75" hidden="false" customHeight="true" outlineLevel="0" collapsed="false">
      <c r="A363" s="68" t="n">
        <v>360</v>
      </c>
      <c r="B363" s="78"/>
      <c r="C363" s="79"/>
      <c r="D363" s="80"/>
      <c r="E363" s="80"/>
      <c r="F363" s="80"/>
      <c r="G363" s="80"/>
      <c r="H363" s="80"/>
      <c r="I363" s="81"/>
      <c r="J363" s="80"/>
      <c r="K363" s="82"/>
      <c r="L363" s="83"/>
      <c r="M363" s="84"/>
      <c r="N363" s="84"/>
      <c r="O363" s="83"/>
      <c r="P363" s="80"/>
      <c r="Q363" s="80"/>
    </row>
    <row r="364" customFormat="false" ht="15.75" hidden="false" customHeight="true" outlineLevel="0" collapsed="false">
      <c r="A364" s="66" t="n">
        <v>361</v>
      </c>
      <c r="B364" s="70"/>
      <c r="C364" s="71"/>
      <c r="D364" s="72"/>
      <c r="E364" s="72"/>
      <c r="F364" s="72"/>
      <c r="G364" s="72"/>
      <c r="H364" s="72"/>
      <c r="I364" s="73"/>
      <c r="J364" s="72"/>
      <c r="K364" s="74"/>
      <c r="L364" s="75"/>
      <c r="M364" s="76"/>
      <c r="N364" s="76"/>
      <c r="O364" s="75"/>
      <c r="P364" s="72"/>
      <c r="Q364" s="72"/>
    </row>
    <row r="365" customFormat="false" ht="15.75" hidden="false" customHeight="true" outlineLevel="0" collapsed="false">
      <c r="A365" s="68" t="n">
        <v>362</v>
      </c>
      <c r="B365" s="78"/>
      <c r="C365" s="79"/>
      <c r="D365" s="80"/>
      <c r="E365" s="80"/>
      <c r="F365" s="80"/>
      <c r="G365" s="80"/>
      <c r="H365" s="80"/>
      <c r="I365" s="81"/>
      <c r="J365" s="80"/>
      <c r="K365" s="82"/>
      <c r="L365" s="83"/>
      <c r="M365" s="84"/>
      <c r="N365" s="84"/>
      <c r="O365" s="83"/>
      <c r="P365" s="80"/>
      <c r="Q365" s="80"/>
    </row>
    <row r="366" customFormat="false" ht="15.75" hidden="false" customHeight="true" outlineLevel="0" collapsed="false">
      <c r="A366" s="66" t="n">
        <v>363</v>
      </c>
      <c r="B366" s="70"/>
      <c r="C366" s="71"/>
      <c r="D366" s="72"/>
      <c r="E366" s="72"/>
      <c r="F366" s="72"/>
      <c r="G366" s="72"/>
      <c r="H366" s="72"/>
      <c r="I366" s="73"/>
      <c r="J366" s="72"/>
      <c r="K366" s="74"/>
      <c r="L366" s="75"/>
      <c r="M366" s="76"/>
      <c r="N366" s="76"/>
      <c r="O366" s="75"/>
      <c r="P366" s="72"/>
      <c r="Q366" s="72"/>
    </row>
    <row r="367" customFormat="false" ht="15.75" hidden="false" customHeight="true" outlineLevel="0" collapsed="false">
      <c r="A367" s="68" t="n">
        <v>364</v>
      </c>
      <c r="B367" s="78"/>
      <c r="C367" s="79"/>
      <c r="D367" s="80"/>
      <c r="E367" s="80"/>
      <c r="F367" s="80"/>
      <c r="G367" s="80"/>
      <c r="H367" s="80"/>
      <c r="I367" s="81"/>
      <c r="J367" s="80"/>
      <c r="K367" s="82"/>
      <c r="L367" s="83"/>
      <c r="M367" s="84"/>
      <c r="N367" s="84"/>
      <c r="O367" s="83"/>
      <c r="P367" s="80"/>
      <c r="Q367" s="80"/>
    </row>
    <row r="368" customFormat="false" ht="15.75" hidden="false" customHeight="true" outlineLevel="0" collapsed="false">
      <c r="A368" s="66" t="n">
        <v>365</v>
      </c>
      <c r="B368" s="70"/>
      <c r="C368" s="71"/>
      <c r="D368" s="72"/>
      <c r="E368" s="72"/>
      <c r="F368" s="72"/>
      <c r="G368" s="72"/>
      <c r="H368" s="72"/>
      <c r="I368" s="73"/>
      <c r="J368" s="72"/>
      <c r="K368" s="74"/>
      <c r="L368" s="75"/>
      <c r="M368" s="76"/>
      <c r="N368" s="76"/>
      <c r="O368" s="75"/>
      <c r="P368" s="72"/>
      <c r="Q368" s="72"/>
    </row>
    <row r="369" customFormat="false" ht="15.75" hidden="false" customHeight="true" outlineLevel="0" collapsed="false">
      <c r="A369" s="68" t="n">
        <v>366</v>
      </c>
      <c r="B369" s="78"/>
      <c r="C369" s="79"/>
      <c r="D369" s="80"/>
      <c r="E369" s="80"/>
      <c r="F369" s="80"/>
      <c r="G369" s="80"/>
      <c r="H369" s="80"/>
      <c r="I369" s="81"/>
      <c r="J369" s="80"/>
      <c r="K369" s="82"/>
      <c r="L369" s="83"/>
      <c r="M369" s="84"/>
      <c r="N369" s="84"/>
      <c r="O369" s="83"/>
      <c r="P369" s="80"/>
      <c r="Q369" s="80"/>
    </row>
    <row r="370" customFormat="false" ht="15.75" hidden="false" customHeight="true" outlineLevel="0" collapsed="false">
      <c r="A370" s="66" t="n">
        <v>367</v>
      </c>
      <c r="B370" s="70"/>
      <c r="C370" s="71"/>
      <c r="D370" s="72"/>
      <c r="E370" s="72"/>
      <c r="F370" s="72"/>
      <c r="G370" s="72"/>
      <c r="H370" s="72"/>
      <c r="I370" s="73"/>
      <c r="J370" s="72"/>
      <c r="K370" s="74"/>
      <c r="L370" s="75"/>
      <c r="M370" s="76"/>
      <c r="N370" s="76"/>
      <c r="O370" s="75"/>
      <c r="P370" s="72"/>
      <c r="Q370" s="72"/>
    </row>
    <row r="371" customFormat="false" ht="15.75" hidden="false" customHeight="true" outlineLevel="0" collapsed="false">
      <c r="A371" s="68" t="n">
        <v>368</v>
      </c>
      <c r="B371" s="78"/>
      <c r="C371" s="79"/>
      <c r="D371" s="80"/>
      <c r="E371" s="80"/>
      <c r="F371" s="80"/>
      <c r="G371" s="80"/>
      <c r="H371" s="80"/>
      <c r="I371" s="81"/>
      <c r="J371" s="80"/>
      <c r="K371" s="82"/>
      <c r="L371" s="83"/>
      <c r="M371" s="84"/>
      <c r="N371" s="84"/>
      <c r="O371" s="83"/>
      <c r="P371" s="80"/>
      <c r="Q371" s="80"/>
    </row>
    <row r="372" customFormat="false" ht="15.75" hidden="false" customHeight="true" outlineLevel="0" collapsed="false">
      <c r="A372" s="66" t="n">
        <v>369</v>
      </c>
      <c r="B372" s="70"/>
      <c r="C372" s="71"/>
      <c r="D372" s="72"/>
      <c r="E372" s="72"/>
      <c r="F372" s="72"/>
      <c r="G372" s="72"/>
      <c r="H372" s="72"/>
      <c r="I372" s="73"/>
      <c r="J372" s="72"/>
      <c r="K372" s="74"/>
      <c r="L372" s="75"/>
      <c r="M372" s="76"/>
      <c r="N372" s="76"/>
      <c r="O372" s="75"/>
      <c r="P372" s="72"/>
      <c r="Q372" s="72"/>
    </row>
    <row r="373" customFormat="false" ht="15.75" hidden="false" customHeight="true" outlineLevel="0" collapsed="false">
      <c r="A373" s="68" t="n">
        <v>370</v>
      </c>
      <c r="B373" s="78"/>
      <c r="C373" s="79"/>
      <c r="D373" s="80"/>
      <c r="E373" s="80"/>
      <c r="F373" s="80"/>
      <c r="G373" s="80"/>
      <c r="H373" s="80"/>
      <c r="I373" s="81"/>
      <c r="J373" s="80"/>
      <c r="K373" s="82"/>
      <c r="L373" s="83"/>
      <c r="M373" s="84"/>
      <c r="N373" s="84"/>
      <c r="O373" s="83"/>
      <c r="P373" s="80"/>
      <c r="Q373" s="80"/>
    </row>
    <row r="374" customFormat="false" ht="15.75" hidden="false" customHeight="true" outlineLevel="0" collapsed="false">
      <c r="A374" s="66" t="n">
        <v>371</v>
      </c>
      <c r="B374" s="70"/>
      <c r="C374" s="71"/>
      <c r="D374" s="72"/>
      <c r="E374" s="72"/>
      <c r="F374" s="72"/>
      <c r="G374" s="72"/>
      <c r="H374" s="72"/>
      <c r="I374" s="73"/>
      <c r="J374" s="72"/>
      <c r="K374" s="74"/>
      <c r="L374" s="75"/>
      <c r="M374" s="76"/>
      <c r="N374" s="76"/>
      <c r="O374" s="75"/>
      <c r="P374" s="72"/>
      <c r="Q374" s="72"/>
    </row>
    <row r="375" customFormat="false" ht="15.75" hidden="false" customHeight="true" outlineLevel="0" collapsed="false">
      <c r="A375" s="68" t="n">
        <v>372</v>
      </c>
      <c r="B375" s="78"/>
      <c r="C375" s="79"/>
      <c r="D375" s="80"/>
      <c r="E375" s="80"/>
      <c r="F375" s="80"/>
      <c r="G375" s="80"/>
      <c r="H375" s="80"/>
      <c r="I375" s="81"/>
      <c r="J375" s="80"/>
      <c r="K375" s="82"/>
      <c r="L375" s="83"/>
      <c r="M375" s="84"/>
      <c r="N375" s="84"/>
      <c r="O375" s="83"/>
      <c r="P375" s="80"/>
      <c r="Q375" s="80"/>
    </row>
    <row r="376" customFormat="false" ht="15.75" hidden="false" customHeight="true" outlineLevel="0" collapsed="false">
      <c r="A376" s="66" t="n">
        <v>373</v>
      </c>
      <c r="B376" s="70"/>
      <c r="C376" s="71"/>
      <c r="D376" s="72"/>
      <c r="E376" s="72"/>
      <c r="F376" s="72"/>
      <c r="G376" s="72"/>
      <c r="H376" s="72"/>
      <c r="I376" s="73"/>
      <c r="J376" s="72"/>
      <c r="K376" s="74"/>
      <c r="L376" s="75"/>
      <c r="M376" s="76"/>
      <c r="N376" s="76"/>
      <c r="O376" s="75"/>
      <c r="P376" s="72"/>
      <c r="Q376" s="72"/>
    </row>
    <row r="377" customFormat="false" ht="15.75" hidden="false" customHeight="true" outlineLevel="0" collapsed="false">
      <c r="A377" s="68" t="n">
        <v>374</v>
      </c>
      <c r="B377" s="78"/>
      <c r="C377" s="79"/>
      <c r="D377" s="80"/>
      <c r="E377" s="80"/>
      <c r="F377" s="80"/>
      <c r="G377" s="80"/>
      <c r="H377" s="80"/>
      <c r="I377" s="81"/>
      <c r="J377" s="80"/>
      <c r="K377" s="82"/>
      <c r="L377" s="83"/>
      <c r="M377" s="84"/>
      <c r="N377" s="84"/>
      <c r="O377" s="83"/>
      <c r="P377" s="80"/>
      <c r="Q377" s="80"/>
    </row>
    <row r="378" customFormat="false" ht="15.75" hidden="false" customHeight="true" outlineLevel="0" collapsed="false">
      <c r="A378" s="66" t="n">
        <v>375</v>
      </c>
      <c r="B378" s="70"/>
      <c r="C378" s="71"/>
      <c r="D378" s="72"/>
      <c r="E378" s="72"/>
      <c r="F378" s="72"/>
      <c r="G378" s="72"/>
      <c r="H378" s="72"/>
      <c r="I378" s="73"/>
      <c r="J378" s="72"/>
      <c r="K378" s="74"/>
      <c r="L378" s="75"/>
      <c r="M378" s="76"/>
      <c r="N378" s="76"/>
      <c r="O378" s="75"/>
      <c r="P378" s="72"/>
      <c r="Q378" s="72"/>
    </row>
    <row r="379" customFormat="false" ht="15.75" hidden="false" customHeight="true" outlineLevel="0" collapsed="false">
      <c r="A379" s="68" t="n">
        <v>376</v>
      </c>
      <c r="B379" s="78"/>
      <c r="C379" s="79"/>
      <c r="D379" s="80"/>
      <c r="E379" s="80"/>
      <c r="F379" s="80"/>
      <c r="G379" s="80"/>
      <c r="H379" s="80"/>
      <c r="I379" s="81"/>
      <c r="J379" s="80"/>
      <c r="K379" s="82"/>
      <c r="L379" s="83"/>
      <c r="M379" s="84"/>
      <c r="N379" s="84"/>
      <c r="O379" s="83"/>
      <c r="P379" s="80"/>
      <c r="Q379" s="80"/>
    </row>
    <row r="380" customFormat="false" ht="15.75" hidden="false" customHeight="true" outlineLevel="0" collapsed="false">
      <c r="A380" s="66" t="n">
        <v>377</v>
      </c>
      <c r="B380" s="70"/>
      <c r="C380" s="71"/>
      <c r="D380" s="72"/>
      <c r="E380" s="72"/>
      <c r="F380" s="72"/>
      <c r="G380" s="72"/>
      <c r="H380" s="72"/>
      <c r="I380" s="73"/>
      <c r="J380" s="72"/>
      <c r="K380" s="74"/>
      <c r="L380" s="75"/>
      <c r="M380" s="76"/>
      <c r="N380" s="76"/>
      <c r="O380" s="75"/>
      <c r="P380" s="72"/>
      <c r="Q380" s="72"/>
    </row>
    <row r="381" customFormat="false" ht="15.75" hidden="false" customHeight="true" outlineLevel="0" collapsed="false">
      <c r="A381" s="68" t="n">
        <v>378</v>
      </c>
      <c r="B381" s="78"/>
      <c r="C381" s="79"/>
      <c r="D381" s="80"/>
      <c r="E381" s="80"/>
      <c r="F381" s="80"/>
      <c r="G381" s="80"/>
      <c r="H381" s="80"/>
      <c r="I381" s="81"/>
      <c r="J381" s="80"/>
      <c r="K381" s="82"/>
      <c r="L381" s="83"/>
      <c r="M381" s="84"/>
      <c r="N381" s="84"/>
      <c r="O381" s="83"/>
      <c r="P381" s="80"/>
      <c r="Q381" s="80"/>
    </row>
    <row r="382" customFormat="false" ht="15.75" hidden="false" customHeight="true" outlineLevel="0" collapsed="false">
      <c r="A382" s="66" t="n">
        <v>379</v>
      </c>
      <c r="B382" s="70"/>
      <c r="C382" s="71"/>
      <c r="D382" s="72"/>
      <c r="E382" s="72"/>
      <c r="F382" s="72"/>
      <c r="G382" s="72"/>
      <c r="H382" s="72"/>
      <c r="I382" s="73"/>
      <c r="J382" s="72"/>
      <c r="K382" s="74"/>
      <c r="L382" s="75"/>
      <c r="M382" s="76"/>
      <c r="N382" s="76"/>
      <c r="O382" s="75"/>
      <c r="P382" s="72"/>
      <c r="Q382" s="72"/>
    </row>
    <row r="383" customFormat="false" ht="15.75" hidden="false" customHeight="true" outlineLevel="0" collapsed="false">
      <c r="A383" s="68" t="n">
        <v>380</v>
      </c>
      <c r="B383" s="78"/>
      <c r="C383" s="79"/>
      <c r="D383" s="80"/>
      <c r="E383" s="80"/>
      <c r="F383" s="80"/>
      <c r="G383" s="80"/>
      <c r="H383" s="80"/>
      <c r="I383" s="81"/>
      <c r="J383" s="80"/>
      <c r="K383" s="82"/>
      <c r="L383" s="83"/>
      <c r="M383" s="84"/>
      <c r="N383" s="84"/>
      <c r="O383" s="83"/>
      <c r="P383" s="80"/>
      <c r="Q383" s="80"/>
    </row>
    <row r="384" customFormat="false" ht="15.75" hidden="false" customHeight="true" outlineLevel="0" collapsed="false">
      <c r="A384" s="66" t="n">
        <v>381</v>
      </c>
      <c r="B384" s="70"/>
      <c r="C384" s="71"/>
      <c r="D384" s="72"/>
      <c r="E384" s="72"/>
      <c r="F384" s="72"/>
      <c r="G384" s="72"/>
      <c r="H384" s="72"/>
      <c r="I384" s="73"/>
      <c r="J384" s="72"/>
      <c r="K384" s="74"/>
      <c r="L384" s="75"/>
      <c r="M384" s="76"/>
      <c r="N384" s="76"/>
      <c r="O384" s="75"/>
      <c r="P384" s="72"/>
      <c r="Q384" s="72"/>
    </row>
    <row r="385" customFormat="false" ht="15.75" hidden="false" customHeight="true" outlineLevel="0" collapsed="false">
      <c r="A385" s="68" t="n">
        <v>382</v>
      </c>
      <c r="B385" s="78"/>
      <c r="C385" s="79"/>
      <c r="D385" s="80"/>
      <c r="E385" s="80"/>
      <c r="F385" s="80"/>
      <c r="G385" s="80"/>
      <c r="H385" s="80"/>
      <c r="I385" s="81"/>
      <c r="J385" s="80"/>
      <c r="K385" s="82"/>
      <c r="L385" s="83"/>
      <c r="M385" s="84"/>
      <c r="N385" s="84"/>
      <c r="O385" s="83"/>
      <c r="P385" s="80"/>
      <c r="Q385" s="80"/>
    </row>
    <row r="386" customFormat="false" ht="15.75" hidden="false" customHeight="true" outlineLevel="0" collapsed="false">
      <c r="A386" s="66" t="n">
        <v>383</v>
      </c>
      <c r="B386" s="70"/>
      <c r="C386" s="71"/>
      <c r="D386" s="72"/>
      <c r="E386" s="72"/>
      <c r="F386" s="72"/>
      <c r="G386" s="72"/>
      <c r="H386" s="72"/>
      <c r="I386" s="73"/>
      <c r="J386" s="72"/>
      <c r="K386" s="74"/>
      <c r="L386" s="75"/>
      <c r="M386" s="76"/>
      <c r="N386" s="76"/>
      <c r="O386" s="75"/>
      <c r="P386" s="72"/>
      <c r="Q386" s="72"/>
    </row>
    <row r="387" customFormat="false" ht="15.75" hidden="false" customHeight="true" outlineLevel="0" collapsed="false">
      <c r="A387" s="68" t="n">
        <v>384</v>
      </c>
      <c r="B387" s="78"/>
      <c r="C387" s="79"/>
      <c r="D387" s="80"/>
      <c r="E387" s="80"/>
      <c r="F387" s="80"/>
      <c r="G387" s="80"/>
      <c r="H387" s="80"/>
      <c r="I387" s="81"/>
      <c r="J387" s="80"/>
      <c r="K387" s="82"/>
      <c r="L387" s="83"/>
      <c r="M387" s="84"/>
      <c r="N387" s="84"/>
      <c r="O387" s="83"/>
      <c r="P387" s="80"/>
      <c r="Q387" s="80"/>
    </row>
    <row r="388" customFormat="false" ht="15.75" hidden="false" customHeight="true" outlineLevel="0" collapsed="false">
      <c r="A388" s="66" t="n">
        <v>385</v>
      </c>
      <c r="B388" s="70"/>
      <c r="C388" s="71"/>
      <c r="D388" s="72"/>
      <c r="E388" s="72"/>
      <c r="F388" s="72"/>
      <c r="G388" s="72"/>
      <c r="H388" s="72"/>
      <c r="I388" s="73"/>
      <c r="J388" s="72"/>
      <c r="K388" s="74"/>
      <c r="L388" s="75"/>
      <c r="M388" s="76"/>
      <c r="N388" s="76"/>
      <c r="O388" s="75"/>
      <c r="P388" s="72"/>
      <c r="Q388" s="72"/>
    </row>
    <row r="389" customFormat="false" ht="15.75" hidden="false" customHeight="true" outlineLevel="0" collapsed="false">
      <c r="A389" s="68" t="n">
        <v>386</v>
      </c>
      <c r="B389" s="78"/>
      <c r="C389" s="79"/>
      <c r="D389" s="80"/>
      <c r="E389" s="80"/>
      <c r="F389" s="80"/>
      <c r="G389" s="80"/>
      <c r="H389" s="80"/>
      <c r="I389" s="81"/>
      <c r="J389" s="80"/>
      <c r="K389" s="82"/>
      <c r="L389" s="83"/>
      <c r="M389" s="84"/>
      <c r="N389" s="84"/>
      <c r="O389" s="83"/>
      <c r="P389" s="80"/>
      <c r="Q389" s="80"/>
    </row>
    <row r="390" customFormat="false" ht="15.75" hidden="false" customHeight="true" outlineLevel="0" collapsed="false">
      <c r="A390" s="66" t="n">
        <v>387</v>
      </c>
      <c r="B390" s="70"/>
      <c r="C390" s="71"/>
      <c r="D390" s="72"/>
      <c r="E390" s="72"/>
      <c r="F390" s="72"/>
      <c r="G390" s="72"/>
      <c r="H390" s="72"/>
      <c r="I390" s="73"/>
      <c r="J390" s="72"/>
      <c r="K390" s="74"/>
      <c r="L390" s="75"/>
      <c r="M390" s="76"/>
      <c r="N390" s="76"/>
      <c r="O390" s="75"/>
      <c r="P390" s="72"/>
      <c r="Q390" s="72"/>
    </row>
    <row r="391" customFormat="false" ht="15.75" hidden="false" customHeight="true" outlineLevel="0" collapsed="false">
      <c r="A391" s="68" t="n">
        <v>388</v>
      </c>
      <c r="B391" s="78"/>
      <c r="C391" s="79"/>
      <c r="D391" s="80"/>
      <c r="E391" s="80"/>
      <c r="F391" s="80"/>
      <c r="G391" s="80"/>
      <c r="H391" s="80"/>
      <c r="I391" s="81"/>
      <c r="J391" s="80"/>
      <c r="K391" s="82"/>
      <c r="L391" s="83"/>
      <c r="M391" s="84"/>
      <c r="N391" s="84"/>
      <c r="O391" s="83"/>
      <c r="P391" s="80"/>
      <c r="Q391" s="80"/>
    </row>
    <row r="392" customFormat="false" ht="15.75" hidden="false" customHeight="true" outlineLevel="0" collapsed="false">
      <c r="A392" s="66" t="n">
        <v>389</v>
      </c>
      <c r="B392" s="70"/>
      <c r="C392" s="71"/>
      <c r="D392" s="72"/>
      <c r="E392" s="72"/>
      <c r="F392" s="72"/>
      <c r="G392" s="72"/>
      <c r="H392" s="72"/>
      <c r="I392" s="73"/>
      <c r="J392" s="72"/>
      <c r="K392" s="74"/>
      <c r="L392" s="75"/>
      <c r="M392" s="76"/>
      <c r="N392" s="76"/>
      <c r="O392" s="75"/>
      <c r="P392" s="72"/>
      <c r="Q392" s="72"/>
    </row>
    <row r="393" customFormat="false" ht="15.75" hidden="false" customHeight="true" outlineLevel="0" collapsed="false">
      <c r="A393" s="68" t="n">
        <v>390</v>
      </c>
      <c r="B393" s="78"/>
      <c r="C393" s="79"/>
      <c r="D393" s="80"/>
      <c r="E393" s="80"/>
      <c r="F393" s="80"/>
      <c r="G393" s="80"/>
      <c r="H393" s="80"/>
      <c r="I393" s="81"/>
      <c r="J393" s="80"/>
      <c r="K393" s="82"/>
      <c r="L393" s="83"/>
      <c r="M393" s="84"/>
      <c r="N393" s="84"/>
      <c r="O393" s="83"/>
      <c r="P393" s="80"/>
      <c r="Q393" s="80"/>
    </row>
    <row r="394" customFormat="false" ht="15.75" hidden="false" customHeight="true" outlineLevel="0" collapsed="false">
      <c r="A394" s="66" t="n">
        <v>391</v>
      </c>
      <c r="B394" s="70"/>
      <c r="C394" s="71"/>
      <c r="D394" s="72"/>
      <c r="E394" s="72"/>
      <c r="F394" s="72"/>
      <c r="G394" s="72"/>
      <c r="H394" s="72"/>
      <c r="I394" s="73"/>
      <c r="J394" s="72"/>
      <c r="K394" s="74"/>
      <c r="L394" s="75"/>
      <c r="M394" s="76"/>
      <c r="N394" s="76"/>
      <c r="O394" s="75"/>
      <c r="P394" s="72"/>
      <c r="Q394" s="72"/>
    </row>
    <row r="395" customFormat="false" ht="15.75" hidden="false" customHeight="true" outlineLevel="0" collapsed="false">
      <c r="A395" s="68" t="n">
        <v>392</v>
      </c>
      <c r="B395" s="78"/>
      <c r="C395" s="79"/>
      <c r="D395" s="80"/>
      <c r="E395" s="80"/>
      <c r="F395" s="80"/>
      <c r="G395" s="80"/>
      <c r="H395" s="80"/>
      <c r="I395" s="81"/>
      <c r="J395" s="80"/>
      <c r="K395" s="82"/>
      <c r="L395" s="83"/>
      <c r="M395" s="84"/>
      <c r="N395" s="84"/>
      <c r="O395" s="83"/>
      <c r="P395" s="80"/>
      <c r="Q395" s="80"/>
    </row>
    <row r="396" customFormat="false" ht="15.75" hidden="false" customHeight="true" outlineLevel="0" collapsed="false">
      <c r="A396" s="66" t="n">
        <v>393</v>
      </c>
      <c r="B396" s="70"/>
      <c r="C396" s="71"/>
      <c r="D396" s="72"/>
      <c r="E396" s="72"/>
      <c r="F396" s="72"/>
      <c r="G396" s="72"/>
      <c r="H396" s="72"/>
      <c r="I396" s="73"/>
      <c r="J396" s="72"/>
      <c r="K396" s="74"/>
      <c r="L396" s="75"/>
      <c r="M396" s="76"/>
      <c r="N396" s="76"/>
      <c r="O396" s="75"/>
      <c r="P396" s="72"/>
      <c r="Q396" s="72"/>
    </row>
    <row r="397" customFormat="false" ht="15.75" hidden="false" customHeight="true" outlineLevel="0" collapsed="false">
      <c r="A397" s="68" t="n">
        <v>394</v>
      </c>
      <c r="B397" s="78"/>
      <c r="C397" s="79"/>
      <c r="D397" s="80"/>
      <c r="E397" s="80"/>
      <c r="F397" s="80"/>
      <c r="G397" s="80"/>
      <c r="H397" s="80"/>
      <c r="I397" s="81"/>
      <c r="J397" s="80"/>
      <c r="K397" s="82"/>
      <c r="L397" s="83"/>
      <c r="M397" s="84"/>
      <c r="N397" s="84"/>
      <c r="O397" s="83"/>
      <c r="P397" s="80"/>
      <c r="Q397" s="80"/>
    </row>
    <row r="398" customFormat="false" ht="15.75" hidden="false" customHeight="true" outlineLevel="0" collapsed="false">
      <c r="A398" s="66" t="n">
        <v>395</v>
      </c>
      <c r="B398" s="70"/>
      <c r="C398" s="71"/>
      <c r="D398" s="72"/>
      <c r="E398" s="72"/>
      <c r="F398" s="72"/>
      <c r="G398" s="72"/>
      <c r="H398" s="72"/>
      <c r="I398" s="73"/>
      <c r="J398" s="72"/>
      <c r="K398" s="74"/>
      <c r="L398" s="75"/>
      <c r="M398" s="76"/>
      <c r="N398" s="76"/>
      <c r="O398" s="75"/>
      <c r="P398" s="72"/>
      <c r="Q398" s="72"/>
    </row>
    <row r="399" customFormat="false" ht="15.75" hidden="false" customHeight="true" outlineLevel="0" collapsed="false">
      <c r="A399" s="68" t="n">
        <v>396</v>
      </c>
      <c r="B399" s="78"/>
      <c r="C399" s="79"/>
      <c r="D399" s="80"/>
      <c r="E399" s="80"/>
      <c r="F399" s="80"/>
      <c r="G399" s="80"/>
      <c r="H399" s="80"/>
      <c r="I399" s="81"/>
      <c r="J399" s="80"/>
      <c r="K399" s="82"/>
      <c r="L399" s="83"/>
      <c r="M399" s="84"/>
      <c r="N399" s="84"/>
      <c r="O399" s="83"/>
      <c r="P399" s="80"/>
      <c r="Q399" s="80"/>
    </row>
    <row r="400" customFormat="false" ht="15.75" hidden="false" customHeight="true" outlineLevel="0" collapsed="false">
      <c r="A400" s="66" t="n">
        <v>397</v>
      </c>
      <c r="B400" s="70"/>
      <c r="C400" s="71"/>
      <c r="D400" s="72"/>
      <c r="E400" s="72"/>
      <c r="F400" s="72"/>
      <c r="G400" s="72"/>
      <c r="H400" s="72"/>
      <c r="I400" s="73"/>
      <c r="J400" s="72"/>
      <c r="K400" s="74"/>
      <c r="L400" s="75"/>
      <c r="M400" s="76"/>
      <c r="N400" s="76"/>
      <c r="O400" s="75"/>
      <c r="P400" s="72"/>
      <c r="Q400" s="72"/>
    </row>
    <row r="401" customFormat="false" ht="15.75" hidden="false" customHeight="true" outlineLevel="0" collapsed="false">
      <c r="A401" s="68" t="n">
        <v>398</v>
      </c>
      <c r="B401" s="78"/>
      <c r="C401" s="79"/>
      <c r="D401" s="80"/>
      <c r="E401" s="80"/>
      <c r="F401" s="80"/>
      <c r="G401" s="80"/>
      <c r="H401" s="80"/>
      <c r="I401" s="81"/>
      <c r="J401" s="80"/>
      <c r="K401" s="82"/>
      <c r="L401" s="83"/>
      <c r="M401" s="84"/>
      <c r="N401" s="84"/>
      <c r="O401" s="83"/>
      <c r="P401" s="80"/>
      <c r="Q401" s="80"/>
    </row>
    <row r="402" customFormat="false" ht="15.75" hidden="false" customHeight="true" outlineLevel="0" collapsed="false">
      <c r="A402" s="66" t="n">
        <v>399</v>
      </c>
      <c r="B402" s="70"/>
      <c r="C402" s="71"/>
      <c r="D402" s="72"/>
      <c r="E402" s="72"/>
      <c r="F402" s="72"/>
      <c r="G402" s="72"/>
      <c r="H402" s="72"/>
      <c r="I402" s="73"/>
      <c r="J402" s="72"/>
      <c r="K402" s="74"/>
      <c r="L402" s="75"/>
      <c r="M402" s="76"/>
      <c r="N402" s="76"/>
      <c r="O402" s="75"/>
      <c r="P402" s="72"/>
      <c r="Q402" s="72"/>
    </row>
    <row r="403" customFormat="false" ht="15.75" hidden="false" customHeight="true" outlineLevel="0" collapsed="false">
      <c r="A403" s="68" t="n">
        <v>400</v>
      </c>
      <c r="B403" s="78"/>
      <c r="C403" s="79"/>
      <c r="D403" s="80"/>
      <c r="E403" s="80"/>
      <c r="F403" s="80"/>
      <c r="G403" s="80"/>
      <c r="H403" s="80"/>
      <c r="I403" s="81"/>
      <c r="J403" s="80"/>
      <c r="K403" s="82"/>
      <c r="L403" s="83"/>
      <c r="M403" s="84"/>
      <c r="N403" s="84"/>
      <c r="O403" s="83"/>
      <c r="P403" s="80"/>
      <c r="Q403" s="80"/>
    </row>
    <row r="404" customFormat="false" ht="15.75" hidden="false" customHeight="true" outlineLevel="0" collapsed="false">
      <c r="A404" s="66" t="n">
        <v>401</v>
      </c>
      <c r="B404" s="70"/>
      <c r="C404" s="71"/>
      <c r="D404" s="72"/>
      <c r="E404" s="72"/>
      <c r="F404" s="72"/>
      <c r="G404" s="72"/>
      <c r="H404" s="72"/>
      <c r="I404" s="73"/>
      <c r="J404" s="72"/>
      <c r="K404" s="74"/>
      <c r="L404" s="75"/>
      <c r="M404" s="76"/>
      <c r="N404" s="76"/>
      <c r="O404" s="75"/>
      <c r="P404" s="72"/>
      <c r="Q404" s="72"/>
    </row>
    <row r="405" customFormat="false" ht="15.75" hidden="false" customHeight="true" outlineLevel="0" collapsed="false">
      <c r="A405" s="68" t="n">
        <v>402</v>
      </c>
      <c r="B405" s="78"/>
      <c r="C405" s="79"/>
      <c r="D405" s="80"/>
      <c r="E405" s="80"/>
      <c r="F405" s="80"/>
      <c r="G405" s="80"/>
      <c r="H405" s="80"/>
      <c r="I405" s="81"/>
      <c r="J405" s="80"/>
      <c r="K405" s="82"/>
      <c r="L405" s="83"/>
      <c r="M405" s="84"/>
      <c r="N405" s="84"/>
      <c r="O405" s="83"/>
      <c r="P405" s="80"/>
      <c r="Q405" s="80"/>
    </row>
    <row r="406" customFormat="false" ht="15.75" hidden="false" customHeight="true" outlineLevel="0" collapsed="false">
      <c r="A406" s="66" t="n">
        <v>403</v>
      </c>
      <c r="B406" s="70"/>
      <c r="C406" s="71"/>
      <c r="D406" s="72"/>
      <c r="E406" s="72"/>
      <c r="F406" s="72"/>
      <c r="G406" s="72"/>
      <c r="H406" s="72"/>
      <c r="I406" s="73"/>
      <c r="J406" s="72"/>
      <c r="K406" s="74"/>
      <c r="L406" s="75"/>
      <c r="M406" s="76"/>
      <c r="N406" s="76"/>
      <c r="O406" s="75"/>
      <c r="P406" s="72"/>
      <c r="Q406" s="72"/>
    </row>
    <row r="407" customFormat="false" ht="15.75" hidden="false" customHeight="true" outlineLevel="0" collapsed="false">
      <c r="A407" s="68" t="n">
        <v>404</v>
      </c>
      <c r="B407" s="78"/>
      <c r="C407" s="79"/>
      <c r="D407" s="80"/>
      <c r="E407" s="80"/>
      <c r="F407" s="80"/>
      <c r="G407" s="80"/>
      <c r="H407" s="80"/>
      <c r="I407" s="81"/>
      <c r="J407" s="80"/>
      <c r="K407" s="82"/>
      <c r="L407" s="83"/>
      <c r="M407" s="84"/>
      <c r="N407" s="84"/>
      <c r="O407" s="83"/>
      <c r="P407" s="80"/>
      <c r="Q407" s="80"/>
    </row>
    <row r="408" customFormat="false" ht="15.75" hidden="false" customHeight="true" outlineLevel="0" collapsed="false">
      <c r="A408" s="66" t="n">
        <v>405</v>
      </c>
      <c r="B408" s="70"/>
      <c r="C408" s="71"/>
      <c r="D408" s="72"/>
      <c r="E408" s="72"/>
      <c r="F408" s="72"/>
      <c r="G408" s="72"/>
      <c r="H408" s="72"/>
      <c r="I408" s="73"/>
      <c r="J408" s="72"/>
      <c r="K408" s="74"/>
      <c r="L408" s="75"/>
      <c r="M408" s="76"/>
      <c r="N408" s="76"/>
      <c r="O408" s="75"/>
      <c r="P408" s="72"/>
      <c r="Q408" s="72"/>
    </row>
    <row r="409" customFormat="false" ht="15.75" hidden="false" customHeight="true" outlineLevel="0" collapsed="false">
      <c r="A409" s="68" t="n">
        <v>406</v>
      </c>
      <c r="B409" s="78"/>
      <c r="C409" s="79"/>
      <c r="D409" s="80"/>
      <c r="E409" s="80"/>
      <c r="F409" s="80"/>
      <c r="G409" s="80"/>
      <c r="H409" s="80"/>
      <c r="I409" s="81"/>
      <c r="J409" s="80"/>
      <c r="K409" s="82"/>
      <c r="L409" s="83"/>
      <c r="M409" s="84"/>
      <c r="N409" s="84"/>
      <c r="O409" s="83"/>
      <c r="P409" s="80"/>
      <c r="Q409" s="80"/>
    </row>
    <row r="410" customFormat="false" ht="15.75" hidden="false" customHeight="true" outlineLevel="0" collapsed="false">
      <c r="A410" s="66" t="n">
        <v>407</v>
      </c>
      <c r="B410" s="70"/>
      <c r="C410" s="71"/>
      <c r="D410" s="72"/>
      <c r="E410" s="72"/>
      <c r="F410" s="72"/>
      <c r="G410" s="72"/>
      <c r="H410" s="72"/>
      <c r="I410" s="73"/>
      <c r="J410" s="72"/>
      <c r="K410" s="74"/>
      <c r="L410" s="75"/>
      <c r="M410" s="76"/>
      <c r="N410" s="76"/>
      <c r="O410" s="75"/>
      <c r="P410" s="72"/>
      <c r="Q410" s="72"/>
    </row>
    <row r="411" customFormat="false" ht="15.75" hidden="false" customHeight="true" outlineLevel="0" collapsed="false">
      <c r="A411" s="68" t="n">
        <v>408</v>
      </c>
      <c r="B411" s="78"/>
      <c r="C411" s="79"/>
      <c r="D411" s="80"/>
      <c r="E411" s="80"/>
      <c r="F411" s="80"/>
      <c r="G411" s="80"/>
      <c r="H411" s="80"/>
      <c r="I411" s="81"/>
      <c r="J411" s="80"/>
      <c r="K411" s="82"/>
      <c r="L411" s="83"/>
      <c r="M411" s="84"/>
      <c r="N411" s="84"/>
      <c r="O411" s="83"/>
      <c r="P411" s="80"/>
      <c r="Q411" s="80"/>
    </row>
    <row r="412" customFormat="false" ht="15.75" hidden="false" customHeight="true" outlineLevel="0" collapsed="false">
      <c r="A412" s="66" t="n">
        <v>409</v>
      </c>
      <c r="B412" s="70"/>
      <c r="C412" s="71"/>
      <c r="D412" s="72"/>
      <c r="E412" s="72"/>
      <c r="F412" s="72"/>
      <c r="G412" s="72"/>
      <c r="H412" s="72"/>
      <c r="I412" s="73"/>
      <c r="J412" s="72"/>
      <c r="K412" s="74"/>
      <c r="L412" s="75"/>
      <c r="M412" s="76"/>
      <c r="N412" s="76"/>
      <c r="O412" s="75"/>
      <c r="P412" s="72"/>
      <c r="Q412" s="72"/>
    </row>
    <row r="413" customFormat="false" ht="15.75" hidden="false" customHeight="true" outlineLevel="0" collapsed="false">
      <c r="A413" s="68" t="n">
        <v>410</v>
      </c>
      <c r="B413" s="78"/>
      <c r="C413" s="79"/>
      <c r="D413" s="80"/>
      <c r="E413" s="80"/>
      <c r="F413" s="80"/>
      <c r="G413" s="80"/>
      <c r="H413" s="80"/>
      <c r="I413" s="81"/>
      <c r="J413" s="80"/>
      <c r="K413" s="82"/>
      <c r="L413" s="83"/>
      <c r="M413" s="84"/>
      <c r="N413" s="84"/>
      <c r="O413" s="83"/>
      <c r="P413" s="80"/>
      <c r="Q413" s="80"/>
    </row>
    <row r="414" customFormat="false" ht="15.75" hidden="false" customHeight="true" outlineLevel="0" collapsed="false">
      <c r="A414" s="66" t="n">
        <v>411</v>
      </c>
      <c r="B414" s="70"/>
      <c r="C414" s="71"/>
      <c r="D414" s="72"/>
      <c r="E414" s="72"/>
      <c r="F414" s="72"/>
      <c r="G414" s="72"/>
      <c r="H414" s="72"/>
      <c r="I414" s="73"/>
      <c r="J414" s="72"/>
      <c r="K414" s="74"/>
      <c r="L414" s="75"/>
      <c r="M414" s="76"/>
      <c r="N414" s="76"/>
      <c r="O414" s="75"/>
      <c r="P414" s="72"/>
      <c r="Q414" s="72"/>
    </row>
    <row r="415" customFormat="false" ht="15.75" hidden="false" customHeight="true" outlineLevel="0" collapsed="false">
      <c r="A415" s="68" t="n">
        <v>412</v>
      </c>
      <c r="B415" s="78"/>
      <c r="C415" s="79"/>
      <c r="D415" s="80"/>
      <c r="E415" s="80"/>
      <c r="F415" s="80"/>
      <c r="G415" s="80"/>
      <c r="H415" s="80"/>
      <c r="I415" s="81"/>
      <c r="J415" s="80"/>
      <c r="K415" s="82"/>
      <c r="L415" s="83"/>
      <c r="M415" s="84"/>
      <c r="N415" s="84"/>
      <c r="O415" s="83"/>
      <c r="P415" s="80"/>
      <c r="Q415" s="80"/>
    </row>
    <row r="416" customFormat="false" ht="15.75" hidden="false" customHeight="true" outlineLevel="0" collapsed="false">
      <c r="A416" s="66" t="n">
        <v>413</v>
      </c>
      <c r="B416" s="70"/>
      <c r="C416" s="71"/>
      <c r="D416" s="72"/>
      <c r="E416" s="72"/>
      <c r="F416" s="72"/>
      <c r="G416" s="72"/>
      <c r="H416" s="72"/>
      <c r="I416" s="73"/>
      <c r="J416" s="72"/>
      <c r="K416" s="74"/>
      <c r="L416" s="75"/>
      <c r="M416" s="76"/>
      <c r="N416" s="76"/>
      <c r="O416" s="75"/>
      <c r="P416" s="72"/>
      <c r="Q416" s="72"/>
    </row>
    <row r="417" customFormat="false" ht="15.75" hidden="false" customHeight="true" outlineLevel="0" collapsed="false">
      <c r="A417" s="68" t="n">
        <v>414</v>
      </c>
      <c r="B417" s="78"/>
      <c r="C417" s="79"/>
      <c r="D417" s="80"/>
      <c r="E417" s="80"/>
      <c r="F417" s="80"/>
      <c r="G417" s="80"/>
      <c r="H417" s="80"/>
      <c r="I417" s="81"/>
      <c r="J417" s="80"/>
      <c r="K417" s="82"/>
      <c r="L417" s="83"/>
      <c r="M417" s="84"/>
      <c r="N417" s="84"/>
      <c r="O417" s="83"/>
      <c r="P417" s="80"/>
      <c r="Q417" s="80"/>
    </row>
    <row r="418" customFormat="false" ht="15.75" hidden="false" customHeight="true" outlineLevel="0" collapsed="false">
      <c r="A418" s="66" t="n">
        <v>415</v>
      </c>
      <c r="B418" s="70"/>
      <c r="C418" s="71"/>
      <c r="D418" s="72"/>
      <c r="E418" s="72"/>
      <c r="F418" s="72"/>
      <c r="G418" s="72"/>
      <c r="H418" s="72"/>
      <c r="I418" s="73"/>
      <c r="J418" s="72"/>
      <c r="K418" s="74"/>
      <c r="L418" s="75"/>
      <c r="M418" s="76"/>
      <c r="N418" s="76"/>
      <c r="O418" s="75"/>
      <c r="P418" s="72"/>
      <c r="Q418" s="72"/>
    </row>
    <row r="419" customFormat="false" ht="15.75" hidden="false" customHeight="true" outlineLevel="0" collapsed="false">
      <c r="A419" s="68" t="n">
        <v>416</v>
      </c>
      <c r="B419" s="78"/>
      <c r="C419" s="79"/>
      <c r="D419" s="80"/>
      <c r="E419" s="80"/>
      <c r="F419" s="80"/>
      <c r="G419" s="80"/>
      <c r="H419" s="80"/>
      <c r="I419" s="81"/>
      <c r="J419" s="80"/>
      <c r="K419" s="82"/>
      <c r="L419" s="83"/>
      <c r="M419" s="84"/>
      <c r="N419" s="84"/>
      <c r="O419" s="83"/>
      <c r="P419" s="80"/>
      <c r="Q419" s="80"/>
    </row>
    <row r="420" customFormat="false" ht="15.75" hidden="false" customHeight="true" outlineLevel="0" collapsed="false">
      <c r="A420" s="66" t="n">
        <v>417</v>
      </c>
      <c r="B420" s="70"/>
      <c r="C420" s="71"/>
      <c r="D420" s="72"/>
      <c r="E420" s="72"/>
      <c r="F420" s="72"/>
      <c r="G420" s="72"/>
      <c r="H420" s="72"/>
      <c r="I420" s="73"/>
      <c r="J420" s="72"/>
      <c r="K420" s="74"/>
      <c r="L420" s="75"/>
      <c r="M420" s="76"/>
      <c r="N420" s="76"/>
      <c r="O420" s="75"/>
      <c r="P420" s="72"/>
      <c r="Q420" s="72"/>
    </row>
    <row r="421" customFormat="false" ht="15.75" hidden="false" customHeight="true" outlineLevel="0" collapsed="false">
      <c r="A421" s="68" t="n">
        <v>418</v>
      </c>
      <c r="B421" s="78"/>
      <c r="C421" s="79"/>
      <c r="D421" s="80"/>
      <c r="E421" s="80"/>
      <c r="F421" s="80"/>
      <c r="G421" s="80"/>
      <c r="H421" s="80"/>
      <c r="I421" s="81"/>
      <c r="J421" s="80"/>
      <c r="K421" s="82"/>
      <c r="L421" s="83"/>
      <c r="M421" s="84"/>
      <c r="N421" s="84"/>
      <c r="O421" s="83"/>
      <c r="P421" s="80"/>
      <c r="Q421" s="80"/>
    </row>
    <row r="422" customFormat="false" ht="15.75" hidden="false" customHeight="true" outlineLevel="0" collapsed="false">
      <c r="A422" s="66" t="n">
        <v>419</v>
      </c>
      <c r="B422" s="70"/>
      <c r="C422" s="71"/>
      <c r="D422" s="72"/>
      <c r="E422" s="72"/>
      <c r="F422" s="72"/>
      <c r="G422" s="72"/>
      <c r="H422" s="72"/>
      <c r="I422" s="73"/>
      <c r="J422" s="72"/>
      <c r="K422" s="74"/>
      <c r="L422" s="75"/>
      <c r="M422" s="76"/>
      <c r="N422" s="76"/>
      <c r="O422" s="75"/>
      <c r="P422" s="72"/>
      <c r="Q422" s="72"/>
    </row>
    <row r="423" customFormat="false" ht="15.75" hidden="false" customHeight="true" outlineLevel="0" collapsed="false">
      <c r="A423" s="68" t="n">
        <v>420</v>
      </c>
      <c r="B423" s="78"/>
      <c r="C423" s="79"/>
      <c r="D423" s="80"/>
      <c r="E423" s="80"/>
      <c r="F423" s="80"/>
      <c r="G423" s="80"/>
      <c r="H423" s="80"/>
      <c r="I423" s="81"/>
      <c r="J423" s="80"/>
      <c r="K423" s="82"/>
      <c r="L423" s="83"/>
      <c r="M423" s="84"/>
      <c r="N423" s="84"/>
      <c r="O423" s="83"/>
      <c r="P423" s="80"/>
      <c r="Q423" s="80"/>
    </row>
    <row r="424" customFormat="false" ht="15.75" hidden="false" customHeight="true" outlineLevel="0" collapsed="false">
      <c r="A424" s="66" t="n">
        <v>421</v>
      </c>
      <c r="B424" s="70"/>
      <c r="C424" s="71"/>
      <c r="D424" s="72"/>
      <c r="E424" s="72"/>
      <c r="F424" s="72"/>
      <c r="G424" s="72"/>
      <c r="H424" s="72"/>
      <c r="I424" s="73"/>
      <c r="J424" s="72"/>
      <c r="K424" s="74"/>
      <c r="L424" s="75"/>
      <c r="M424" s="76"/>
      <c r="N424" s="76"/>
      <c r="O424" s="75"/>
      <c r="P424" s="72"/>
      <c r="Q424" s="72"/>
    </row>
    <row r="425" customFormat="false" ht="15.75" hidden="false" customHeight="true" outlineLevel="0" collapsed="false">
      <c r="A425" s="68" t="n">
        <v>422</v>
      </c>
      <c r="B425" s="78"/>
      <c r="C425" s="79"/>
      <c r="D425" s="80"/>
      <c r="E425" s="80"/>
      <c r="F425" s="80"/>
      <c r="G425" s="80"/>
      <c r="H425" s="80"/>
      <c r="I425" s="81"/>
      <c r="J425" s="80"/>
      <c r="K425" s="82"/>
      <c r="L425" s="83"/>
      <c r="M425" s="84"/>
      <c r="N425" s="84"/>
      <c r="O425" s="83"/>
      <c r="P425" s="80"/>
      <c r="Q425" s="80"/>
    </row>
    <row r="426" customFormat="false" ht="15.75" hidden="false" customHeight="true" outlineLevel="0" collapsed="false">
      <c r="A426" s="66" t="n">
        <v>423</v>
      </c>
      <c r="B426" s="70"/>
      <c r="C426" s="71"/>
      <c r="D426" s="72"/>
      <c r="E426" s="72"/>
      <c r="F426" s="72"/>
      <c r="G426" s="72"/>
      <c r="H426" s="72"/>
      <c r="I426" s="73"/>
      <c r="J426" s="72"/>
      <c r="K426" s="74"/>
      <c r="L426" s="75"/>
      <c r="M426" s="76"/>
      <c r="N426" s="76"/>
      <c r="O426" s="75"/>
      <c r="P426" s="72"/>
      <c r="Q426" s="72"/>
    </row>
    <row r="427" customFormat="false" ht="15.75" hidden="false" customHeight="true" outlineLevel="0" collapsed="false">
      <c r="A427" s="68" t="n">
        <v>424</v>
      </c>
      <c r="B427" s="78"/>
      <c r="C427" s="79"/>
      <c r="D427" s="80"/>
      <c r="E427" s="80"/>
      <c r="F427" s="80"/>
      <c r="G427" s="80"/>
      <c r="H427" s="80"/>
      <c r="I427" s="81"/>
      <c r="J427" s="80"/>
      <c r="K427" s="82"/>
      <c r="L427" s="83"/>
      <c r="M427" s="84"/>
      <c r="N427" s="84"/>
      <c r="O427" s="83"/>
      <c r="P427" s="80"/>
      <c r="Q427" s="80"/>
    </row>
    <row r="428" customFormat="false" ht="15.75" hidden="false" customHeight="true" outlineLevel="0" collapsed="false">
      <c r="A428" s="66" t="n">
        <v>425</v>
      </c>
      <c r="B428" s="70"/>
      <c r="C428" s="71"/>
      <c r="D428" s="72"/>
      <c r="E428" s="72"/>
      <c r="F428" s="72"/>
      <c r="G428" s="72"/>
      <c r="H428" s="72"/>
      <c r="I428" s="73"/>
      <c r="J428" s="72"/>
      <c r="K428" s="74"/>
      <c r="L428" s="75"/>
      <c r="M428" s="76"/>
      <c r="N428" s="76"/>
      <c r="O428" s="75"/>
      <c r="P428" s="72"/>
      <c r="Q428" s="72"/>
    </row>
    <row r="429" customFormat="false" ht="15.75" hidden="false" customHeight="true" outlineLevel="0" collapsed="false">
      <c r="A429" s="68" t="n">
        <v>426</v>
      </c>
      <c r="B429" s="78"/>
      <c r="C429" s="79"/>
      <c r="D429" s="80"/>
      <c r="E429" s="80"/>
      <c r="F429" s="80"/>
      <c r="G429" s="80"/>
      <c r="H429" s="80"/>
      <c r="I429" s="81"/>
      <c r="J429" s="80"/>
      <c r="K429" s="82"/>
      <c r="L429" s="83"/>
      <c r="M429" s="84"/>
      <c r="N429" s="84"/>
      <c r="O429" s="83"/>
      <c r="P429" s="80"/>
      <c r="Q429" s="80"/>
    </row>
    <row r="430" customFormat="false" ht="15.75" hidden="false" customHeight="true" outlineLevel="0" collapsed="false">
      <c r="A430" s="66" t="n">
        <v>427</v>
      </c>
      <c r="B430" s="70"/>
      <c r="C430" s="71"/>
      <c r="D430" s="72"/>
      <c r="E430" s="72"/>
      <c r="F430" s="72"/>
      <c r="G430" s="72"/>
      <c r="H430" s="72"/>
      <c r="I430" s="73"/>
      <c r="J430" s="72"/>
      <c r="K430" s="74"/>
      <c r="L430" s="75"/>
      <c r="M430" s="76"/>
      <c r="N430" s="76"/>
      <c r="O430" s="75"/>
      <c r="P430" s="72"/>
      <c r="Q430" s="72"/>
    </row>
    <row r="431" customFormat="false" ht="15.75" hidden="false" customHeight="true" outlineLevel="0" collapsed="false">
      <c r="A431" s="68" t="n">
        <v>428</v>
      </c>
      <c r="B431" s="78"/>
      <c r="C431" s="79"/>
      <c r="D431" s="80"/>
      <c r="E431" s="80"/>
      <c r="F431" s="80"/>
      <c r="G431" s="80"/>
      <c r="H431" s="80"/>
      <c r="I431" s="81"/>
      <c r="J431" s="80"/>
      <c r="K431" s="82"/>
      <c r="L431" s="83"/>
      <c r="M431" s="84"/>
      <c r="N431" s="84"/>
      <c r="O431" s="83"/>
      <c r="P431" s="80"/>
      <c r="Q431" s="80"/>
    </row>
    <row r="432" customFormat="false" ht="15.75" hidden="false" customHeight="true" outlineLevel="0" collapsed="false">
      <c r="A432" s="66" t="n">
        <v>429</v>
      </c>
      <c r="B432" s="70"/>
      <c r="C432" s="71"/>
      <c r="D432" s="72"/>
      <c r="E432" s="72"/>
      <c r="F432" s="72"/>
      <c r="G432" s="72"/>
      <c r="H432" s="72"/>
      <c r="I432" s="73"/>
      <c r="J432" s="72"/>
      <c r="K432" s="74"/>
      <c r="L432" s="75"/>
      <c r="M432" s="76"/>
      <c r="N432" s="76"/>
      <c r="O432" s="75"/>
      <c r="P432" s="72"/>
      <c r="Q432" s="72"/>
    </row>
    <row r="433" customFormat="false" ht="15.75" hidden="false" customHeight="true" outlineLevel="0" collapsed="false">
      <c r="A433" s="68" t="n">
        <v>430</v>
      </c>
      <c r="B433" s="78"/>
      <c r="C433" s="79"/>
      <c r="D433" s="80"/>
      <c r="E433" s="80"/>
      <c r="F433" s="80"/>
      <c r="G433" s="80"/>
      <c r="H433" s="80"/>
      <c r="I433" s="81"/>
      <c r="J433" s="80"/>
      <c r="K433" s="82"/>
      <c r="L433" s="83"/>
      <c r="M433" s="84"/>
      <c r="N433" s="84"/>
      <c r="O433" s="83"/>
      <c r="P433" s="80"/>
      <c r="Q433" s="80"/>
    </row>
    <row r="434" customFormat="false" ht="15.75" hidden="false" customHeight="true" outlineLevel="0" collapsed="false">
      <c r="A434" s="66" t="n">
        <v>431</v>
      </c>
      <c r="B434" s="70"/>
      <c r="C434" s="71"/>
      <c r="D434" s="72"/>
      <c r="E434" s="72"/>
      <c r="F434" s="72"/>
      <c r="G434" s="72"/>
      <c r="H434" s="72"/>
      <c r="I434" s="73"/>
      <c r="J434" s="72"/>
      <c r="K434" s="74"/>
      <c r="L434" s="75"/>
      <c r="M434" s="76"/>
      <c r="N434" s="76"/>
      <c r="O434" s="75"/>
      <c r="P434" s="72"/>
      <c r="Q434" s="72"/>
    </row>
    <row r="435" customFormat="false" ht="15.75" hidden="false" customHeight="true" outlineLevel="0" collapsed="false">
      <c r="A435" s="68" t="n">
        <v>432</v>
      </c>
      <c r="B435" s="78"/>
      <c r="C435" s="79"/>
      <c r="D435" s="80"/>
      <c r="E435" s="80"/>
      <c r="F435" s="80"/>
      <c r="G435" s="80"/>
      <c r="H435" s="80"/>
      <c r="I435" s="81"/>
      <c r="J435" s="80"/>
      <c r="K435" s="82"/>
      <c r="L435" s="83"/>
      <c r="M435" s="84"/>
      <c r="N435" s="84"/>
      <c r="O435" s="83"/>
      <c r="P435" s="80"/>
      <c r="Q435" s="80"/>
    </row>
    <row r="436" customFormat="false" ht="15.75" hidden="false" customHeight="true" outlineLevel="0" collapsed="false">
      <c r="A436" s="66" t="n">
        <v>433</v>
      </c>
      <c r="B436" s="70"/>
      <c r="C436" s="71"/>
      <c r="D436" s="72"/>
      <c r="E436" s="72"/>
      <c r="F436" s="72"/>
      <c r="G436" s="72"/>
      <c r="H436" s="72"/>
      <c r="I436" s="73"/>
      <c r="J436" s="72"/>
      <c r="K436" s="74"/>
      <c r="L436" s="75"/>
      <c r="M436" s="76"/>
      <c r="N436" s="76"/>
      <c r="O436" s="75"/>
      <c r="P436" s="72"/>
      <c r="Q436" s="72"/>
    </row>
    <row r="437" customFormat="false" ht="15.75" hidden="false" customHeight="true" outlineLevel="0" collapsed="false">
      <c r="A437" s="68" t="n">
        <v>434</v>
      </c>
      <c r="B437" s="78"/>
      <c r="C437" s="79"/>
      <c r="D437" s="80"/>
      <c r="E437" s="80"/>
      <c r="F437" s="80"/>
      <c r="G437" s="80"/>
      <c r="H437" s="80"/>
      <c r="I437" s="81"/>
      <c r="J437" s="80"/>
      <c r="K437" s="82"/>
      <c r="L437" s="83"/>
      <c r="M437" s="84"/>
      <c r="N437" s="84"/>
      <c r="O437" s="83"/>
      <c r="P437" s="80"/>
      <c r="Q437" s="80"/>
    </row>
    <row r="438" customFormat="false" ht="15.75" hidden="false" customHeight="true" outlineLevel="0" collapsed="false">
      <c r="A438" s="66" t="n">
        <v>435</v>
      </c>
      <c r="B438" s="70"/>
      <c r="C438" s="71"/>
      <c r="D438" s="72"/>
      <c r="E438" s="72"/>
      <c r="F438" s="72"/>
      <c r="G438" s="72"/>
      <c r="H438" s="72"/>
      <c r="I438" s="73"/>
      <c r="J438" s="72"/>
      <c r="K438" s="74"/>
      <c r="L438" s="75"/>
      <c r="M438" s="76"/>
      <c r="N438" s="76"/>
      <c r="O438" s="75"/>
      <c r="P438" s="72"/>
      <c r="Q438" s="72"/>
    </row>
    <row r="439" customFormat="false" ht="15.75" hidden="false" customHeight="true" outlineLevel="0" collapsed="false">
      <c r="A439" s="68" t="n">
        <v>436</v>
      </c>
      <c r="B439" s="78"/>
      <c r="C439" s="79"/>
      <c r="D439" s="80"/>
      <c r="E439" s="80"/>
      <c r="F439" s="80"/>
      <c r="G439" s="80"/>
      <c r="H439" s="80"/>
      <c r="I439" s="81"/>
      <c r="J439" s="80"/>
      <c r="K439" s="82"/>
      <c r="L439" s="83"/>
      <c r="M439" s="84"/>
      <c r="N439" s="84"/>
      <c r="O439" s="83"/>
      <c r="P439" s="80"/>
      <c r="Q439" s="80"/>
    </row>
    <row r="440" customFormat="false" ht="15.75" hidden="false" customHeight="true" outlineLevel="0" collapsed="false">
      <c r="A440" s="66" t="n">
        <v>437</v>
      </c>
      <c r="B440" s="70"/>
      <c r="C440" s="71"/>
      <c r="D440" s="72"/>
      <c r="E440" s="72"/>
      <c r="F440" s="72"/>
      <c r="G440" s="72"/>
      <c r="H440" s="72"/>
      <c r="I440" s="73"/>
      <c r="J440" s="72"/>
      <c r="K440" s="74"/>
      <c r="L440" s="75"/>
      <c r="M440" s="76"/>
      <c r="N440" s="76"/>
      <c r="O440" s="75"/>
      <c r="P440" s="72"/>
      <c r="Q440" s="72"/>
    </row>
    <row r="441" customFormat="false" ht="15.75" hidden="false" customHeight="true" outlineLevel="0" collapsed="false">
      <c r="A441" s="68" t="n">
        <v>438</v>
      </c>
      <c r="B441" s="78"/>
      <c r="C441" s="79"/>
      <c r="D441" s="80"/>
      <c r="E441" s="80"/>
      <c r="F441" s="80"/>
      <c r="G441" s="80"/>
      <c r="H441" s="80"/>
      <c r="I441" s="81"/>
      <c r="J441" s="80"/>
      <c r="K441" s="82"/>
      <c r="L441" s="83"/>
      <c r="M441" s="84"/>
      <c r="N441" s="84"/>
      <c r="O441" s="83"/>
      <c r="P441" s="80"/>
      <c r="Q441" s="80"/>
    </row>
    <row r="442" customFormat="false" ht="15.75" hidden="false" customHeight="true" outlineLevel="0" collapsed="false">
      <c r="A442" s="66" t="n">
        <v>439</v>
      </c>
      <c r="B442" s="70"/>
      <c r="C442" s="71"/>
      <c r="D442" s="72"/>
      <c r="E442" s="72"/>
      <c r="F442" s="72"/>
      <c r="G442" s="72"/>
      <c r="H442" s="72"/>
      <c r="I442" s="73"/>
      <c r="J442" s="72"/>
      <c r="K442" s="74"/>
      <c r="L442" s="75"/>
      <c r="M442" s="76"/>
      <c r="N442" s="76"/>
      <c r="O442" s="75"/>
      <c r="P442" s="72"/>
      <c r="Q442" s="72"/>
    </row>
    <row r="443" customFormat="false" ht="15.75" hidden="false" customHeight="true" outlineLevel="0" collapsed="false">
      <c r="A443" s="68" t="n">
        <v>440</v>
      </c>
      <c r="B443" s="78"/>
      <c r="C443" s="79"/>
      <c r="D443" s="80"/>
      <c r="E443" s="80"/>
      <c r="F443" s="80"/>
      <c r="G443" s="80"/>
      <c r="H443" s="80"/>
      <c r="I443" s="81"/>
      <c r="J443" s="80"/>
      <c r="K443" s="82"/>
      <c r="L443" s="83"/>
      <c r="M443" s="84"/>
      <c r="N443" s="84"/>
      <c r="O443" s="83"/>
      <c r="P443" s="80"/>
      <c r="Q443" s="80"/>
    </row>
    <row r="444" customFormat="false" ht="15.75" hidden="false" customHeight="true" outlineLevel="0" collapsed="false">
      <c r="A444" s="66" t="n">
        <v>441</v>
      </c>
      <c r="B444" s="70"/>
      <c r="C444" s="71"/>
      <c r="D444" s="72"/>
      <c r="E444" s="72"/>
      <c r="F444" s="72"/>
      <c r="G444" s="72"/>
      <c r="H444" s="72"/>
      <c r="I444" s="73"/>
      <c r="J444" s="72"/>
      <c r="K444" s="74"/>
      <c r="L444" s="75"/>
      <c r="M444" s="76"/>
      <c r="N444" s="76"/>
      <c r="O444" s="75"/>
      <c r="P444" s="72"/>
      <c r="Q444" s="72"/>
    </row>
    <row r="445" customFormat="false" ht="15.75" hidden="false" customHeight="true" outlineLevel="0" collapsed="false">
      <c r="A445" s="68" t="n">
        <v>442</v>
      </c>
      <c r="B445" s="78"/>
      <c r="C445" s="79"/>
      <c r="D445" s="80"/>
      <c r="E445" s="80"/>
      <c r="F445" s="80"/>
      <c r="G445" s="80"/>
      <c r="H445" s="80"/>
      <c r="I445" s="81"/>
      <c r="J445" s="80"/>
      <c r="K445" s="82"/>
      <c r="L445" s="83"/>
      <c r="M445" s="84"/>
      <c r="N445" s="84"/>
      <c r="O445" s="83"/>
      <c r="P445" s="80"/>
      <c r="Q445" s="80"/>
    </row>
    <row r="446" customFormat="false" ht="15.75" hidden="false" customHeight="true" outlineLevel="0" collapsed="false">
      <c r="A446" s="66" t="n">
        <v>443</v>
      </c>
      <c r="B446" s="70"/>
      <c r="C446" s="71"/>
      <c r="D446" s="72"/>
      <c r="E446" s="72"/>
      <c r="F446" s="72"/>
      <c r="G446" s="72"/>
      <c r="H446" s="72"/>
      <c r="I446" s="73"/>
      <c r="J446" s="72"/>
      <c r="K446" s="74"/>
      <c r="L446" s="75"/>
      <c r="M446" s="76"/>
      <c r="N446" s="76"/>
      <c r="O446" s="75"/>
      <c r="P446" s="72"/>
      <c r="Q446" s="72"/>
    </row>
    <row r="447" customFormat="false" ht="15.75" hidden="false" customHeight="true" outlineLevel="0" collapsed="false">
      <c r="A447" s="68" t="n">
        <v>444</v>
      </c>
      <c r="B447" s="78"/>
      <c r="C447" s="79"/>
      <c r="D447" s="80"/>
      <c r="E447" s="80"/>
      <c r="F447" s="80"/>
      <c r="G447" s="80"/>
      <c r="H447" s="80"/>
      <c r="I447" s="81"/>
      <c r="J447" s="80"/>
      <c r="K447" s="82"/>
      <c r="L447" s="83"/>
      <c r="M447" s="84"/>
      <c r="N447" s="84"/>
      <c r="O447" s="83"/>
      <c r="P447" s="80"/>
      <c r="Q447" s="80"/>
    </row>
    <row r="448" customFormat="false" ht="15.75" hidden="false" customHeight="true" outlineLevel="0" collapsed="false">
      <c r="A448" s="66" t="n">
        <v>445</v>
      </c>
      <c r="B448" s="70"/>
      <c r="C448" s="71"/>
      <c r="D448" s="72"/>
      <c r="E448" s="72"/>
      <c r="F448" s="72"/>
      <c r="G448" s="72"/>
      <c r="H448" s="72"/>
      <c r="I448" s="73"/>
      <c r="J448" s="72"/>
      <c r="K448" s="74"/>
      <c r="L448" s="75"/>
      <c r="M448" s="76"/>
      <c r="N448" s="76"/>
      <c r="O448" s="75"/>
      <c r="P448" s="72"/>
      <c r="Q448" s="72"/>
    </row>
    <row r="449" customFormat="false" ht="15.75" hidden="false" customHeight="true" outlineLevel="0" collapsed="false">
      <c r="A449" s="68" t="n">
        <v>446</v>
      </c>
      <c r="B449" s="78"/>
      <c r="C449" s="79"/>
      <c r="D449" s="80"/>
      <c r="E449" s="80"/>
      <c r="F449" s="80"/>
      <c r="G449" s="80"/>
      <c r="H449" s="80"/>
      <c r="I449" s="81"/>
      <c r="J449" s="80"/>
      <c r="K449" s="82"/>
      <c r="L449" s="83"/>
      <c r="M449" s="84"/>
      <c r="N449" s="84"/>
      <c r="O449" s="83"/>
      <c r="P449" s="80"/>
      <c r="Q449" s="80"/>
    </row>
    <row r="450" customFormat="false" ht="15.75" hidden="false" customHeight="true" outlineLevel="0" collapsed="false">
      <c r="A450" s="66" t="n">
        <v>447</v>
      </c>
      <c r="B450" s="70"/>
      <c r="C450" s="71"/>
      <c r="D450" s="72"/>
      <c r="E450" s="72"/>
      <c r="F450" s="72"/>
      <c r="G450" s="72"/>
      <c r="H450" s="72"/>
      <c r="I450" s="73"/>
      <c r="J450" s="72"/>
      <c r="K450" s="74"/>
      <c r="L450" s="75"/>
      <c r="M450" s="76"/>
      <c r="N450" s="76"/>
      <c r="O450" s="75"/>
      <c r="P450" s="72"/>
      <c r="Q450" s="72"/>
    </row>
    <row r="451" customFormat="false" ht="15.75" hidden="false" customHeight="true" outlineLevel="0" collapsed="false">
      <c r="A451" s="68" t="n">
        <v>448</v>
      </c>
      <c r="B451" s="78"/>
      <c r="C451" s="79"/>
      <c r="D451" s="80"/>
      <c r="E451" s="80"/>
      <c r="F451" s="80"/>
      <c r="G451" s="80"/>
      <c r="H451" s="80"/>
      <c r="I451" s="81"/>
      <c r="J451" s="80"/>
      <c r="K451" s="82"/>
      <c r="L451" s="83"/>
      <c r="M451" s="84"/>
      <c r="N451" s="84"/>
      <c r="O451" s="83"/>
      <c r="P451" s="80"/>
      <c r="Q451" s="80"/>
    </row>
    <row r="452" customFormat="false" ht="15.75" hidden="false" customHeight="true" outlineLevel="0" collapsed="false">
      <c r="A452" s="66" t="n">
        <v>449</v>
      </c>
      <c r="B452" s="70"/>
      <c r="C452" s="71"/>
      <c r="D452" s="72"/>
      <c r="E452" s="72"/>
      <c r="F452" s="72"/>
      <c r="G452" s="72"/>
      <c r="H452" s="72"/>
      <c r="I452" s="73"/>
      <c r="J452" s="72"/>
      <c r="K452" s="74"/>
      <c r="L452" s="75"/>
      <c r="M452" s="76"/>
      <c r="N452" s="76"/>
      <c r="O452" s="75"/>
      <c r="P452" s="72"/>
      <c r="Q452" s="72"/>
    </row>
    <row r="453" customFormat="false" ht="15.75" hidden="false" customHeight="true" outlineLevel="0" collapsed="false">
      <c r="A453" s="68" t="n">
        <v>450</v>
      </c>
      <c r="B453" s="78"/>
      <c r="C453" s="79"/>
      <c r="D453" s="80"/>
      <c r="E453" s="80"/>
      <c r="F453" s="80"/>
      <c r="G453" s="80"/>
      <c r="H453" s="80"/>
      <c r="I453" s="81"/>
      <c r="J453" s="80"/>
      <c r="K453" s="82"/>
      <c r="L453" s="83"/>
      <c r="M453" s="84"/>
      <c r="N453" s="84"/>
      <c r="O453" s="83"/>
      <c r="P453" s="80"/>
      <c r="Q453" s="80"/>
    </row>
    <row r="454" customFormat="false" ht="15.75" hidden="false" customHeight="true" outlineLevel="0" collapsed="false">
      <c r="A454" s="66" t="n">
        <v>451</v>
      </c>
      <c r="B454" s="70"/>
      <c r="C454" s="71"/>
      <c r="D454" s="72"/>
      <c r="E454" s="72"/>
      <c r="F454" s="72"/>
      <c r="G454" s="72"/>
      <c r="H454" s="72"/>
      <c r="I454" s="73"/>
      <c r="J454" s="72"/>
      <c r="K454" s="74"/>
      <c r="L454" s="75"/>
      <c r="M454" s="76"/>
      <c r="N454" s="76"/>
      <c r="O454" s="75"/>
      <c r="P454" s="72"/>
      <c r="Q454" s="72"/>
    </row>
    <row r="455" customFormat="false" ht="15.75" hidden="false" customHeight="true" outlineLevel="0" collapsed="false">
      <c r="A455" s="68" t="n">
        <v>452</v>
      </c>
      <c r="B455" s="78"/>
      <c r="C455" s="79"/>
      <c r="D455" s="80"/>
      <c r="E455" s="80"/>
      <c r="F455" s="80"/>
      <c r="G455" s="80"/>
      <c r="H455" s="80"/>
      <c r="I455" s="81"/>
      <c r="J455" s="80"/>
      <c r="K455" s="82"/>
      <c r="L455" s="83"/>
      <c r="M455" s="84"/>
      <c r="N455" s="84"/>
      <c r="O455" s="83"/>
      <c r="P455" s="80"/>
      <c r="Q455" s="80"/>
    </row>
    <row r="456" customFormat="false" ht="15.75" hidden="false" customHeight="true" outlineLevel="0" collapsed="false">
      <c r="A456" s="66" t="n">
        <v>453</v>
      </c>
      <c r="B456" s="70"/>
      <c r="C456" s="71"/>
      <c r="D456" s="72"/>
      <c r="E456" s="72"/>
      <c r="F456" s="72"/>
      <c r="G456" s="72"/>
      <c r="H456" s="72"/>
      <c r="I456" s="73"/>
      <c r="J456" s="72"/>
      <c r="K456" s="74"/>
      <c r="L456" s="75"/>
      <c r="M456" s="76"/>
      <c r="N456" s="76"/>
      <c r="O456" s="75"/>
      <c r="P456" s="72"/>
      <c r="Q456" s="72"/>
    </row>
    <row r="457" customFormat="false" ht="15.75" hidden="false" customHeight="true" outlineLevel="0" collapsed="false">
      <c r="A457" s="68" t="n">
        <v>454</v>
      </c>
      <c r="B457" s="78"/>
      <c r="C457" s="79"/>
      <c r="D457" s="80"/>
      <c r="E457" s="80"/>
      <c r="F457" s="80"/>
      <c r="G457" s="80"/>
      <c r="H457" s="80"/>
      <c r="I457" s="81"/>
      <c r="J457" s="80"/>
      <c r="K457" s="82"/>
      <c r="L457" s="83"/>
      <c r="M457" s="84"/>
      <c r="N457" s="84"/>
      <c r="O457" s="83"/>
      <c r="P457" s="80"/>
      <c r="Q457" s="80"/>
    </row>
    <row r="458" customFormat="false" ht="15.75" hidden="false" customHeight="true" outlineLevel="0" collapsed="false">
      <c r="A458" s="66" t="n">
        <v>455</v>
      </c>
      <c r="B458" s="70"/>
      <c r="C458" s="71"/>
      <c r="D458" s="72"/>
      <c r="E458" s="72"/>
      <c r="F458" s="72"/>
      <c r="G458" s="72"/>
      <c r="H458" s="72"/>
      <c r="I458" s="73"/>
      <c r="J458" s="72"/>
      <c r="K458" s="74"/>
      <c r="L458" s="75"/>
      <c r="M458" s="76"/>
      <c r="N458" s="76"/>
      <c r="O458" s="75"/>
      <c r="P458" s="72"/>
      <c r="Q458" s="72"/>
    </row>
    <row r="459" customFormat="false" ht="15.75" hidden="false" customHeight="true" outlineLevel="0" collapsed="false">
      <c r="A459" s="68" t="n">
        <v>456</v>
      </c>
      <c r="B459" s="78"/>
      <c r="C459" s="79"/>
      <c r="D459" s="80"/>
      <c r="E459" s="80"/>
      <c r="F459" s="80"/>
      <c r="G459" s="80"/>
      <c r="H459" s="80"/>
      <c r="I459" s="81"/>
      <c r="J459" s="80"/>
      <c r="K459" s="82"/>
      <c r="L459" s="83"/>
      <c r="M459" s="84"/>
      <c r="N459" s="84"/>
      <c r="O459" s="83"/>
      <c r="P459" s="80"/>
      <c r="Q459" s="80"/>
    </row>
    <row r="460" customFormat="false" ht="15.75" hidden="false" customHeight="true" outlineLevel="0" collapsed="false">
      <c r="A460" s="66" t="n">
        <v>457</v>
      </c>
      <c r="B460" s="70"/>
      <c r="C460" s="71"/>
      <c r="D460" s="72"/>
      <c r="E460" s="72"/>
      <c r="F460" s="72"/>
      <c r="G460" s="72"/>
      <c r="H460" s="72"/>
      <c r="I460" s="73"/>
      <c r="J460" s="72"/>
      <c r="K460" s="74"/>
      <c r="L460" s="75"/>
      <c r="M460" s="76"/>
      <c r="N460" s="76"/>
      <c r="O460" s="75"/>
      <c r="P460" s="72"/>
      <c r="Q460" s="72"/>
    </row>
    <row r="461" customFormat="false" ht="15.75" hidden="false" customHeight="true" outlineLevel="0" collapsed="false">
      <c r="A461" s="68" t="n">
        <v>458</v>
      </c>
      <c r="B461" s="78"/>
      <c r="C461" s="79"/>
      <c r="D461" s="80"/>
      <c r="E461" s="80"/>
      <c r="F461" s="80"/>
      <c r="G461" s="80"/>
      <c r="H461" s="80"/>
      <c r="I461" s="81"/>
      <c r="J461" s="80"/>
      <c r="K461" s="82"/>
      <c r="L461" s="83"/>
      <c r="M461" s="84"/>
      <c r="N461" s="84"/>
      <c r="O461" s="83"/>
      <c r="P461" s="80"/>
      <c r="Q461" s="80"/>
    </row>
    <row r="462" customFormat="false" ht="15.75" hidden="false" customHeight="true" outlineLevel="0" collapsed="false">
      <c r="A462" s="66" t="n">
        <v>459</v>
      </c>
      <c r="B462" s="70"/>
      <c r="C462" s="71"/>
      <c r="D462" s="72"/>
      <c r="E462" s="72"/>
      <c r="F462" s="72"/>
      <c r="G462" s="72"/>
      <c r="H462" s="72"/>
      <c r="I462" s="73"/>
      <c r="J462" s="72"/>
      <c r="K462" s="74"/>
      <c r="L462" s="75"/>
      <c r="M462" s="76"/>
      <c r="N462" s="76"/>
      <c r="O462" s="75"/>
      <c r="P462" s="72"/>
      <c r="Q462" s="72"/>
    </row>
    <row r="463" customFormat="false" ht="15.75" hidden="false" customHeight="true" outlineLevel="0" collapsed="false">
      <c r="A463" s="68" t="n">
        <v>460</v>
      </c>
      <c r="B463" s="78"/>
      <c r="C463" s="79"/>
      <c r="D463" s="80"/>
      <c r="E463" s="80"/>
      <c r="F463" s="80"/>
      <c r="G463" s="80"/>
      <c r="H463" s="80"/>
      <c r="I463" s="81"/>
      <c r="J463" s="80"/>
      <c r="K463" s="82"/>
      <c r="L463" s="83"/>
      <c r="M463" s="84"/>
      <c r="N463" s="84"/>
      <c r="O463" s="83"/>
      <c r="P463" s="80"/>
      <c r="Q463" s="80"/>
    </row>
    <row r="464" customFormat="false" ht="15.75" hidden="false" customHeight="true" outlineLevel="0" collapsed="false">
      <c r="A464" s="66" t="n">
        <v>461</v>
      </c>
      <c r="B464" s="70"/>
      <c r="C464" s="71"/>
      <c r="D464" s="72"/>
      <c r="E464" s="72"/>
      <c r="F464" s="72"/>
      <c r="G464" s="72"/>
      <c r="H464" s="72"/>
      <c r="I464" s="73"/>
      <c r="J464" s="72"/>
      <c r="K464" s="74"/>
      <c r="L464" s="75"/>
      <c r="M464" s="76"/>
      <c r="N464" s="76"/>
      <c r="O464" s="75"/>
      <c r="P464" s="72"/>
      <c r="Q464" s="72"/>
    </row>
    <row r="465" customFormat="false" ht="15.75" hidden="false" customHeight="true" outlineLevel="0" collapsed="false">
      <c r="A465" s="68" t="n">
        <v>462</v>
      </c>
      <c r="B465" s="78"/>
      <c r="C465" s="79"/>
      <c r="D465" s="80"/>
      <c r="E465" s="80"/>
      <c r="F465" s="80"/>
      <c r="G465" s="80"/>
      <c r="H465" s="80"/>
      <c r="I465" s="81"/>
      <c r="J465" s="80"/>
      <c r="K465" s="82"/>
      <c r="L465" s="83"/>
      <c r="M465" s="84"/>
      <c r="N465" s="84"/>
      <c r="O465" s="83"/>
      <c r="P465" s="80"/>
      <c r="Q465" s="80"/>
    </row>
    <row r="466" customFormat="false" ht="15.75" hidden="false" customHeight="true" outlineLevel="0" collapsed="false">
      <c r="A466" s="66" t="n">
        <v>463</v>
      </c>
      <c r="B466" s="70"/>
      <c r="C466" s="71"/>
      <c r="D466" s="72"/>
      <c r="E466" s="72"/>
      <c r="F466" s="72"/>
      <c r="G466" s="72"/>
      <c r="H466" s="72"/>
      <c r="I466" s="73"/>
      <c r="J466" s="72"/>
      <c r="K466" s="74"/>
      <c r="L466" s="75"/>
      <c r="M466" s="76"/>
      <c r="N466" s="76"/>
      <c r="O466" s="75"/>
      <c r="P466" s="72"/>
      <c r="Q466" s="72"/>
    </row>
    <row r="467" customFormat="false" ht="15.75" hidden="false" customHeight="true" outlineLevel="0" collapsed="false">
      <c r="A467" s="68" t="n">
        <v>464</v>
      </c>
      <c r="B467" s="78"/>
      <c r="C467" s="79"/>
      <c r="D467" s="80"/>
      <c r="E467" s="80"/>
      <c r="F467" s="80"/>
      <c r="G467" s="80"/>
      <c r="H467" s="80"/>
      <c r="I467" s="81"/>
      <c r="J467" s="80"/>
      <c r="K467" s="82"/>
      <c r="L467" s="83"/>
      <c r="M467" s="84"/>
      <c r="N467" s="84"/>
      <c r="O467" s="83"/>
      <c r="P467" s="80"/>
      <c r="Q467" s="80"/>
    </row>
    <row r="468" customFormat="false" ht="15.75" hidden="false" customHeight="true" outlineLevel="0" collapsed="false">
      <c r="A468" s="66" t="n">
        <v>465</v>
      </c>
      <c r="B468" s="70"/>
      <c r="C468" s="71"/>
      <c r="D468" s="72"/>
      <c r="E468" s="72"/>
      <c r="F468" s="72"/>
      <c r="G468" s="72"/>
      <c r="H468" s="72"/>
      <c r="I468" s="73"/>
      <c r="J468" s="72"/>
      <c r="K468" s="74"/>
      <c r="L468" s="75"/>
      <c r="M468" s="76"/>
      <c r="N468" s="76"/>
      <c r="O468" s="75"/>
      <c r="P468" s="72"/>
      <c r="Q468" s="72"/>
    </row>
    <row r="469" customFormat="false" ht="15.75" hidden="false" customHeight="true" outlineLevel="0" collapsed="false">
      <c r="A469" s="68" t="n">
        <v>466</v>
      </c>
      <c r="B469" s="78"/>
      <c r="C469" s="79"/>
      <c r="D469" s="80"/>
      <c r="E469" s="80"/>
      <c r="F469" s="80"/>
      <c r="G469" s="80"/>
      <c r="H469" s="80"/>
      <c r="I469" s="81"/>
      <c r="J469" s="80"/>
      <c r="K469" s="82"/>
      <c r="L469" s="83"/>
      <c r="M469" s="84"/>
      <c r="N469" s="84"/>
      <c r="O469" s="83"/>
      <c r="P469" s="80"/>
      <c r="Q469" s="80"/>
    </row>
    <row r="470" customFormat="false" ht="15.75" hidden="false" customHeight="true" outlineLevel="0" collapsed="false">
      <c r="A470" s="66" t="n">
        <v>467</v>
      </c>
      <c r="B470" s="70"/>
      <c r="C470" s="71"/>
      <c r="D470" s="72"/>
      <c r="E470" s="72"/>
      <c r="F470" s="72"/>
      <c r="G470" s="72"/>
      <c r="H470" s="72"/>
      <c r="I470" s="73"/>
      <c r="J470" s="72"/>
      <c r="K470" s="74"/>
      <c r="L470" s="75"/>
      <c r="M470" s="76"/>
      <c r="N470" s="76"/>
      <c r="O470" s="75"/>
      <c r="P470" s="72"/>
      <c r="Q470" s="72"/>
    </row>
    <row r="471" customFormat="false" ht="15.75" hidden="false" customHeight="true" outlineLevel="0" collapsed="false">
      <c r="A471" s="68" t="n">
        <v>468</v>
      </c>
      <c r="B471" s="78"/>
      <c r="C471" s="79"/>
      <c r="D471" s="80"/>
      <c r="E471" s="80"/>
      <c r="F471" s="80"/>
      <c r="G471" s="80"/>
      <c r="H471" s="80"/>
      <c r="I471" s="81"/>
      <c r="J471" s="80"/>
      <c r="K471" s="82"/>
      <c r="L471" s="83"/>
      <c r="M471" s="84"/>
      <c r="N471" s="84"/>
      <c r="O471" s="83"/>
      <c r="P471" s="80"/>
      <c r="Q471" s="80"/>
    </row>
    <row r="472" customFormat="false" ht="15.75" hidden="false" customHeight="true" outlineLevel="0" collapsed="false">
      <c r="A472" s="66" t="n">
        <v>469</v>
      </c>
      <c r="B472" s="70"/>
      <c r="C472" s="71"/>
      <c r="D472" s="72"/>
      <c r="E472" s="72"/>
      <c r="F472" s="72"/>
      <c r="G472" s="72"/>
      <c r="H472" s="72"/>
      <c r="I472" s="73"/>
      <c r="J472" s="72"/>
      <c r="K472" s="74"/>
      <c r="L472" s="75"/>
      <c r="M472" s="76"/>
      <c r="N472" s="76"/>
      <c r="O472" s="75"/>
      <c r="P472" s="72"/>
      <c r="Q472" s="72"/>
    </row>
    <row r="473" customFormat="false" ht="15.75" hidden="false" customHeight="true" outlineLevel="0" collapsed="false">
      <c r="A473" s="68" t="n">
        <v>470</v>
      </c>
      <c r="B473" s="78"/>
      <c r="C473" s="79"/>
      <c r="D473" s="80"/>
      <c r="E473" s="80"/>
      <c r="F473" s="80"/>
      <c r="G473" s="80"/>
      <c r="H473" s="80"/>
      <c r="I473" s="81"/>
      <c r="J473" s="80"/>
      <c r="K473" s="82"/>
      <c r="L473" s="83"/>
      <c r="M473" s="84"/>
      <c r="N473" s="84"/>
      <c r="O473" s="83"/>
      <c r="P473" s="80"/>
      <c r="Q473" s="80"/>
    </row>
    <row r="474" customFormat="false" ht="15.75" hidden="false" customHeight="true" outlineLevel="0" collapsed="false">
      <c r="A474" s="66" t="n">
        <v>471</v>
      </c>
      <c r="B474" s="70"/>
      <c r="C474" s="71"/>
      <c r="D474" s="72"/>
      <c r="E474" s="72"/>
      <c r="F474" s="72"/>
      <c r="G474" s="72"/>
      <c r="H474" s="72"/>
      <c r="I474" s="73"/>
      <c r="J474" s="72"/>
      <c r="K474" s="74"/>
      <c r="L474" s="75"/>
      <c r="M474" s="76"/>
      <c r="N474" s="76"/>
      <c r="O474" s="75"/>
      <c r="P474" s="72"/>
      <c r="Q474" s="72"/>
    </row>
    <row r="475" customFormat="false" ht="15.75" hidden="false" customHeight="true" outlineLevel="0" collapsed="false">
      <c r="A475" s="68" t="n">
        <v>472</v>
      </c>
      <c r="B475" s="78"/>
      <c r="C475" s="79"/>
      <c r="D475" s="80"/>
      <c r="E475" s="80"/>
      <c r="F475" s="80"/>
      <c r="G475" s="80"/>
      <c r="H475" s="80"/>
      <c r="I475" s="81"/>
      <c r="J475" s="80"/>
      <c r="K475" s="82"/>
      <c r="L475" s="83"/>
      <c r="M475" s="84"/>
      <c r="N475" s="84"/>
      <c r="O475" s="83"/>
      <c r="P475" s="80"/>
      <c r="Q475" s="80"/>
    </row>
    <row r="476" customFormat="false" ht="15.75" hidden="false" customHeight="true" outlineLevel="0" collapsed="false">
      <c r="A476" s="66" t="n">
        <v>473</v>
      </c>
      <c r="B476" s="70"/>
      <c r="C476" s="71"/>
      <c r="D476" s="72"/>
      <c r="E476" s="72"/>
      <c r="F476" s="72"/>
      <c r="G476" s="72"/>
      <c r="H476" s="72"/>
      <c r="I476" s="73"/>
      <c r="J476" s="72"/>
      <c r="K476" s="74"/>
      <c r="L476" s="75"/>
      <c r="M476" s="76"/>
      <c r="N476" s="76"/>
      <c r="O476" s="75"/>
      <c r="P476" s="72"/>
      <c r="Q476" s="72"/>
    </row>
    <row r="477" customFormat="false" ht="15.75" hidden="false" customHeight="true" outlineLevel="0" collapsed="false">
      <c r="A477" s="68" t="n">
        <v>474</v>
      </c>
      <c r="B477" s="78"/>
      <c r="C477" s="79"/>
      <c r="D477" s="80"/>
      <c r="E477" s="80"/>
      <c r="F477" s="80"/>
      <c r="G477" s="80"/>
      <c r="H477" s="80"/>
      <c r="I477" s="81"/>
      <c r="J477" s="80"/>
      <c r="K477" s="82"/>
      <c r="L477" s="83"/>
      <c r="M477" s="84"/>
      <c r="N477" s="84"/>
      <c r="O477" s="83"/>
      <c r="P477" s="80"/>
      <c r="Q477" s="80"/>
    </row>
    <row r="478" customFormat="false" ht="15.75" hidden="false" customHeight="true" outlineLevel="0" collapsed="false">
      <c r="A478" s="66" t="n">
        <v>475</v>
      </c>
      <c r="B478" s="70"/>
      <c r="C478" s="71"/>
      <c r="D478" s="72"/>
      <c r="E478" s="72"/>
      <c r="F478" s="72"/>
      <c r="G478" s="72"/>
      <c r="H478" s="72"/>
      <c r="I478" s="73"/>
      <c r="J478" s="72"/>
      <c r="K478" s="74"/>
      <c r="L478" s="75"/>
      <c r="M478" s="76"/>
      <c r="N478" s="76"/>
      <c r="O478" s="75"/>
      <c r="P478" s="72"/>
      <c r="Q478" s="72"/>
    </row>
    <row r="479" customFormat="false" ht="15.75" hidden="false" customHeight="true" outlineLevel="0" collapsed="false">
      <c r="A479" s="68" t="n">
        <v>476</v>
      </c>
      <c r="B479" s="78"/>
      <c r="C479" s="79"/>
      <c r="D479" s="80"/>
      <c r="E479" s="80"/>
      <c r="F479" s="80"/>
      <c r="G479" s="80"/>
      <c r="H479" s="80"/>
      <c r="I479" s="81"/>
      <c r="J479" s="80"/>
      <c r="K479" s="82"/>
      <c r="L479" s="83"/>
      <c r="M479" s="84"/>
      <c r="N479" s="84"/>
      <c r="O479" s="83"/>
      <c r="P479" s="80"/>
      <c r="Q479" s="80"/>
    </row>
    <row r="480" customFormat="false" ht="15.75" hidden="false" customHeight="true" outlineLevel="0" collapsed="false">
      <c r="A480" s="66" t="n">
        <v>477</v>
      </c>
      <c r="B480" s="70"/>
      <c r="C480" s="71"/>
      <c r="D480" s="72"/>
      <c r="E480" s="72"/>
      <c r="F480" s="72"/>
      <c r="G480" s="72"/>
      <c r="H480" s="72"/>
      <c r="I480" s="73"/>
      <c r="J480" s="72"/>
      <c r="K480" s="74"/>
      <c r="L480" s="75"/>
      <c r="M480" s="76"/>
      <c r="N480" s="76"/>
      <c r="O480" s="75"/>
      <c r="P480" s="72"/>
      <c r="Q480" s="72"/>
    </row>
    <row r="481" customFormat="false" ht="15.75" hidden="false" customHeight="true" outlineLevel="0" collapsed="false">
      <c r="A481" s="68" t="n">
        <v>478</v>
      </c>
      <c r="B481" s="78"/>
      <c r="C481" s="79"/>
      <c r="D481" s="80"/>
      <c r="E481" s="80"/>
      <c r="F481" s="80"/>
      <c r="G481" s="80"/>
      <c r="H481" s="80"/>
      <c r="I481" s="81"/>
      <c r="J481" s="80"/>
      <c r="K481" s="82"/>
      <c r="L481" s="83"/>
      <c r="M481" s="84"/>
      <c r="N481" s="84"/>
      <c r="O481" s="83"/>
      <c r="P481" s="80"/>
      <c r="Q481" s="80"/>
    </row>
    <row r="482" customFormat="false" ht="15.75" hidden="false" customHeight="true" outlineLevel="0" collapsed="false">
      <c r="A482" s="66" t="n">
        <v>479</v>
      </c>
      <c r="B482" s="70"/>
      <c r="C482" s="71"/>
      <c r="D482" s="72"/>
      <c r="E482" s="72"/>
      <c r="F482" s="72"/>
      <c r="G482" s="72"/>
      <c r="H482" s="72"/>
      <c r="I482" s="73"/>
      <c r="J482" s="72"/>
      <c r="K482" s="74"/>
      <c r="L482" s="75"/>
      <c r="M482" s="76"/>
      <c r="N482" s="76"/>
      <c r="O482" s="75"/>
      <c r="P482" s="72"/>
      <c r="Q482" s="72"/>
    </row>
    <row r="483" customFormat="false" ht="15.75" hidden="false" customHeight="true" outlineLevel="0" collapsed="false">
      <c r="A483" s="68" t="n">
        <v>480</v>
      </c>
      <c r="B483" s="78"/>
      <c r="C483" s="79"/>
      <c r="D483" s="80"/>
      <c r="E483" s="80"/>
      <c r="F483" s="80"/>
      <c r="G483" s="80"/>
      <c r="H483" s="80"/>
      <c r="I483" s="81"/>
      <c r="J483" s="80"/>
      <c r="K483" s="82"/>
      <c r="L483" s="83"/>
      <c r="M483" s="84"/>
      <c r="N483" s="84"/>
      <c r="O483" s="83"/>
      <c r="P483" s="80"/>
      <c r="Q483" s="80"/>
    </row>
    <row r="484" customFormat="false" ht="15.75" hidden="false" customHeight="true" outlineLevel="0" collapsed="false">
      <c r="A484" s="66" t="n">
        <v>481</v>
      </c>
      <c r="B484" s="70"/>
      <c r="C484" s="71"/>
      <c r="D484" s="72"/>
      <c r="E484" s="72"/>
      <c r="F484" s="72"/>
      <c r="G484" s="72"/>
      <c r="H484" s="72"/>
      <c r="I484" s="73"/>
      <c r="J484" s="72"/>
      <c r="K484" s="74"/>
      <c r="L484" s="75"/>
      <c r="M484" s="76"/>
      <c r="N484" s="76"/>
      <c r="O484" s="75"/>
      <c r="P484" s="72"/>
      <c r="Q484" s="72"/>
    </row>
    <row r="485" customFormat="false" ht="15.75" hidden="false" customHeight="true" outlineLevel="0" collapsed="false">
      <c r="A485" s="68" t="n">
        <v>482</v>
      </c>
      <c r="B485" s="78"/>
      <c r="C485" s="79"/>
      <c r="D485" s="80"/>
      <c r="E485" s="80"/>
      <c r="F485" s="80"/>
      <c r="G485" s="80"/>
      <c r="H485" s="80"/>
      <c r="I485" s="81"/>
      <c r="J485" s="80"/>
      <c r="K485" s="82"/>
      <c r="L485" s="83"/>
      <c r="M485" s="84"/>
      <c r="N485" s="84"/>
      <c r="O485" s="83"/>
      <c r="P485" s="80"/>
      <c r="Q485" s="80"/>
    </row>
    <row r="486" customFormat="false" ht="15.75" hidden="false" customHeight="true" outlineLevel="0" collapsed="false">
      <c r="A486" s="66" t="n">
        <v>483</v>
      </c>
      <c r="B486" s="70"/>
      <c r="C486" s="71"/>
      <c r="D486" s="72"/>
      <c r="E486" s="72"/>
      <c r="F486" s="72"/>
      <c r="G486" s="72"/>
      <c r="H486" s="72"/>
      <c r="I486" s="73"/>
      <c r="J486" s="72"/>
      <c r="K486" s="74"/>
      <c r="L486" s="75"/>
      <c r="M486" s="76"/>
      <c r="N486" s="76"/>
      <c r="O486" s="75"/>
      <c r="P486" s="72"/>
      <c r="Q486" s="72"/>
    </row>
    <row r="487" customFormat="false" ht="15.75" hidden="false" customHeight="true" outlineLevel="0" collapsed="false">
      <c r="A487" s="68" t="n">
        <v>484</v>
      </c>
      <c r="B487" s="78"/>
      <c r="C487" s="79"/>
      <c r="D487" s="80"/>
      <c r="E487" s="80"/>
      <c r="F487" s="80"/>
      <c r="G487" s="80"/>
      <c r="H487" s="80"/>
      <c r="I487" s="81"/>
      <c r="J487" s="80"/>
      <c r="K487" s="82"/>
      <c r="L487" s="83"/>
      <c r="M487" s="84"/>
      <c r="N487" s="84"/>
      <c r="O487" s="83"/>
      <c r="P487" s="80"/>
      <c r="Q487" s="80"/>
    </row>
    <row r="488" customFormat="false" ht="15.75" hidden="false" customHeight="true" outlineLevel="0" collapsed="false">
      <c r="A488" s="66" t="n">
        <v>485</v>
      </c>
      <c r="B488" s="70"/>
      <c r="C488" s="71"/>
      <c r="D488" s="72"/>
      <c r="E488" s="72"/>
      <c r="F488" s="72"/>
      <c r="G488" s="72"/>
      <c r="H488" s="72"/>
      <c r="I488" s="73"/>
      <c r="J488" s="72"/>
      <c r="K488" s="74"/>
      <c r="L488" s="75"/>
      <c r="M488" s="76"/>
      <c r="N488" s="76"/>
      <c r="O488" s="75"/>
      <c r="P488" s="72"/>
      <c r="Q488" s="72"/>
    </row>
    <row r="489" customFormat="false" ht="15.75" hidden="false" customHeight="true" outlineLevel="0" collapsed="false">
      <c r="A489" s="68" t="n">
        <v>486</v>
      </c>
      <c r="B489" s="78"/>
      <c r="C489" s="79"/>
      <c r="D489" s="80"/>
      <c r="E489" s="80"/>
      <c r="F489" s="80"/>
      <c r="G489" s="80"/>
      <c r="H489" s="80"/>
      <c r="I489" s="81"/>
      <c r="J489" s="80"/>
      <c r="K489" s="82"/>
      <c r="L489" s="83"/>
      <c r="M489" s="84"/>
      <c r="N489" s="84"/>
      <c r="O489" s="83"/>
      <c r="P489" s="80"/>
      <c r="Q489" s="80"/>
    </row>
    <row r="490" customFormat="false" ht="15.75" hidden="false" customHeight="true" outlineLevel="0" collapsed="false">
      <c r="A490" s="66" t="n">
        <v>487</v>
      </c>
      <c r="B490" s="70"/>
      <c r="C490" s="71"/>
      <c r="D490" s="72"/>
      <c r="E490" s="72"/>
      <c r="F490" s="72"/>
      <c r="G490" s="72"/>
      <c r="H490" s="72"/>
      <c r="I490" s="73"/>
      <c r="J490" s="72"/>
      <c r="K490" s="74"/>
      <c r="L490" s="75"/>
      <c r="M490" s="76"/>
      <c r="N490" s="76"/>
      <c r="O490" s="75"/>
      <c r="P490" s="72"/>
      <c r="Q490" s="72"/>
    </row>
    <row r="491" customFormat="false" ht="15.75" hidden="false" customHeight="true" outlineLevel="0" collapsed="false">
      <c r="A491" s="68" t="n">
        <v>488</v>
      </c>
      <c r="B491" s="78"/>
      <c r="C491" s="79"/>
      <c r="D491" s="80"/>
      <c r="E491" s="80"/>
      <c r="F491" s="80"/>
      <c r="G491" s="80"/>
      <c r="H491" s="80"/>
      <c r="I491" s="81"/>
      <c r="J491" s="80"/>
      <c r="K491" s="82"/>
      <c r="L491" s="83"/>
      <c r="M491" s="84"/>
      <c r="N491" s="84"/>
      <c r="O491" s="83"/>
      <c r="P491" s="80"/>
      <c r="Q491" s="80"/>
    </row>
    <row r="492" customFormat="false" ht="15.75" hidden="false" customHeight="true" outlineLevel="0" collapsed="false">
      <c r="A492" s="66" t="n">
        <v>489</v>
      </c>
      <c r="B492" s="70"/>
      <c r="C492" s="71"/>
      <c r="D492" s="72"/>
      <c r="E492" s="72"/>
      <c r="F492" s="72"/>
      <c r="G492" s="72"/>
      <c r="H492" s="72"/>
      <c r="I492" s="73"/>
      <c r="J492" s="72"/>
      <c r="K492" s="74"/>
      <c r="L492" s="75"/>
      <c r="M492" s="76"/>
      <c r="N492" s="76"/>
      <c r="O492" s="75"/>
      <c r="P492" s="72"/>
      <c r="Q492" s="72"/>
    </row>
    <row r="493" customFormat="false" ht="15.75" hidden="false" customHeight="true" outlineLevel="0" collapsed="false">
      <c r="A493" s="68" t="n">
        <v>490</v>
      </c>
      <c r="B493" s="78"/>
      <c r="C493" s="79"/>
      <c r="D493" s="80"/>
      <c r="E493" s="80"/>
      <c r="F493" s="80"/>
      <c r="G493" s="80"/>
      <c r="H493" s="80"/>
      <c r="I493" s="81"/>
      <c r="J493" s="80"/>
      <c r="K493" s="82"/>
      <c r="L493" s="83"/>
      <c r="M493" s="84"/>
      <c r="N493" s="84"/>
      <c r="O493" s="83"/>
      <c r="P493" s="80"/>
      <c r="Q493" s="80"/>
    </row>
    <row r="494" customFormat="false" ht="15.75" hidden="false" customHeight="true" outlineLevel="0" collapsed="false">
      <c r="A494" s="66" t="n">
        <v>491</v>
      </c>
      <c r="B494" s="70"/>
      <c r="C494" s="71"/>
      <c r="D494" s="72"/>
      <c r="E494" s="72"/>
      <c r="F494" s="72"/>
      <c r="G494" s="72"/>
      <c r="H494" s="72"/>
      <c r="I494" s="73"/>
      <c r="J494" s="72"/>
      <c r="K494" s="74"/>
      <c r="L494" s="75"/>
      <c r="M494" s="76"/>
      <c r="N494" s="76"/>
      <c r="O494" s="75"/>
      <c r="P494" s="72"/>
      <c r="Q494" s="72"/>
    </row>
    <row r="495" customFormat="false" ht="15.75" hidden="false" customHeight="true" outlineLevel="0" collapsed="false">
      <c r="A495" s="68" t="n">
        <v>492</v>
      </c>
      <c r="B495" s="78"/>
      <c r="C495" s="79"/>
      <c r="D495" s="80"/>
      <c r="E495" s="80"/>
      <c r="F495" s="80"/>
      <c r="G495" s="80"/>
      <c r="H495" s="80"/>
      <c r="I495" s="81"/>
      <c r="J495" s="80"/>
      <c r="K495" s="82"/>
      <c r="L495" s="83"/>
      <c r="M495" s="84"/>
      <c r="N495" s="84"/>
      <c r="O495" s="83"/>
      <c r="P495" s="80"/>
      <c r="Q495" s="80"/>
    </row>
    <row r="496" customFormat="false" ht="15.75" hidden="false" customHeight="true" outlineLevel="0" collapsed="false">
      <c r="A496" s="66" t="n">
        <v>493</v>
      </c>
      <c r="B496" s="70"/>
      <c r="C496" s="71"/>
      <c r="D496" s="72"/>
      <c r="E496" s="72"/>
      <c r="F496" s="72"/>
      <c r="G496" s="72"/>
      <c r="H496" s="72"/>
      <c r="I496" s="73"/>
      <c r="J496" s="72"/>
      <c r="K496" s="74"/>
      <c r="L496" s="75"/>
      <c r="M496" s="76"/>
      <c r="N496" s="76"/>
      <c r="O496" s="75"/>
      <c r="P496" s="72"/>
      <c r="Q496" s="72"/>
    </row>
    <row r="497" customFormat="false" ht="15.75" hidden="false" customHeight="true" outlineLevel="0" collapsed="false">
      <c r="A497" s="68" t="n">
        <v>494</v>
      </c>
      <c r="B497" s="78"/>
      <c r="C497" s="79"/>
      <c r="D497" s="80"/>
      <c r="E497" s="80"/>
      <c r="F497" s="80"/>
      <c r="G497" s="80"/>
      <c r="H497" s="80"/>
      <c r="I497" s="81"/>
      <c r="J497" s="80"/>
      <c r="K497" s="82"/>
      <c r="L497" s="83"/>
      <c r="M497" s="84"/>
      <c r="N497" s="84"/>
      <c r="O497" s="83"/>
      <c r="P497" s="80"/>
      <c r="Q497" s="80"/>
    </row>
    <row r="498" customFormat="false" ht="15.75" hidden="false" customHeight="true" outlineLevel="0" collapsed="false">
      <c r="A498" s="66" t="n">
        <v>495</v>
      </c>
      <c r="B498" s="70"/>
      <c r="C498" s="71"/>
      <c r="D498" s="72"/>
      <c r="E498" s="72"/>
      <c r="F498" s="72"/>
      <c r="G498" s="72"/>
      <c r="H498" s="72"/>
      <c r="I498" s="73"/>
      <c r="J498" s="72"/>
      <c r="K498" s="74"/>
      <c r="L498" s="75"/>
      <c r="M498" s="76"/>
      <c r="N498" s="76"/>
      <c r="O498" s="75"/>
      <c r="P498" s="72"/>
      <c r="Q498" s="72"/>
    </row>
    <row r="499" customFormat="false" ht="15.75" hidden="false" customHeight="true" outlineLevel="0" collapsed="false">
      <c r="A499" s="68" t="n">
        <v>496</v>
      </c>
      <c r="B499" s="78"/>
      <c r="C499" s="79"/>
      <c r="D499" s="80"/>
      <c r="E499" s="80"/>
      <c r="F499" s="80"/>
      <c r="G499" s="80"/>
      <c r="H499" s="80"/>
      <c r="I499" s="81"/>
      <c r="J499" s="80"/>
      <c r="K499" s="82"/>
      <c r="L499" s="83"/>
      <c r="M499" s="84"/>
      <c r="N499" s="84"/>
      <c r="O499" s="83"/>
      <c r="P499" s="80"/>
      <c r="Q499" s="80"/>
    </row>
    <row r="500" customFormat="false" ht="15.75" hidden="false" customHeight="true" outlineLevel="0" collapsed="false">
      <c r="A500" s="66" t="n">
        <v>497</v>
      </c>
      <c r="B500" s="70"/>
      <c r="C500" s="71"/>
      <c r="D500" s="72"/>
      <c r="E500" s="72"/>
      <c r="F500" s="72"/>
      <c r="G500" s="72"/>
      <c r="H500" s="72"/>
      <c r="I500" s="73"/>
      <c r="J500" s="72"/>
      <c r="K500" s="74"/>
      <c r="L500" s="75"/>
      <c r="M500" s="76"/>
      <c r="N500" s="76"/>
      <c r="O500" s="75"/>
      <c r="P500" s="72"/>
      <c r="Q500" s="72"/>
    </row>
    <row r="501" customFormat="false" ht="15.75" hidden="false" customHeight="true" outlineLevel="0" collapsed="false">
      <c r="A501" s="68" t="n">
        <v>498</v>
      </c>
      <c r="B501" s="78"/>
      <c r="C501" s="79"/>
      <c r="D501" s="80"/>
      <c r="E501" s="80"/>
      <c r="F501" s="80"/>
      <c r="G501" s="80"/>
      <c r="H501" s="80"/>
      <c r="I501" s="81"/>
      <c r="J501" s="80"/>
      <c r="K501" s="82"/>
      <c r="L501" s="83"/>
      <c r="M501" s="84"/>
      <c r="N501" s="84"/>
      <c r="O501" s="83"/>
      <c r="P501" s="80"/>
      <c r="Q501" s="80"/>
    </row>
    <row r="502" customFormat="false" ht="15.75" hidden="false" customHeight="true" outlineLevel="0" collapsed="false">
      <c r="A502" s="66" t="n">
        <v>499</v>
      </c>
      <c r="B502" s="70"/>
      <c r="C502" s="71"/>
      <c r="D502" s="72"/>
      <c r="E502" s="72"/>
      <c r="F502" s="72"/>
      <c r="G502" s="72"/>
      <c r="H502" s="72"/>
      <c r="I502" s="73"/>
      <c r="J502" s="72"/>
      <c r="K502" s="74"/>
      <c r="L502" s="75"/>
      <c r="M502" s="76"/>
      <c r="N502" s="76"/>
      <c r="O502" s="75"/>
      <c r="P502" s="72"/>
      <c r="Q502" s="72"/>
    </row>
    <row r="503" customFormat="false" ht="15.75" hidden="false" customHeight="true" outlineLevel="0" collapsed="false">
      <c r="A503" s="68" t="n">
        <v>500</v>
      </c>
      <c r="B503" s="78"/>
      <c r="C503" s="79"/>
      <c r="D503" s="80"/>
      <c r="E503" s="80"/>
      <c r="F503" s="80"/>
      <c r="G503" s="80"/>
      <c r="H503" s="80"/>
      <c r="I503" s="81"/>
      <c r="J503" s="80"/>
      <c r="K503" s="82"/>
      <c r="L503" s="83"/>
      <c r="M503" s="84"/>
      <c r="N503" s="84"/>
      <c r="O503" s="83"/>
      <c r="P503" s="80"/>
      <c r="Q503" s="80"/>
    </row>
    <row r="504" customFormat="false" ht="15.75" hidden="false" customHeight="true" outlineLevel="0" collapsed="false">
      <c r="A504" s="85" t="s">
        <v>386</v>
      </c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6" t="n">
        <f aca="false">SUM(L5:L503)</f>
        <v>1168762</v>
      </c>
      <c r="M504" s="85"/>
      <c r="N504" s="85"/>
      <c r="O504" s="86" t="n">
        <f aca="false">SUM(O5:O503)</f>
        <v>1155522</v>
      </c>
      <c r="P504" s="85"/>
      <c r="Q504" s="85"/>
    </row>
    <row r="505" customFormat="false" ht="15.75" hidden="false" customHeight="true" outlineLevel="0" collapsed="false"/>
  </sheetData>
  <autoFilter ref="A4:Q504"/>
  <mergeCells count="2">
    <mergeCell ref="A1:Q1"/>
    <mergeCell ref="A2:Q2"/>
  </mergeCells>
  <dataValidations count="5">
    <dataValidation allowBlank="true" errorStyle="stop" operator="between" prompt="Pick category" promptTitle="Category" showDropDown="false" showErrorMessage="false" showInputMessage="false" sqref="E5:E504" type="list">
      <formula1>"Building Materials,Electrical,Food/Provisions,Labour,Land Development,Miscellaneous,Professional Fees,Steel/Iron,Transport"</formula1>
      <formula2>0</formula2>
    </dataValidation>
    <dataValidation allowBlank="true" errorStyle="stop" operator="between" showDropDown="false" showErrorMessage="false" showInputMessage="false" sqref="H5:H504" type="list">
      <formula1>"Pappu Hardware,Brick Company,Sand Truck Wala,Concrete Supplier,Dinesh-Electrician,Mukesh Yadav,Chand Ansari,Ajay Mahto,Mukhiya,Sonbhai-Coordinator,Econ Builder,Rinku Devi A/c"</formula1>
      <formula2>0</formula2>
    </dataValidation>
    <dataValidation allowBlank="true" errorStyle="stop" operator="between" showDropDown="false" showErrorMessage="false" showInputMessage="false" sqref="P5:P504" type="list">
      <formula1>"Self-GPay,Self-Paytm,Self-Cash,Self-Bank Transfer,Through Sonbhai,Through Engineer,Through Ajay,Papa"</formula1>
      <formula2>0</formula2>
    </dataValidation>
    <dataValidation allowBlank="true" errorStyle="stop" operator="between" showDropDown="false" showErrorMessage="false" showInputMessage="false" sqref="Q5:Q504" type="list">
      <formula1>"GPay,Paytm,Cash,Bank Transfer,UPI,Cheque"</formula1>
      <formula2>0</formula2>
    </dataValidation>
    <dataValidation allowBlank="true" errorStyle="stop" operator="between" showDropDown="false" showErrorMessage="false" showInputMessage="false" sqref="D5:D504" type="list">
      <formula1>"Land Development,Foundation,Plinth,Superstructure,Roof/Dhalai,Electrical,Plumbing,Plastering,Flooring,Painting,Finishing,Boundary Wall"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O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12"/>
    <col collapsed="false" customWidth="true" hidden="false" outlineLevel="0" max="2" min="2" style="17" width="14"/>
    <col collapsed="false" customWidth="true" hidden="false" outlineLevel="0" max="3" min="3" style="17" width="24"/>
    <col collapsed="false" customWidth="true" hidden="false" outlineLevel="0" max="4" min="4" style="17" width="20"/>
    <col collapsed="false" customWidth="true" hidden="false" outlineLevel="0" max="5" min="5" style="17" width="26"/>
    <col collapsed="false" customWidth="true" hidden="false" outlineLevel="0" max="6" min="6" style="17" width="28"/>
    <col collapsed="false" customWidth="true" hidden="false" outlineLevel="0" max="7" min="7" style="17" width="12"/>
    <col collapsed="false" customWidth="true" hidden="false" outlineLevel="0" max="8" min="8" style="17" width="10"/>
    <col collapsed="false" customWidth="true" hidden="false" outlineLevel="0" max="9" min="9" style="17" width="16"/>
    <col collapsed="false" customWidth="true" hidden="false" outlineLevel="0" max="10" min="10" style="17" width="12"/>
    <col collapsed="false" customWidth="true" hidden="false" outlineLevel="0" max="12" min="11" style="17" width="14"/>
    <col collapsed="false" customWidth="true" hidden="false" outlineLevel="0" max="13" min="13" style="17" width="12"/>
    <col collapsed="false" customWidth="true" hidden="false" outlineLevel="0" max="15" min="14" style="17" width="14"/>
  </cols>
  <sheetData>
    <row r="1" customFormat="false" ht="17.25" hidden="false" customHeight="true" outlineLevel="0" collapsed="false">
      <c r="A1" s="63" t="s">
        <v>387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customFormat="false" ht="15.75" hidden="false" customHeight="true" outlineLevel="0" collapsed="false">
      <c r="A2" s="64" t="s">
        <v>388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4" customFormat="false" ht="26.25" hidden="false" customHeight="true" outlineLevel="0" collapsed="false">
      <c r="A4" s="65" t="s">
        <v>389</v>
      </c>
      <c r="B4" s="65" t="s">
        <v>390</v>
      </c>
      <c r="C4" s="65" t="s">
        <v>154</v>
      </c>
      <c r="D4" s="65" t="s">
        <v>153</v>
      </c>
      <c r="E4" s="65" t="s">
        <v>310</v>
      </c>
      <c r="F4" s="65" t="s">
        <v>311</v>
      </c>
      <c r="G4" s="65" t="s">
        <v>391</v>
      </c>
      <c r="H4" s="65" t="s">
        <v>174</v>
      </c>
      <c r="I4" s="65" t="s">
        <v>175</v>
      </c>
      <c r="J4" s="65" t="s">
        <v>313</v>
      </c>
      <c r="K4" s="65" t="s">
        <v>392</v>
      </c>
      <c r="L4" s="65" t="s">
        <v>393</v>
      </c>
      <c r="M4" s="65" t="s">
        <v>394</v>
      </c>
      <c r="N4" s="65" t="s">
        <v>395</v>
      </c>
      <c r="O4" s="65" t="s">
        <v>396</v>
      </c>
    </row>
    <row r="5" customFormat="false" ht="15.75" hidden="false" customHeight="true" outlineLevel="0" collapsed="false">
      <c r="A5" s="72" t="s">
        <v>397</v>
      </c>
      <c r="B5" s="70" t="n">
        <v>46153</v>
      </c>
      <c r="C5" s="72" t="s">
        <v>109</v>
      </c>
      <c r="D5" s="72" t="s">
        <v>159</v>
      </c>
      <c r="E5" s="72" t="s">
        <v>227</v>
      </c>
      <c r="F5" s="72" t="s">
        <v>398</v>
      </c>
      <c r="G5" s="72"/>
      <c r="H5" s="73" t="n">
        <v>40</v>
      </c>
      <c r="I5" s="72" t="s">
        <v>213</v>
      </c>
      <c r="J5" s="74" t="n">
        <v>360</v>
      </c>
      <c r="K5" s="75" t="n">
        <f aca="false">IF(OR(H5="",J5=""),"",H5*J5)</f>
        <v>14400</v>
      </c>
      <c r="L5" s="87"/>
      <c r="M5" s="87"/>
      <c r="N5" s="87"/>
      <c r="O5" s="75" t="n">
        <f aca="false">IF(K5="","",K5-IF(L5="",0,L5)+IF(M5="",0,M5)+IF(N5="",0,N5))</f>
        <v>14400</v>
      </c>
    </row>
    <row r="6" customFormat="false" ht="15.75" hidden="false" customHeight="true" outlineLevel="0" collapsed="false">
      <c r="A6" s="80" t="s">
        <v>397</v>
      </c>
      <c r="B6" s="78" t="n">
        <v>46153</v>
      </c>
      <c r="C6" s="80" t="s">
        <v>109</v>
      </c>
      <c r="D6" s="80" t="s">
        <v>160</v>
      </c>
      <c r="E6" s="80" t="s">
        <v>280</v>
      </c>
      <c r="F6" s="80" t="s">
        <v>280</v>
      </c>
      <c r="G6" s="80"/>
      <c r="H6" s="81" t="n">
        <v>100</v>
      </c>
      <c r="I6" s="80" t="s">
        <v>254</v>
      </c>
      <c r="J6" s="82" t="n">
        <v>908</v>
      </c>
      <c r="K6" s="83" t="n">
        <f aca="false">IF(OR(H6="",J6=""),"",H6*J6)</f>
        <v>90800</v>
      </c>
      <c r="L6" s="88"/>
      <c r="M6" s="88"/>
      <c r="N6" s="88"/>
      <c r="O6" s="83" t="n">
        <f aca="false">IF(K6="","",K6-IF(L6="",0,L6)+IF(M6="",0,M6)+IF(N6="",0,N6))</f>
        <v>90800</v>
      </c>
    </row>
    <row r="7" customFormat="false" ht="15.75" hidden="false" customHeight="true" outlineLevel="0" collapsed="false">
      <c r="A7" s="72" t="s">
        <v>397</v>
      </c>
      <c r="B7" s="70" t="n">
        <v>46153</v>
      </c>
      <c r="C7" s="72" t="s">
        <v>109</v>
      </c>
      <c r="D7" s="72" t="s">
        <v>160</v>
      </c>
      <c r="E7" s="72" t="s">
        <v>283</v>
      </c>
      <c r="F7" s="72" t="s">
        <v>283</v>
      </c>
      <c r="G7" s="72"/>
      <c r="H7" s="73" t="n">
        <v>100</v>
      </c>
      <c r="I7" s="72" t="s">
        <v>254</v>
      </c>
      <c r="J7" s="74" t="n">
        <v>642</v>
      </c>
      <c r="K7" s="75" t="n">
        <f aca="false">IF(OR(H7="",J7=""),"",H7*J7)</f>
        <v>64200</v>
      </c>
      <c r="L7" s="87"/>
      <c r="M7" s="87"/>
      <c r="N7" s="87"/>
      <c r="O7" s="75" t="n">
        <f aca="false">IF(K7="","",K7-IF(L7="",0,L7)+IF(M7="",0,M7)+IF(N7="",0,N7))</f>
        <v>64200</v>
      </c>
    </row>
    <row r="8" customFormat="false" ht="15.75" hidden="false" customHeight="true" outlineLevel="0" collapsed="false">
      <c r="A8" s="80" t="s">
        <v>397</v>
      </c>
      <c r="B8" s="78" t="n">
        <v>46153</v>
      </c>
      <c r="C8" s="80" t="s">
        <v>109</v>
      </c>
      <c r="D8" s="80" t="s">
        <v>160</v>
      </c>
      <c r="E8" s="80" t="s">
        <v>287</v>
      </c>
      <c r="F8" s="80" t="s">
        <v>287</v>
      </c>
      <c r="G8" s="80"/>
      <c r="H8" s="81" t="n">
        <v>50</v>
      </c>
      <c r="I8" s="80" t="s">
        <v>254</v>
      </c>
      <c r="J8" s="82" t="n">
        <v>246</v>
      </c>
      <c r="K8" s="83" t="n">
        <f aca="false">IF(OR(H8="",J8=""),"",H8*J8)</f>
        <v>12300</v>
      </c>
      <c r="L8" s="88"/>
      <c r="M8" s="88"/>
      <c r="N8" s="88"/>
      <c r="O8" s="83" t="n">
        <f aca="false">IF(K8="","",K8-IF(L8="",0,L8)+IF(M8="",0,M8)+IF(N8="",0,N8))</f>
        <v>12300</v>
      </c>
    </row>
    <row r="9" customFormat="false" ht="15.75" hidden="false" customHeight="true" outlineLevel="0" collapsed="false">
      <c r="A9" s="72" t="s">
        <v>397</v>
      </c>
      <c r="B9" s="70" t="n">
        <v>46153</v>
      </c>
      <c r="C9" s="72" t="s">
        <v>109</v>
      </c>
      <c r="D9" s="72" t="s">
        <v>159</v>
      </c>
      <c r="E9" s="72" t="s">
        <v>226</v>
      </c>
      <c r="F9" s="72" t="s">
        <v>399</v>
      </c>
      <c r="G9" s="72"/>
      <c r="H9" s="73" t="n">
        <v>20</v>
      </c>
      <c r="I9" s="72" t="s">
        <v>245</v>
      </c>
      <c r="J9" s="74" t="n">
        <v>600</v>
      </c>
      <c r="K9" s="75" t="n">
        <f aca="false">IF(OR(H9="",J9=""),"",H9*J9)</f>
        <v>12000</v>
      </c>
      <c r="L9" s="87"/>
      <c r="M9" s="87"/>
      <c r="N9" s="87"/>
      <c r="O9" s="75" t="n">
        <f aca="false">IF(K9="","",K9-IF(L9="",0,L9)+IF(M9="",0,M9)+IF(N9="",0,N9))</f>
        <v>12000</v>
      </c>
    </row>
    <row r="10" customFormat="false" ht="15.75" hidden="false" customHeight="true" outlineLevel="0" collapsed="false">
      <c r="A10" s="80" t="s">
        <v>397</v>
      </c>
      <c r="B10" s="78" t="n">
        <v>46153</v>
      </c>
      <c r="C10" s="80" t="s">
        <v>109</v>
      </c>
      <c r="D10" s="80" t="s">
        <v>159</v>
      </c>
      <c r="E10" s="80" t="s">
        <v>246</v>
      </c>
      <c r="F10" s="80" t="s">
        <v>400</v>
      </c>
      <c r="G10" s="80"/>
      <c r="H10" s="81" t="n">
        <v>2</v>
      </c>
      <c r="I10" s="80" t="s">
        <v>247</v>
      </c>
      <c r="J10" s="82" t="n">
        <v>1400</v>
      </c>
      <c r="K10" s="83" t="n">
        <f aca="false">IF(OR(H10="",J10=""),"",H10*J10)</f>
        <v>2800</v>
      </c>
      <c r="L10" s="88"/>
      <c r="M10" s="88"/>
      <c r="N10" s="88"/>
      <c r="O10" s="83" t="n">
        <f aca="false">IF(K10="","",K10-IF(L10="",0,L10)+IF(M10="",0,M10)+IF(N10="",0,N10))</f>
        <v>2800</v>
      </c>
    </row>
    <row r="11" customFormat="false" ht="15.75" hidden="false" customHeight="true" outlineLevel="0" collapsed="false">
      <c r="A11" s="72" t="s">
        <v>397</v>
      </c>
      <c r="B11" s="70" t="n">
        <v>46153</v>
      </c>
      <c r="C11" s="72" t="s">
        <v>109</v>
      </c>
      <c r="D11" s="72" t="s">
        <v>166</v>
      </c>
      <c r="E11" s="72" t="s">
        <v>302</v>
      </c>
      <c r="F11" s="72" t="s">
        <v>166</v>
      </c>
      <c r="G11" s="72"/>
      <c r="H11" s="73" t="n">
        <v>1</v>
      </c>
      <c r="I11" s="72" t="s">
        <v>279</v>
      </c>
      <c r="J11" s="74" t="n">
        <v>250</v>
      </c>
      <c r="K11" s="75" t="n">
        <f aca="false">IF(OR(H11="",J11=""),"",H11*J11)</f>
        <v>250</v>
      </c>
      <c r="L11" s="87"/>
      <c r="M11" s="87"/>
      <c r="N11" s="87"/>
      <c r="O11" s="75" t="n">
        <f aca="false">IF(K11="","",K11-IF(L11="",0,L11)+IF(M11="",0,M11)+IF(N11="",0,N11))</f>
        <v>250</v>
      </c>
    </row>
    <row r="12" customFormat="false" ht="15.75" hidden="false" customHeight="true" outlineLevel="0" collapsed="false">
      <c r="A12" s="80" t="s">
        <v>397</v>
      </c>
      <c r="B12" s="78" t="n">
        <v>46153</v>
      </c>
      <c r="C12" s="80" t="s">
        <v>109</v>
      </c>
      <c r="D12" s="80" t="s">
        <v>164</v>
      </c>
      <c r="E12" s="80" t="s">
        <v>300</v>
      </c>
      <c r="F12" s="80" t="s">
        <v>401</v>
      </c>
      <c r="G12" s="80"/>
      <c r="H12" s="81" t="n">
        <v>1</v>
      </c>
      <c r="I12" s="80" t="s">
        <v>263</v>
      </c>
      <c r="J12" s="82" t="n">
        <v>450</v>
      </c>
      <c r="K12" s="83" t="n">
        <f aca="false">IF(OR(H12="",J12=""),"",H12*J12)</f>
        <v>450</v>
      </c>
      <c r="L12" s="88"/>
      <c r="M12" s="88"/>
      <c r="N12" s="88"/>
      <c r="O12" s="83" t="n">
        <f aca="false">IF(K12="","",K12-IF(L12="",0,L12)+IF(M12="",0,M12)+IF(N12="",0,N12))</f>
        <v>450</v>
      </c>
    </row>
    <row r="13" customFormat="false" ht="15.75" hidden="false" customHeight="true" outlineLevel="0" collapsed="false">
      <c r="A13" s="72" t="s">
        <v>397</v>
      </c>
      <c r="B13" s="70" t="n">
        <v>46153</v>
      </c>
      <c r="C13" s="72" t="s">
        <v>109</v>
      </c>
      <c r="D13" s="72" t="s">
        <v>159</v>
      </c>
      <c r="E13" s="72" t="s">
        <v>271</v>
      </c>
      <c r="F13" s="72" t="s">
        <v>402</v>
      </c>
      <c r="G13" s="72"/>
      <c r="H13" s="73" t="n">
        <v>1</v>
      </c>
      <c r="I13" s="72" t="s">
        <v>252</v>
      </c>
      <c r="J13" s="74" t="n">
        <v>2000</v>
      </c>
      <c r="K13" s="75" t="n">
        <f aca="false">IF(OR(H13="",J13=""),"",H13*J13)</f>
        <v>2000</v>
      </c>
      <c r="L13" s="87"/>
      <c r="M13" s="87"/>
      <c r="N13" s="87"/>
      <c r="O13" s="75" t="n">
        <f aca="false">IF(K13="","",K13-IF(L13="",0,L13)+IF(M13="",0,M13)+IF(N13="",0,N13))</f>
        <v>2000</v>
      </c>
    </row>
    <row r="14" customFormat="false" ht="15.75" hidden="false" customHeight="true" outlineLevel="0" collapsed="false">
      <c r="A14" s="80"/>
      <c r="B14" s="78"/>
      <c r="C14" s="80"/>
      <c r="D14" s="80"/>
      <c r="E14" s="80"/>
      <c r="F14" s="80"/>
      <c r="G14" s="80"/>
      <c r="H14" s="81"/>
      <c r="I14" s="80"/>
      <c r="J14" s="82"/>
      <c r="K14" s="83" t="str">
        <f aca="false">IF(OR(H14="",J14=""),"",H14*J14)</f>
        <v/>
      </c>
      <c r="L14" s="88"/>
      <c r="M14" s="88"/>
      <c r="N14" s="88"/>
      <c r="O14" s="83" t="str">
        <f aca="false">IF(K14="","",K14-IF(L14="",0,L14)+IF(M14="",0,M14)+IF(N14="",0,N14))</f>
        <v/>
      </c>
    </row>
    <row r="15" customFormat="false" ht="15.75" hidden="false" customHeight="true" outlineLevel="0" collapsed="false">
      <c r="A15" s="72"/>
      <c r="B15" s="70"/>
      <c r="C15" s="72"/>
      <c r="D15" s="72"/>
      <c r="E15" s="72"/>
      <c r="F15" s="72"/>
      <c r="G15" s="72"/>
      <c r="H15" s="73"/>
      <c r="I15" s="72"/>
      <c r="J15" s="74"/>
      <c r="K15" s="75" t="str">
        <f aca="false">IF(OR(H15="",J15=""),"",H15*J15)</f>
        <v/>
      </c>
      <c r="L15" s="87"/>
      <c r="M15" s="87"/>
      <c r="N15" s="87"/>
      <c r="O15" s="75" t="str">
        <f aca="false">IF(K15="","",K15-IF(L15="",0,L15)+IF(M15="",0,M15)+IF(N15="",0,N15))</f>
        <v/>
      </c>
    </row>
    <row r="16" customFormat="false" ht="15.75" hidden="false" customHeight="true" outlineLevel="0" collapsed="false">
      <c r="A16" s="80"/>
      <c r="B16" s="78"/>
      <c r="C16" s="80"/>
      <c r="D16" s="80"/>
      <c r="E16" s="80"/>
      <c r="F16" s="80"/>
      <c r="G16" s="80"/>
      <c r="H16" s="81"/>
      <c r="I16" s="80"/>
      <c r="J16" s="82"/>
      <c r="K16" s="83" t="str">
        <f aca="false">IF(OR(H16="",J16=""),"",H16*J16)</f>
        <v/>
      </c>
      <c r="L16" s="88"/>
      <c r="M16" s="88"/>
      <c r="N16" s="88"/>
      <c r="O16" s="83" t="str">
        <f aca="false">IF(K16="","",K16-IF(L16="",0,L16)+IF(M16="",0,M16)+IF(N16="",0,N16))</f>
        <v/>
      </c>
    </row>
    <row r="17" customFormat="false" ht="15.75" hidden="false" customHeight="true" outlineLevel="0" collapsed="false">
      <c r="A17" s="72"/>
      <c r="B17" s="70"/>
      <c r="C17" s="72"/>
      <c r="D17" s="72"/>
      <c r="E17" s="72"/>
      <c r="F17" s="72"/>
      <c r="G17" s="72"/>
      <c r="H17" s="73"/>
      <c r="I17" s="72"/>
      <c r="J17" s="74"/>
      <c r="K17" s="75" t="str">
        <f aca="false">IF(OR(H17="",J17=""),"",H17*J17)</f>
        <v/>
      </c>
      <c r="L17" s="87"/>
      <c r="M17" s="87"/>
      <c r="N17" s="87"/>
      <c r="O17" s="75" t="str">
        <f aca="false">IF(K17="","",K17-IF(L17="",0,L17)+IF(M17="",0,M17)+IF(N17="",0,N17))</f>
        <v/>
      </c>
    </row>
    <row r="18" customFormat="false" ht="15.75" hidden="false" customHeight="true" outlineLevel="0" collapsed="false">
      <c r="A18" s="80"/>
      <c r="B18" s="78"/>
      <c r="C18" s="80"/>
      <c r="D18" s="80"/>
      <c r="E18" s="80"/>
      <c r="F18" s="80"/>
      <c r="G18" s="80"/>
      <c r="H18" s="81"/>
      <c r="I18" s="80"/>
      <c r="J18" s="82"/>
      <c r="K18" s="83" t="str">
        <f aca="false">IF(OR(H18="",J18=""),"",H18*J18)</f>
        <v/>
      </c>
      <c r="L18" s="88"/>
      <c r="M18" s="88"/>
      <c r="N18" s="88"/>
      <c r="O18" s="83" t="str">
        <f aca="false">IF(K18="","",K18-IF(L18="",0,L18)+IF(M18="",0,M18)+IF(N18="",0,N18))</f>
        <v/>
      </c>
    </row>
    <row r="19" customFormat="false" ht="15.75" hidden="false" customHeight="true" outlineLevel="0" collapsed="false">
      <c r="A19" s="72"/>
      <c r="B19" s="70"/>
      <c r="C19" s="72"/>
      <c r="D19" s="72"/>
      <c r="E19" s="72"/>
      <c r="F19" s="72"/>
      <c r="G19" s="72"/>
      <c r="H19" s="73"/>
      <c r="I19" s="72"/>
      <c r="J19" s="74"/>
      <c r="K19" s="75" t="str">
        <f aca="false">IF(OR(H19="",J19=""),"",H19*J19)</f>
        <v/>
      </c>
      <c r="L19" s="87"/>
      <c r="M19" s="87"/>
      <c r="N19" s="87"/>
      <c r="O19" s="75" t="str">
        <f aca="false">IF(K19="","",K19-IF(L19="",0,L19)+IF(M19="",0,M19)+IF(N19="",0,N19))</f>
        <v/>
      </c>
    </row>
    <row r="20" customFormat="false" ht="15.75" hidden="false" customHeight="true" outlineLevel="0" collapsed="false">
      <c r="A20" s="80"/>
      <c r="B20" s="78"/>
      <c r="C20" s="80"/>
      <c r="D20" s="80"/>
      <c r="E20" s="80"/>
      <c r="F20" s="80"/>
      <c r="G20" s="80"/>
      <c r="H20" s="81"/>
      <c r="I20" s="80"/>
      <c r="J20" s="82"/>
      <c r="K20" s="83" t="str">
        <f aca="false">IF(OR(H20="",J20=""),"",H20*J20)</f>
        <v/>
      </c>
      <c r="L20" s="88"/>
      <c r="M20" s="88"/>
      <c r="N20" s="88"/>
      <c r="O20" s="83" t="str">
        <f aca="false">IF(K20="","",K20-IF(L20="",0,L20)+IF(M20="",0,M20)+IF(N20="",0,N20))</f>
        <v/>
      </c>
    </row>
    <row r="21" customFormat="false" ht="15.75" hidden="false" customHeight="true" outlineLevel="0" collapsed="false">
      <c r="A21" s="72"/>
      <c r="B21" s="70"/>
      <c r="C21" s="72"/>
      <c r="D21" s="72"/>
      <c r="E21" s="72"/>
      <c r="F21" s="72"/>
      <c r="G21" s="72"/>
      <c r="H21" s="73"/>
      <c r="I21" s="72"/>
      <c r="J21" s="74"/>
      <c r="K21" s="75" t="str">
        <f aca="false">IF(OR(H21="",J21=""),"",H21*J21)</f>
        <v/>
      </c>
      <c r="L21" s="87"/>
      <c r="M21" s="87"/>
      <c r="N21" s="87"/>
      <c r="O21" s="75" t="str">
        <f aca="false">IF(K21="","",K21-IF(L21="",0,L21)+IF(M21="",0,M21)+IF(N21="",0,N21))</f>
        <v/>
      </c>
    </row>
    <row r="22" customFormat="false" ht="15.75" hidden="false" customHeight="true" outlineLevel="0" collapsed="false">
      <c r="A22" s="80"/>
      <c r="B22" s="78"/>
      <c r="C22" s="80"/>
      <c r="D22" s="80"/>
      <c r="E22" s="80"/>
      <c r="F22" s="80"/>
      <c r="G22" s="80"/>
      <c r="H22" s="81"/>
      <c r="I22" s="80"/>
      <c r="J22" s="82"/>
      <c r="K22" s="83" t="str">
        <f aca="false">IF(OR(H22="",J22=""),"",H22*J22)</f>
        <v/>
      </c>
      <c r="L22" s="88"/>
      <c r="M22" s="88"/>
      <c r="N22" s="88"/>
      <c r="O22" s="83" t="str">
        <f aca="false">IF(K22="","",K22-IF(L22="",0,L22)+IF(M22="",0,M22)+IF(N22="",0,N22))</f>
        <v/>
      </c>
    </row>
    <row r="23" customFormat="false" ht="15.75" hidden="false" customHeight="true" outlineLevel="0" collapsed="false">
      <c r="A23" s="72"/>
      <c r="B23" s="70"/>
      <c r="C23" s="72"/>
      <c r="D23" s="72"/>
      <c r="E23" s="72"/>
      <c r="F23" s="72"/>
      <c r="G23" s="72"/>
      <c r="H23" s="73"/>
      <c r="I23" s="72"/>
      <c r="J23" s="74"/>
      <c r="K23" s="75" t="str">
        <f aca="false">IF(OR(H23="",J23=""),"",H23*J23)</f>
        <v/>
      </c>
      <c r="L23" s="87"/>
      <c r="M23" s="87"/>
      <c r="N23" s="87"/>
      <c r="O23" s="75" t="str">
        <f aca="false">IF(K23="","",K23-IF(L23="",0,L23)+IF(M23="",0,M23)+IF(N23="",0,N23))</f>
        <v/>
      </c>
    </row>
    <row r="24" customFormat="false" ht="15.75" hidden="false" customHeight="true" outlineLevel="0" collapsed="false">
      <c r="A24" s="80"/>
      <c r="B24" s="78"/>
      <c r="C24" s="80"/>
      <c r="D24" s="80"/>
      <c r="E24" s="80"/>
      <c r="F24" s="80"/>
      <c r="G24" s="80"/>
      <c r="H24" s="81"/>
      <c r="I24" s="80"/>
      <c r="J24" s="82"/>
      <c r="K24" s="83" t="str">
        <f aca="false">IF(OR(H24="",J24=""),"",H24*J24)</f>
        <v/>
      </c>
      <c r="L24" s="88"/>
      <c r="M24" s="88"/>
      <c r="N24" s="88"/>
      <c r="O24" s="83" t="str">
        <f aca="false">IF(K24="","",K24-IF(L24="",0,L24)+IF(M24="",0,M24)+IF(N24="",0,N24))</f>
        <v/>
      </c>
    </row>
    <row r="25" customFormat="false" ht="15.75" hidden="false" customHeight="true" outlineLevel="0" collapsed="false">
      <c r="A25" s="72"/>
      <c r="B25" s="70"/>
      <c r="C25" s="72"/>
      <c r="D25" s="72"/>
      <c r="E25" s="72"/>
      <c r="F25" s="72"/>
      <c r="G25" s="72"/>
      <c r="H25" s="73"/>
      <c r="I25" s="72"/>
      <c r="J25" s="74"/>
      <c r="K25" s="75" t="str">
        <f aca="false">IF(OR(H25="",J25=""),"",H25*J25)</f>
        <v/>
      </c>
      <c r="L25" s="87"/>
      <c r="M25" s="87"/>
      <c r="N25" s="87"/>
      <c r="O25" s="75" t="str">
        <f aca="false">IF(K25="","",K25-IF(L25="",0,L25)+IF(M25="",0,M25)+IF(N25="",0,N25))</f>
        <v/>
      </c>
    </row>
    <row r="26" customFormat="false" ht="15.75" hidden="false" customHeight="true" outlineLevel="0" collapsed="false">
      <c r="A26" s="80"/>
      <c r="B26" s="78"/>
      <c r="C26" s="80"/>
      <c r="D26" s="80"/>
      <c r="E26" s="80"/>
      <c r="F26" s="80"/>
      <c r="G26" s="80"/>
      <c r="H26" s="81"/>
      <c r="I26" s="80"/>
      <c r="J26" s="82"/>
      <c r="K26" s="83" t="str">
        <f aca="false">IF(OR(H26="",J26=""),"",H26*J26)</f>
        <v/>
      </c>
      <c r="L26" s="88"/>
      <c r="M26" s="88"/>
      <c r="N26" s="88"/>
      <c r="O26" s="83" t="str">
        <f aca="false">IF(K26="","",K26-IF(L26="",0,L26)+IF(M26="",0,M26)+IF(N26="",0,N26))</f>
        <v/>
      </c>
    </row>
    <row r="27" customFormat="false" ht="15.75" hidden="false" customHeight="true" outlineLevel="0" collapsed="false">
      <c r="A27" s="72"/>
      <c r="B27" s="70"/>
      <c r="C27" s="72"/>
      <c r="D27" s="72"/>
      <c r="E27" s="72"/>
      <c r="F27" s="72"/>
      <c r="G27" s="72"/>
      <c r="H27" s="73"/>
      <c r="I27" s="72"/>
      <c r="J27" s="74"/>
      <c r="K27" s="75" t="str">
        <f aca="false">IF(OR(H27="",J27=""),"",H27*J27)</f>
        <v/>
      </c>
      <c r="L27" s="87"/>
      <c r="M27" s="87"/>
      <c r="N27" s="87"/>
      <c r="O27" s="75" t="str">
        <f aca="false">IF(K27="","",K27-IF(L27="",0,L27)+IF(M27="",0,M27)+IF(N27="",0,N27))</f>
        <v/>
      </c>
    </row>
    <row r="28" customFormat="false" ht="15.75" hidden="false" customHeight="true" outlineLevel="0" collapsed="false">
      <c r="A28" s="80"/>
      <c r="B28" s="78"/>
      <c r="C28" s="80"/>
      <c r="D28" s="80"/>
      <c r="E28" s="80"/>
      <c r="F28" s="80"/>
      <c r="G28" s="80"/>
      <c r="H28" s="81"/>
      <c r="I28" s="80"/>
      <c r="J28" s="82"/>
      <c r="K28" s="83" t="str">
        <f aca="false">IF(OR(H28="",J28=""),"",H28*J28)</f>
        <v/>
      </c>
      <c r="L28" s="88"/>
      <c r="M28" s="88"/>
      <c r="N28" s="88"/>
      <c r="O28" s="83" t="str">
        <f aca="false">IF(K28="","",K28-IF(L28="",0,L28)+IF(M28="",0,M28)+IF(N28="",0,N28))</f>
        <v/>
      </c>
    </row>
    <row r="29" customFormat="false" ht="15.75" hidden="false" customHeight="true" outlineLevel="0" collapsed="false">
      <c r="A29" s="72"/>
      <c r="B29" s="70"/>
      <c r="C29" s="72"/>
      <c r="D29" s="72"/>
      <c r="E29" s="72"/>
      <c r="F29" s="72"/>
      <c r="G29" s="72"/>
      <c r="H29" s="73"/>
      <c r="I29" s="72"/>
      <c r="J29" s="74"/>
      <c r="K29" s="75" t="str">
        <f aca="false">IF(OR(H29="",J29=""),"",H29*J29)</f>
        <v/>
      </c>
      <c r="L29" s="87"/>
      <c r="M29" s="87"/>
      <c r="N29" s="87"/>
      <c r="O29" s="75" t="str">
        <f aca="false">IF(K29="","",K29-IF(L29="",0,L29)+IF(M29="",0,M29)+IF(N29="",0,N29))</f>
        <v/>
      </c>
    </row>
    <row r="30" customFormat="false" ht="15.75" hidden="false" customHeight="true" outlineLevel="0" collapsed="false">
      <c r="A30" s="80"/>
      <c r="B30" s="78"/>
      <c r="C30" s="80"/>
      <c r="D30" s="80"/>
      <c r="E30" s="80"/>
      <c r="F30" s="80"/>
      <c r="G30" s="80"/>
      <c r="H30" s="81"/>
      <c r="I30" s="80"/>
      <c r="J30" s="82"/>
      <c r="K30" s="83" t="str">
        <f aca="false">IF(OR(H30="",J30=""),"",H30*J30)</f>
        <v/>
      </c>
      <c r="L30" s="88"/>
      <c r="M30" s="88"/>
      <c r="N30" s="88"/>
      <c r="O30" s="83" t="str">
        <f aca="false">IF(K30="","",K30-IF(L30="",0,L30)+IF(M30="",0,M30)+IF(N30="",0,N30))</f>
        <v/>
      </c>
    </row>
    <row r="31" customFormat="false" ht="15.75" hidden="false" customHeight="true" outlineLevel="0" collapsed="false">
      <c r="A31" s="72"/>
      <c r="B31" s="70"/>
      <c r="C31" s="72"/>
      <c r="D31" s="72"/>
      <c r="E31" s="72"/>
      <c r="F31" s="72"/>
      <c r="G31" s="72"/>
      <c r="H31" s="73"/>
      <c r="I31" s="72"/>
      <c r="J31" s="74"/>
      <c r="K31" s="75" t="str">
        <f aca="false">IF(OR(H31="",J31=""),"",H31*J31)</f>
        <v/>
      </c>
      <c r="L31" s="87"/>
      <c r="M31" s="87"/>
      <c r="N31" s="87"/>
      <c r="O31" s="75" t="str">
        <f aca="false">IF(K31="","",K31-IF(L31="",0,L31)+IF(M31="",0,M31)+IF(N31="",0,N31))</f>
        <v/>
      </c>
    </row>
    <row r="32" customFormat="false" ht="15.75" hidden="false" customHeight="true" outlineLevel="0" collapsed="false">
      <c r="A32" s="80"/>
      <c r="B32" s="78"/>
      <c r="C32" s="80"/>
      <c r="D32" s="80"/>
      <c r="E32" s="80"/>
      <c r="F32" s="80"/>
      <c r="G32" s="80"/>
      <c r="H32" s="81"/>
      <c r="I32" s="80"/>
      <c r="J32" s="82"/>
      <c r="K32" s="83" t="str">
        <f aca="false">IF(OR(H32="",J32=""),"",H32*J32)</f>
        <v/>
      </c>
      <c r="L32" s="88"/>
      <c r="M32" s="88"/>
      <c r="N32" s="88"/>
      <c r="O32" s="83" t="str">
        <f aca="false">IF(K32="","",K32-IF(L32="",0,L32)+IF(M32="",0,M32)+IF(N32="",0,N32))</f>
        <v/>
      </c>
    </row>
    <row r="33" customFormat="false" ht="15.75" hidden="false" customHeight="true" outlineLevel="0" collapsed="false">
      <c r="A33" s="72"/>
      <c r="B33" s="70"/>
      <c r="C33" s="72"/>
      <c r="D33" s="72"/>
      <c r="E33" s="72"/>
      <c r="F33" s="72"/>
      <c r="G33" s="72"/>
      <c r="H33" s="73"/>
      <c r="I33" s="72"/>
      <c r="J33" s="74"/>
      <c r="K33" s="75" t="str">
        <f aca="false">IF(OR(H33="",J33=""),"",H33*J33)</f>
        <v/>
      </c>
      <c r="L33" s="87"/>
      <c r="M33" s="87"/>
      <c r="N33" s="87"/>
      <c r="O33" s="75" t="str">
        <f aca="false">IF(K33="","",K33-IF(L33="",0,L33)+IF(M33="",0,M33)+IF(N33="",0,N33))</f>
        <v/>
      </c>
    </row>
    <row r="34" customFormat="false" ht="15.75" hidden="false" customHeight="true" outlineLevel="0" collapsed="false">
      <c r="A34" s="80"/>
      <c r="B34" s="78"/>
      <c r="C34" s="80"/>
      <c r="D34" s="80"/>
      <c r="E34" s="80"/>
      <c r="F34" s="80"/>
      <c r="G34" s="80"/>
      <c r="H34" s="81"/>
      <c r="I34" s="80"/>
      <c r="J34" s="82"/>
      <c r="K34" s="83" t="str">
        <f aca="false">IF(OR(H34="",J34=""),"",H34*J34)</f>
        <v/>
      </c>
      <c r="L34" s="88"/>
      <c r="M34" s="88"/>
      <c r="N34" s="88"/>
      <c r="O34" s="83" t="str">
        <f aca="false">IF(K34="","",K34-IF(L34="",0,L34)+IF(M34="",0,M34)+IF(N34="",0,N34))</f>
        <v/>
      </c>
    </row>
    <row r="35" customFormat="false" ht="15.75" hidden="false" customHeight="true" outlineLevel="0" collapsed="false">
      <c r="A35" s="72"/>
      <c r="B35" s="70"/>
      <c r="C35" s="72"/>
      <c r="D35" s="72"/>
      <c r="E35" s="72"/>
      <c r="F35" s="72"/>
      <c r="G35" s="72"/>
      <c r="H35" s="73"/>
      <c r="I35" s="72"/>
      <c r="J35" s="74"/>
      <c r="K35" s="75" t="str">
        <f aca="false">IF(OR(H35="",J35=""),"",H35*J35)</f>
        <v/>
      </c>
      <c r="L35" s="87"/>
      <c r="M35" s="87"/>
      <c r="N35" s="87"/>
      <c r="O35" s="75" t="str">
        <f aca="false">IF(K35="","",K35-IF(L35="",0,L35)+IF(M35="",0,M35)+IF(N35="",0,N35))</f>
        <v/>
      </c>
    </row>
    <row r="36" customFormat="false" ht="15.75" hidden="false" customHeight="true" outlineLevel="0" collapsed="false">
      <c r="A36" s="80"/>
      <c r="B36" s="78"/>
      <c r="C36" s="80"/>
      <c r="D36" s="80"/>
      <c r="E36" s="80"/>
      <c r="F36" s="80"/>
      <c r="G36" s="80"/>
      <c r="H36" s="81"/>
      <c r="I36" s="80"/>
      <c r="J36" s="82"/>
      <c r="K36" s="83" t="str">
        <f aca="false">IF(OR(H36="",J36=""),"",H36*J36)</f>
        <v/>
      </c>
      <c r="L36" s="88"/>
      <c r="M36" s="88"/>
      <c r="N36" s="88"/>
      <c r="O36" s="83" t="str">
        <f aca="false">IF(K36="","",K36-IF(L36="",0,L36)+IF(M36="",0,M36)+IF(N36="",0,N36))</f>
        <v/>
      </c>
    </row>
    <row r="37" customFormat="false" ht="15.75" hidden="false" customHeight="true" outlineLevel="0" collapsed="false">
      <c r="A37" s="72"/>
      <c r="B37" s="70"/>
      <c r="C37" s="72"/>
      <c r="D37" s="72"/>
      <c r="E37" s="72"/>
      <c r="F37" s="72"/>
      <c r="G37" s="72"/>
      <c r="H37" s="73"/>
      <c r="I37" s="72"/>
      <c r="J37" s="74"/>
      <c r="K37" s="75" t="str">
        <f aca="false">IF(OR(H37="",J37=""),"",H37*J37)</f>
        <v/>
      </c>
      <c r="L37" s="87"/>
      <c r="M37" s="87"/>
      <c r="N37" s="87"/>
      <c r="O37" s="75" t="str">
        <f aca="false">IF(K37="","",K37-IF(L37="",0,L37)+IF(M37="",0,M37)+IF(N37="",0,N37))</f>
        <v/>
      </c>
    </row>
    <row r="38" customFormat="false" ht="15.75" hidden="false" customHeight="true" outlineLevel="0" collapsed="false">
      <c r="A38" s="80"/>
      <c r="B38" s="78"/>
      <c r="C38" s="80"/>
      <c r="D38" s="80"/>
      <c r="E38" s="80"/>
      <c r="F38" s="80"/>
      <c r="G38" s="80"/>
      <c r="H38" s="81"/>
      <c r="I38" s="80"/>
      <c r="J38" s="82"/>
      <c r="K38" s="83" t="str">
        <f aca="false">IF(OR(H38="",J38=""),"",H38*J38)</f>
        <v/>
      </c>
      <c r="L38" s="88"/>
      <c r="M38" s="88"/>
      <c r="N38" s="88"/>
      <c r="O38" s="83" t="str">
        <f aca="false">IF(K38="","",K38-IF(L38="",0,L38)+IF(M38="",0,M38)+IF(N38="",0,N38))</f>
        <v/>
      </c>
    </row>
    <row r="39" customFormat="false" ht="15.75" hidden="false" customHeight="true" outlineLevel="0" collapsed="false">
      <c r="A39" s="72"/>
      <c r="B39" s="70"/>
      <c r="C39" s="72"/>
      <c r="D39" s="72"/>
      <c r="E39" s="72"/>
      <c r="F39" s="72"/>
      <c r="G39" s="72"/>
      <c r="H39" s="73"/>
      <c r="I39" s="72"/>
      <c r="J39" s="74"/>
      <c r="K39" s="75" t="str">
        <f aca="false">IF(OR(H39="",J39=""),"",H39*J39)</f>
        <v/>
      </c>
      <c r="L39" s="87"/>
      <c r="M39" s="87"/>
      <c r="N39" s="87"/>
      <c r="O39" s="75" t="str">
        <f aca="false">IF(K39="","",K39-IF(L39="",0,L39)+IF(M39="",0,M39)+IF(N39="",0,N39))</f>
        <v/>
      </c>
    </row>
    <row r="40" customFormat="false" ht="15.75" hidden="false" customHeight="true" outlineLevel="0" collapsed="false">
      <c r="A40" s="80"/>
      <c r="B40" s="78"/>
      <c r="C40" s="80"/>
      <c r="D40" s="80"/>
      <c r="E40" s="80"/>
      <c r="F40" s="80"/>
      <c r="G40" s="80"/>
      <c r="H40" s="81"/>
      <c r="I40" s="80"/>
      <c r="J40" s="82"/>
      <c r="K40" s="83" t="str">
        <f aca="false">IF(OR(H40="",J40=""),"",H40*J40)</f>
        <v/>
      </c>
      <c r="L40" s="88"/>
      <c r="M40" s="88"/>
      <c r="N40" s="88"/>
      <c r="O40" s="83" t="str">
        <f aca="false">IF(K40="","",K40-IF(L40="",0,L40)+IF(M40="",0,M40)+IF(N40="",0,N40))</f>
        <v/>
      </c>
    </row>
    <row r="41" customFormat="false" ht="15.75" hidden="false" customHeight="true" outlineLevel="0" collapsed="false">
      <c r="A41" s="72"/>
      <c r="B41" s="70"/>
      <c r="C41" s="72"/>
      <c r="D41" s="72"/>
      <c r="E41" s="72"/>
      <c r="F41" s="72"/>
      <c r="G41" s="72"/>
      <c r="H41" s="73"/>
      <c r="I41" s="72"/>
      <c r="J41" s="74"/>
      <c r="K41" s="75" t="str">
        <f aca="false">IF(OR(H41="",J41=""),"",H41*J41)</f>
        <v/>
      </c>
      <c r="L41" s="87"/>
      <c r="M41" s="87"/>
      <c r="N41" s="87"/>
      <c r="O41" s="75" t="str">
        <f aca="false">IF(K41="","",K41-IF(L41="",0,L41)+IF(M41="",0,M41)+IF(N41="",0,N41))</f>
        <v/>
      </c>
    </row>
    <row r="42" customFormat="false" ht="15.75" hidden="false" customHeight="true" outlineLevel="0" collapsed="false">
      <c r="A42" s="80"/>
      <c r="B42" s="78"/>
      <c r="C42" s="80"/>
      <c r="D42" s="80"/>
      <c r="E42" s="80"/>
      <c r="F42" s="80"/>
      <c r="G42" s="80"/>
      <c r="H42" s="81"/>
      <c r="I42" s="80"/>
      <c r="J42" s="82"/>
      <c r="K42" s="83" t="str">
        <f aca="false">IF(OR(H42="",J42=""),"",H42*J42)</f>
        <v/>
      </c>
      <c r="L42" s="88"/>
      <c r="M42" s="88"/>
      <c r="N42" s="88"/>
      <c r="O42" s="83" t="str">
        <f aca="false">IF(K42="","",K42-IF(L42="",0,L42)+IF(M42="",0,M42)+IF(N42="",0,N42))</f>
        <v/>
      </c>
    </row>
    <row r="43" customFormat="false" ht="15.75" hidden="false" customHeight="true" outlineLevel="0" collapsed="false">
      <c r="A43" s="72"/>
      <c r="B43" s="70"/>
      <c r="C43" s="72"/>
      <c r="D43" s="72"/>
      <c r="E43" s="72"/>
      <c r="F43" s="72"/>
      <c r="G43" s="72"/>
      <c r="H43" s="73"/>
      <c r="I43" s="72"/>
      <c r="J43" s="74"/>
      <c r="K43" s="75" t="str">
        <f aca="false">IF(OR(H43="",J43=""),"",H43*J43)</f>
        <v/>
      </c>
      <c r="L43" s="87"/>
      <c r="M43" s="87"/>
      <c r="N43" s="87"/>
      <c r="O43" s="75" t="str">
        <f aca="false">IF(K43="","",K43-IF(L43="",0,L43)+IF(M43="",0,M43)+IF(N43="",0,N43))</f>
        <v/>
      </c>
    </row>
    <row r="44" customFormat="false" ht="15.75" hidden="false" customHeight="true" outlineLevel="0" collapsed="false">
      <c r="A44" s="80"/>
      <c r="B44" s="78"/>
      <c r="C44" s="80"/>
      <c r="D44" s="80"/>
      <c r="E44" s="80"/>
      <c r="F44" s="80"/>
      <c r="G44" s="80"/>
      <c r="H44" s="81"/>
      <c r="I44" s="80"/>
      <c r="J44" s="82"/>
      <c r="K44" s="83" t="str">
        <f aca="false">IF(OR(H44="",J44=""),"",H44*J44)</f>
        <v/>
      </c>
      <c r="L44" s="88"/>
      <c r="M44" s="88"/>
      <c r="N44" s="88"/>
      <c r="O44" s="83" t="str">
        <f aca="false">IF(K44="","",K44-IF(L44="",0,L44)+IF(M44="",0,M44)+IF(N44="",0,N44))</f>
        <v/>
      </c>
    </row>
    <row r="45" customFormat="false" ht="15.75" hidden="false" customHeight="true" outlineLevel="0" collapsed="false">
      <c r="A45" s="72"/>
      <c r="B45" s="70"/>
      <c r="C45" s="72"/>
      <c r="D45" s="72"/>
      <c r="E45" s="72"/>
      <c r="F45" s="72"/>
      <c r="G45" s="72"/>
      <c r="H45" s="73"/>
      <c r="I45" s="72"/>
      <c r="J45" s="74"/>
      <c r="K45" s="75" t="str">
        <f aca="false">IF(OR(H45="",J45=""),"",H45*J45)</f>
        <v/>
      </c>
      <c r="L45" s="87"/>
      <c r="M45" s="87"/>
      <c r="N45" s="87"/>
      <c r="O45" s="75" t="str">
        <f aca="false">IF(K45="","",K45-IF(L45="",0,L45)+IF(M45="",0,M45)+IF(N45="",0,N45))</f>
        <v/>
      </c>
    </row>
    <row r="46" customFormat="false" ht="15.75" hidden="false" customHeight="true" outlineLevel="0" collapsed="false">
      <c r="A46" s="80"/>
      <c r="B46" s="78"/>
      <c r="C46" s="80"/>
      <c r="D46" s="80"/>
      <c r="E46" s="80"/>
      <c r="F46" s="80"/>
      <c r="G46" s="80"/>
      <c r="H46" s="81"/>
      <c r="I46" s="80"/>
      <c r="J46" s="82"/>
      <c r="K46" s="83" t="str">
        <f aca="false">IF(OR(H46="",J46=""),"",H46*J46)</f>
        <v/>
      </c>
      <c r="L46" s="88"/>
      <c r="M46" s="88"/>
      <c r="N46" s="88"/>
      <c r="O46" s="83" t="str">
        <f aca="false">IF(K46="","",K46-IF(L46="",0,L46)+IF(M46="",0,M46)+IF(N46="",0,N46))</f>
        <v/>
      </c>
    </row>
    <row r="47" customFormat="false" ht="15.75" hidden="false" customHeight="true" outlineLevel="0" collapsed="false">
      <c r="A47" s="72"/>
      <c r="B47" s="70"/>
      <c r="C47" s="72"/>
      <c r="D47" s="72"/>
      <c r="E47" s="72"/>
      <c r="F47" s="72"/>
      <c r="G47" s="72"/>
      <c r="H47" s="73"/>
      <c r="I47" s="72"/>
      <c r="J47" s="74"/>
      <c r="K47" s="75" t="str">
        <f aca="false">IF(OR(H47="",J47=""),"",H47*J47)</f>
        <v/>
      </c>
      <c r="L47" s="87"/>
      <c r="M47" s="87"/>
      <c r="N47" s="87"/>
      <c r="O47" s="75" t="str">
        <f aca="false">IF(K47="","",K47-IF(L47="",0,L47)+IF(M47="",0,M47)+IF(N47="",0,N47))</f>
        <v/>
      </c>
    </row>
    <row r="48" customFormat="false" ht="15.75" hidden="false" customHeight="true" outlineLevel="0" collapsed="false">
      <c r="A48" s="80"/>
      <c r="B48" s="78"/>
      <c r="C48" s="80"/>
      <c r="D48" s="80"/>
      <c r="E48" s="80"/>
      <c r="F48" s="80"/>
      <c r="G48" s="80"/>
      <c r="H48" s="81"/>
      <c r="I48" s="80"/>
      <c r="J48" s="82"/>
      <c r="K48" s="83" t="str">
        <f aca="false">IF(OR(H48="",J48=""),"",H48*J48)</f>
        <v/>
      </c>
      <c r="L48" s="88"/>
      <c r="M48" s="88"/>
      <c r="N48" s="88"/>
      <c r="O48" s="83" t="str">
        <f aca="false">IF(K48="","",K48-IF(L48="",0,L48)+IF(M48="",0,M48)+IF(N48="",0,N48))</f>
        <v/>
      </c>
    </row>
    <row r="49" customFormat="false" ht="15.75" hidden="false" customHeight="true" outlineLevel="0" collapsed="false">
      <c r="A49" s="72"/>
      <c r="B49" s="70"/>
      <c r="C49" s="72"/>
      <c r="D49" s="72"/>
      <c r="E49" s="72"/>
      <c r="F49" s="72"/>
      <c r="G49" s="72"/>
      <c r="H49" s="73"/>
      <c r="I49" s="72"/>
      <c r="J49" s="74"/>
      <c r="K49" s="75" t="str">
        <f aca="false">IF(OR(H49="",J49=""),"",H49*J49)</f>
        <v/>
      </c>
      <c r="L49" s="87"/>
      <c r="M49" s="87"/>
      <c r="N49" s="87"/>
      <c r="O49" s="75" t="str">
        <f aca="false">IF(K49="","",K49-IF(L49="",0,L49)+IF(M49="",0,M49)+IF(N49="",0,N49))</f>
        <v/>
      </c>
    </row>
    <row r="50" customFormat="false" ht="15.75" hidden="false" customHeight="true" outlineLevel="0" collapsed="false">
      <c r="A50" s="80"/>
      <c r="B50" s="78"/>
      <c r="C50" s="80"/>
      <c r="D50" s="80"/>
      <c r="E50" s="80"/>
      <c r="F50" s="80"/>
      <c r="G50" s="80"/>
      <c r="H50" s="81"/>
      <c r="I50" s="80"/>
      <c r="J50" s="82"/>
      <c r="K50" s="83" t="str">
        <f aca="false">IF(OR(H50="",J50=""),"",H50*J50)</f>
        <v/>
      </c>
      <c r="L50" s="88"/>
      <c r="M50" s="88"/>
      <c r="N50" s="88"/>
      <c r="O50" s="83" t="str">
        <f aca="false">IF(K50="","",K50-IF(L50="",0,L50)+IF(M50="",0,M50)+IF(N50="",0,N50))</f>
        <v/>
      </c>
    </row>
    <row r="51" customFormat="false" ht="15.75" hidden="false" customHeight="true" outlineLevel="0" collapsed="false">
      <c r="A51" s="72"/>
      <c r="B51" s="70"/>
      <c r="C51" s="72"/>
      <c r="D51" s="72"/>
      <c r="E51" s="72"/>
      <c r="F51" s="72"/>
      <c r="G51" s="72"/>
      <c r="H51" s="73"/>
      <c r="I51" s="72"/>
      <c r="J51" s="74"/>
      <c r="K51" s="75" t="str">
        <f aca="false">IF(OR(H51="",J51=""),"",H51*J51)</f>
        <v/>
      </c>
      <c r="L51" s="87"/>
      <c r="M51" s="87"/>
      <c r="N51" s="87"/>
      <c r="O51" s="75" t="str">
        <f aca="false">IF(K51="","",K51-IF(L51="",0,L51)+IF(M51="",0,M51)+IF(N51="",0,N51))</f>
        <v/>
      </c>
    </row>
    <row r="52" customFormat="false" ht="15.75" hidden="false" customHeight="true" outlineLevel="0" collapsed="false">
      <c r="A52" s="80"/>
      <c r="B52" s="78"/>
      <c r="C52" s="80"/>
      <c r="D52" s="80"/>
      <c r="E52" s="80"/>
      <c r="F52" s="80"/>
      <c r="G52" s="80"/>
      <c r="H52" s="81"/>
      <c r="I52" s="80"/>
      <c r="J52" s="82"/>
      <c r="K52" s="83" t="str">
        <f aca="false">IF(OR(H52="",J52=""),"",H52*J52)</f>
        <v/>
      </c>
      <c r="L52" s="88"/>
      <c r="M52" s="88"/>
      <c r="N52" s="88"/>
      <c r="O52" s="83" t="str">
        <f aca="false">IF(K52="","",K52-IF(L52="",0,L52)+IF(M52="",0,M52)+IF(N52="",0,N52))</f>
        <v/>
      </c>
    </row>
    <row r="53" customFormat="false" ht="15.75" hidden="false" customHeight="true" outlineLevel="0" collapsed="false">
      <c r="A53" s="72"/>
      <c r="B53" s="70"/>
      <c r="C53" s="72"/>
      <c r="D53" s="72"/>
      <c r="E53" s="72"/>
      <c r="F53" s="72"/>
      <c r="G53" s="72"/>
      <c r="H53" s="73"/>
      <c r="I53" s="72"/>
      <c r="J53" s="74"/>
      <c r="K53" s="75" t="str">
        <f aca="false">IF(OR(H53="",J53=""),"",H53*J53)</f>
        <v/>
      </c>
      <c r="L53" s="87"/>
      <c r="M53" s="87"/>
      <c r="N53" s="87"/>
      <c r="O53" s="75" t="str">
        <f aca="false">IF(K53="","",K53-IF(L53="",0,L53)+IF(M53="",0,M53)+IF(N53="",0,N53))</f>
        <v/>
      </c>
    </row>
    <row r="54" customFormat="false" ht="15.75" hidden="false" customHeight="true" outlineLevel="0" collapsed="false">
      <c r="A54" s="80"/>
      <c r="B54" s="78"/>
      <c r="C54" s="80"/>
      <c r="D54" s="80"/>
      <c r="E54" s="80"/>
      <c r="F54" s="80"/>
      <c r="G54" s="80"/>
      <c r="H54" s="81"/>
      <c r="I54" s="80"/>
      <c r="J54" s="82"/>
      <c r="K54" s="83" t="str">
        <f aca="false">IF(OR(H54="",J54=""),"",H54*J54)</f>
        <v/>
      </c>
      <c r="L54" s="88"/>
      <c r="M54" s="88"/>
      <c r="N54" s="88"/>
      <c r="O54" s="83" t="str">
        <f aca="false">IF(K54="","",K54-IF(L54="",0,L54)+IF(M54="",0,M54)+IF(N54="",0,N54))</f>
        <v/>
      </c>
    </row>
    <row r="55" customFormat="false" ht="15.75" hidden="false" customHeight="true" outlineLevel="0" collapsed="false">
      <c r="A55" s="72"/>
      <c r="B55" s="70"/>
      <c r="C55" s="72"/>
      <c r="D55" s="72"/>
      <c r="E55" s="72"/>
      <c r="F55" s="72"/>
      <c r="G55" s="72"/>
      <c r="H55" s="73"/>
      <c r="I55" s="72"/>
      <c r="J55" s="74"/>
      <c r="K55" s="75" t="str">
        <f aca="false">IF(OR(H55="",J55=""),"",H55*J55)</f>
        <v/>
      </c>
      <c r="L55" s="87"/>
      <c r="M55" s="87"/>
      <c r="N55" s="87"/>
      <c r="O55" s="75" t="str">
        <f aca="false">IF(K55="","",K55-IF(L55="",0,L55)+IF(M55="",0,M55)+IF(N55="",0,N55))</f>
        <v/>
      </c>
    </row>
    <row r="56" customFormat="false" ht="15.75" hidden="false" customHeight="true" outlineLevel="0" collapsed="false">
      <c r="A56" s="80"/>
      <c r="B56" s="78"/>
      <c r="C56" s="80"/>
      <c r="D56" s="80"/>
      <c r="E56" s="80"/>
      <c r="F56" s="80"/>
      <c r="G56" s="80"/>
      <c r="H56" s="81"/>
      <c r="I56" s="80"/>
      <c r="J56" s="82"/>
      <c r="K56" s="83" t="str">
        <f aca="false">IF(OR(H56="",J56=""),"",H56*J56)</f>
        <v/>
      </c>
      <c r="L56" s="88"/>
      <c r="M56" s="88"/>
      <c r="N56" s="88"/>
      <c r="O56" s="83" t="str">
        <f aca="false">IF(K56="","",K56-IF(L56="",0,L56)+IF(M56="",0,M56)+IF(N56="",0,N56))</f>
        <v/>
      </c>
    </row>
    <row r="57" customFormat="false" ht="15.75" hidden="false" customHeight="true" outlineLevel="0" collapsed="false">
      <c r="A57" s="72"/>
      <c r="B57" s="70"/>
      <c r="C57" s="72"/>
      <c r="D57" s="72"/>
      <c r="E57" s="72"/>
      <c r="F57" s="72"/>
      <c r="G57" s="72"/>
      <c r="H57" s="73"/>
      <c r="I57" s="72"/>
      <c r="J57" s="74"/>
      <c r="K57" s="75" t="str">
        <f aca="false">IF(OR(H57="",J57=""),"",H57*J57)</f>
        <v/>
      </c>
      <c r="L57" s="87"/>
      <c r="M57" s="87"/>
      <c r="N57" s="87"/>
      <c r="O57" s="75" t="str">
        <f aca="false">IF(K57="","",K57-IF(L57="",0,L57)+IF(M57="",0,M57)+IF(N57="",0,N57))</f>
        <v/>
      </c>
    </row>
    <row r="58" customFormat="false" ht="15.75" hidden="false" customHeight="true" outlineLevel="0" collapsed="false">
      <c r="A58" s="80"/>
      <c r="B58" s="78"/>
      <c r="C58" s="80"/>
      <c r="D58" s="80"/>
      <c r="E58" s="80"/>
      <c r="F58" s="80"/>
      <c r="G58" s="80"/>
      <c r="H58" s="81"/>
      <c r="I58" s="80"/>
      <c r="J58" s="82"/>
      <c r="K58" s="83" t="str">
        <f aca="false">IF(OR(H58="",J58=""),"",H58*J58)</f>
        <v/>
      </c>
      <c r="L58" s="88"/>
      <c r="M58" s="88"/>
      <c r="N58" s="88"/>
      <c r="O58" s="83" t="str">
        <f aca="false">IF(K58="","",K58-IF(L58="",0,L58)+IF(M58="",0,M58)+IF(N58="",0,N58))</f>
        <v/>
      </c>
    </row>
    <row r="59" customFormat="false" ht="15.75" hidden="false" customHeight="true" outlineLevel="0" collapsed="false">
      <c r="A59" s="72"/>
      <c r="B59" s="70"/>
      <c r="C59" s="72"/>
      <c r="D59" s="72"/>
      <c r="E59" s="72"/>
      <c r="F59" s="72"/>
      <c r="G59" s="72"/>
      <c r="H59" s="73"/>
      <c r="I59" s="72"/>
      <c r="J59" s="74"/>
      <c r="K59" s="75" t="str">
        <f aca="false">IF(OR(H59="",J59=""),"",H59*J59)</f>
        <v/>
      </c>
      <c r="L59" s="87"/>
      <c r="M59" s="87"/>
      <c r="N59" s="87"/>
      <c r="O59" s="75" t="str">
        <f aca="false">IF(K59="","",K59-IF(L59="",0,L59)+IF(M59="",0,M59)+IF(N59="",0,N59))</f>
        <v/>
      </c>
    </row>
    <row r="60" customFormat="false" ht="15.75" hidden="false" customHeight="true" outlineLevel="0" collapsed="false">
      <c r="A60" s="80"/>
      <c r="B60" s="78"/>
      <c r="C60" s="80"/>
      <c r="D60" s="80"/>
      <c r="E60" s="80"/>
      <c r="F60" s="80"/>
      <c r="G60" s="80"/>
      <c r="H60" s="81"/>
      <c r="I60" s="80"/>
      <c r="J60" s="82"/>
      <c r="K60" s="83" t="str">
        <f aca="false">IF(OR(H60="",J60=""),"",H60*J60)</f>
        <v/>
      </c>
      <c r="L60" s="88"/>
      <c r="M60" s="88"/>
      <c r="N60" s="88"/>
      <c r="O60" s="83" t="str">
        <f aca="false">IF(K60="","",K60-IF(L60="",0,L60)+IF(M60="",0,M60)+IF(N60="",0,N60))</f>
        <v/>
      </c>
    </row>
    <row r="61" customFormat="false" ht="15.75" hidden="false" customHeight="true" outlineLevel="0" collapsed="false">
      <c r="A61" s="72"/>
      <c r="B61" s="70"/>
      <c r="C61" s="72"/>
      <c r="D61" s="72"/>
      <c r="E61" s="72"/>
      <c r="F61" s="72"/>
      <c r="G61" s="72"/>
      <c r="H61" s="73"/>
      <c r="I61" s="72"/>
      <c r="J61" s="74"/>
      <c r="K61" s="75" t="str">
        <f aca="false">IF(OR(H61="",J61=""),"",H61*J61)</f>
        <v/>
      </c>
      <c r="L61" s="87"/>
      <c r="M61" s="87"/>
      <c r="N61" s="87"/>
      <c r="O61" s="75" t="str">
        <f aca="false">IF(K61="","",K61-IF(L61="",0,L61)+IF(M61="",0,M61)+IF(N61="",0,N61))</f>
        <v/>
      </c>
    </row>
    <row r="62" customFormat="false" ht="15.75" hidden="false" customHeight="true" outlineLevel="0" collapsed="false">
      <c r="A62" s="80"/>
      <c r="B62" s="78"/>
      <c r="C62" s="80"/>
      <c r="D62" s="80"/>
      <c r="E62" s="80"/>
      <c r="F62" s="80"/>
      <c r="G62" s="80"/>
      <c r="H62" s="81"/>
      <c r="I62" s="80"/>
      <c r="J62" s="82"/>
      <c r="K62" s="83" t="str">
        <f aca="false">IF(OR(H62="",J62=""),"",H62*J62)</f>
        <v/>
      </c>
      <c r="L62" s="88"/>
      <c r="M62" s="88"/>
      <c r="N62" s="88"/>
      <c r="O62" s="83" t="str">
        <f aca="false">IF(K62="","",K62-IF(L62="",0,L62)+IF(M62="",0,M62)+IF(N62="",0,N62))</f>
        <v/>
      </c>
    </row>
    <row r="63" customFormat="false" ht="15.75" hidden="false" customHeight="true" outlineLevel="0" collapsed="false">
      <c r="A63" s="72"/>
      <c r="B63" s="70"/>
      <c r="C63" s="72"/>
      <c r="D63" s="72"/>
      <c r="E63" s="72"/>
      <c r="F63" s="72"/>
      <c r="G63" s="72"/>
      <c r="H63" s="73"/>
      <c r="I63" s="72"/>
      <c r="J63" s="74"/>
      <c r="K63" s="75" t="str">
        <f aca="false">IF(OR(H63="",J63=""),"",H63*J63)</f>
        <v/>
      </c>
      <c r="L63" s="87"/>
      <c r="M63" s="87"/>
      <c r="N63" s="87"/>
      <c r="O63" s="75" t="str">
        <f aca="false">IF(K63="","",K63-IF(L63="",0,L63)+IF(M63="",0,M63)+IF(N63="",0,N63))</f>
        <v/>
      </c>
    </row>
    <row r="64" customFormat="false" ht="15.75" hidden="false" customHeight="true" outlineLevel="0" collapsed="false">
      <c r="A64" s="80"/>
      <c r="B64" s="78"/>
      <c r="C64" s="80"/>
      <c r="D64" s="80"/>
      <c r="E64" s="80"/>
      <c r="F64" s="80"/>
      <c r="G64" s="80"/>
      <c r="H64" s="81"/>
      <c r="I64" s="80"/>
      <c r="J64" s="82"/>
      <c r="K64" s="83" t="str">
        <f aca="false">IF(OR(H64="",J64=""),"",H64*J64)</f>
        <v/>
      </c>
      <c r="L64" s="88"/>
      <c r="M64" s="88"/>
      <c r="N64" s="88"/>
      <c r="O64" s="83" t="str">
        <f aca="false">IF(K64="","",K64-IF(L64="",0,L64)+IF(M64="",0,M64)+IF(N64="",0,N64))</f>
        <v/>
      </c>
    </row>
    <row r="65" customFormat="false" ht="15.75" hidden="false" customHeight="true" outlineLevel="0" collapsed="false">
      <c r="A65" s="72"/>
      <c r="B65" s="70"/>
      <c r="C65" s="72"/>
      <c r="D65" s="72"/>
      <c r="E65" s="72"/>
      <c r="F65" s="72"/>
      <c r="G65" s="72"/>
      <c r="H65" s="73"/>
      <c r="I65" s="72"/>
      <c r="J65" s="74"/>
      <c r="K65" s="75" t="str">
        <f aca="false">IF(OR(H65="",J65=""),"",H65*J65)</f>
        <v/>
      </c>
      <c r="L65" s="87"/>
      <c r="M65" s="87"/>
      <c r="N65" s="87"/>
      <c r="O65" s="75" t="str">
        <f aca="false">IF(K65="","",K65-IF(L65="",0,L65)+IF(M65="",0,M65)+IF(N65="",0,N65))</f>
        <v/>
      </c>
    </row>
    <row r="66" customFormat="false" ht="15.75" hidden="false" customHeight="true" outlineLevel="0" collapsed="false">
      <c r="A66" s="80"/>
      <c r="B66" s="78"/>
      <c r="C66" s="80"/>
      <c r="D66" s="80"/>
      <c r="E66" s="80"/>
      <c r="F66" s="80"/>
      <c r="G66" s="80"/>
      <c r="H66" s="81"/>
      <c r="I66" s="80"/>
      <c r="J66" s="82"/>
      <c r="K66" s="83" t="str">
        <f aca="false">IF(OR(H66="",J66=""),"",H66*J66)</f>
        <v/>
      </c>
      <c r="L66" s="88"/>
      <c r="M66" s="88"/>
      <c r="N66" s="88"/>
      <c r="O66" s="83" t="str">
        <f aca="false">IF(K66="","",K66-IF(L66="",0,L66)+IF(M66="",0,M66)+IF(N66="",0,N66))</f>
        <v/>
      </c>
    </row>
    <row r="67" customFormat="false" ht="15.75" hidden="false" customHeight="true" outlineLevel="0" collapsed="false">
      <c r="A67" s="72"/>
      <c r="B67" s="70"/>
      <c r="C67" s="72"/>
      <c r="D67" s="72"/>
      <c r="E67" s="72"/>
      <c r="F67" s="72"/>
      <c r="G67" s="72"/>
      <c r="H67" s="73"/>
      <c r="I67" s="72"/>
      <c r="J67" s="74"/>
      <c r="K67" s="75" t="str">
        <f aca="false">IF(OR(H67="",J67=""),"",H67*J67)</f>
        <v/>
      </c>
      <c r="L67" s="87"/>
      <c r="M67" s="87"/>
      <c r="N67" s="87"/>
      <c r="O67" s="75" t="str">
        <f aca="false">IF(K67="","",K67-IF(L67="",0,L67)+IF(M67="",0,M67)+IF(N67="",0,N67))</f>
        <v/>
      </c>
    </row>
    <row r="68" customFormat="false" ht="15.75" hidden="false" customHeight="true" outlineLevel="0" collapsed="false">
      <c r="A68" s="80"/>
      <c r="B68" s="78"/>
      <c r="C68" s="80"/>
      <c r="D68" s="80"/>
      <c r="E68" s="80"/>
      <c r="F68" s="80"/>
      <c r="G68" s="80"/>
      <c r="H68" s="81"/>
      <c r="I68" s="80"/>
      <c r="J68" s="82"/>
      <c r="K68" s="83" t="str">
        <f aca="false">IF(OR(H68="",J68=""),"",H68*J68)</f>
        <v/>
      </c>
      <c r="L68" s="88"/>
      <c r="M68" s="88"/>
      <c r="N68" s="88"/>
      <c r="O68" s="83" t="str">
        <f aca="false">IF(K68="","",K68-IF(L68="",0,L68)+IF(M68="",0,M68)+IF(N68="",0,N68))</f>
        <v/>
      </c>
    </row>
    <row r="69" customFormat="false" ht="15.75" hidden="false" customHeight="true" outlineLevel="0" collapsed="false">
      <c r="A69" s="72"/>
      <c r="B69" s="70"/>
      <c r="C69" s="72"/>
      <c r="D69" s="72"/>
      <c r="E69" s="72"/>
      <c r="F69" s="72"/>
      <c r="G69" s="72"/>
      <c r="H69" s="73"/>
      <c r="I69" s="72"/>
      <c r="J69" s="74"/>
      <c r="K69" s="75" t="str">
        <f aca="false">IF(OR(H69="",J69=""),"",H69*J69)</f>
        <v/>
      </c>
      <c r="L69" s="87"/>
      <c r="M69" s="87"/>
      <c r="N69" s="87"/>
      <c r="O69" s="75" t="str">
        <f aca="false">IF(K69="","",K69-IF(L69="",0,L69)+IF(M69="",0,M69)+IF(N69="",0,N69))</f>
        <v/>
      </c>
    </row>
    <row r="70" customFormat="false" ht="15.75" hidden="false" customHeight="true" outlineLevel="0" collapsed="false">
      <c r="A70" s="80"/>
      <c r="B70" s="78"/>
      <c r="C70" s="80"/>
      <c r="D70" s="80"/>
      <c r="E70" s="80"/>
      <c r="F70" s="80"/>
      <c r="G70" s="80"/>
      <c r="H70" s="81"/>
      <c r="I70" s="80"/>
      <c r="J70" s="82"/>
      <c r="K70" s="83" t="str">
        <f aca="false">IF(OR(H70="",J70=""),"",H70*J70)</f>
        <v/>
      </c>
      <c r="L70" s="88"/>
      <c r="M70" s="88"/>
      <c r="N70" s="88"/>
      <c r="O70" s="83" t="str">
        <f aca="false">IF(K70="","",K70-IF(L70="",0,L70)+IF(M70="",0,M70)+IF(N70="",0,N70))</f>
        <v/>
      </c>
    </row>
    <row r="71" customFormat="false" ht="15.75" hidden="false" customHeight="true" outlineLevel="0" collapsed="false">
      <c r="A71" s="72"/>
      <c r="B71" s="70"/>
      <c r="C71" s="72"/>
      <c r="D71" s="72"/>
      <c r="E71" s="72"/>
      <c r="F71" s="72"/>
      <c r="G71" s="72"/>
      <c r="H71" s="73"/>
      <c r="I71" s="72"/>
      <c r="J71" s="74"/>
      <c r="K71" s="75" t="str">
        <f aca="false">IF(OR(H71="",J71=""),"",H71*J71)</f>
        <v/>
      </c>
      <c r="L71" s="87"/>
      <c r="M71" s="87"/>
      <c r="N71" s="87"/>
      <c r="O71" s="75" t="str">
        <f aca="false">IF(K71="","",K71-IF(L71="",0,L71)+IF(M71="",0,M71)+IF(N71="",0,N71))</f>
        <v/>
      </c>
    </row>
    <row r="72" customFormat="false" ht="15.75" hidden="false" customHeight="true" outlineLevel="0" collapsed="false">
      <c r="A72" s="80"/>
      <c r="B72" s="78"/>
      <c r="C72" s="80"/>
      <c r="D72" s="80"/>
      <c r="E72" s="80"/>
      <c r="F72" s="80"/>
      <c r="G72" s="80"/>
      <c r="H72" s="81"/>
      <c r="I72" s="80"/>
      <c r="J72" s="82"/>
      <c r="K72" s="83" t="str">
        <f aca="false">IF(OR(H72="",J72=""),"",H72*J72)</f>
        <v/>
      </c>
      <c r="L72" s="88"/>
      <c r="M72" s="88"/>
      <c r="N72" s="88"/>
      <c r="O72" s="83" t="str">
        <f aca="false">IF(K72="","",K72-IF(L72="",0,L72)+IF(M72="",0,M72)+IF(N72="",0,N72))</f>
        <v/>
      </c>
    </row>
    <row r="73" customFormat="false" ht="15.75" hidden="false" customHeight="true" outlineLevel="0" collapsed="false">
      <c r="A73" s="72"/>
      <c r="B73" s="70"/>
      <c r="C73" s="72"/>
      <c r="D73" s="72"/>
      <c r="E73" s="72"/>
      <c r="F73" s="72"/>
      <c r="G73" s="72"/>
      <c r="H73" s="73"/>
      <c r="I73" s="72"/>
      <c r="J73" s="74"/>
      <c r="K73" s="75" t="str">
        <f aca="false">IF(OR(H73="",J73=""),"",H73*J73)</f>
        <v/>
      </c>
      <c r="L73" s="87"/>
      <c r="M73" s="87"/>
      <c r="N73" s="87"/>
      <c r="O73" s="75" t="str">
        <f aca="false">IF(K73="","",K73-IF(L73="",0,L73)+IF(M73="",0,M73)+IF(N73="",0,N73))</f>
        <v/>
      </c>
    </row>
    <row r="74" customFormat="false" ht="15.75" hidden="false" customHeight="true" outlineLevel="0" collapsed="false">
      <c r="A74" s="80"/>
      <c r="B74" s="78"/>
      <c r="C74" s="80"/>
      <c r="D74" s="80"/>
      <c r="E74" s="80"/>
      <c r="F74" s="80"/>
      <c r="G74" s="80"/>
      <c r="H74" s="81"/>
      <c r="I74" s="80"/>
      <c r="J74" s="82"/>
      <c r="K74" s="83" t="str">
        <f aca="false">IF(OR(H74="",J74=""),"",H74*J74)</f>
        <v/>
      </c>
      <c r="L74" s="88"/>
      <c r="M74" s="88"/>
      <c r="N74" s="88"/>
      <c r="O74" s="83" t="str">
        <f aca="false">IF(K74="","",K74-IF(L74="",0,L74)+IF(M74="",0,M74)+IF(N74="",0,N74))</f>
        <v/>
      </c>
    </row>
    <row r="75" customFormat="false" ht="15.75" hidden="false" customHeight="true" outlineLevel="0" collapsed="false">
      <c r="A75" s="72"/>
      <c r="B75" s="70"/>
      <c r="C75" s="72"/>
      <c r="D75" s="72"/>
      <c r="E75" s="72"/>
      <c r="F75" s="72"/>
      <c r="G75" s="72"/>
      <c r="H75" s="73"/>
      <c r="I75" s="72"/>
      <c r="J75" s="74"/>
      <c r="K75" s="75" t="str">
        <f aca="false">IF(OR(H75="",J75=""),"",H75*J75)</f>
        <v/>
      </c>
      <c r="L75" s="87"/>
      <c r="M75" s="87"/>
      <c r="N75" s="87"/>
      <c r="O75" s="75" t="str">
        <f aca="false">IF(K75="","",K75-IF(L75="",0,L75)+IF(M75="",0,M75)+IF(N75="",0,N75))</f>
        <v/>
      </c>
    </row>
    <row r="76" customFormat="false" ht="15.75" hidden="false" customHeight="true" outlineLevel="0" collapsed="false">
      <c r="A76" s="80"/>
      <c r="B76" s="78"/>
      <c r="C76" s="80"/>
      <c r="D76" s="80"/>
      <c r="E76" s="80"/>
      <c r="F76" s="80"/>
      <c r="G76" s="80"/>
      <c r="H76" s="81"/>
      <c r="I76" s="80"/>
      <c r="J76" s="82"/>
      <c r="K76" s="83" t="str">
        <f aca="false">IF(OR(H76="",J76=""),"",H76*J76)</f>
        <v/>
      </c>
      <c r="L76" s="88"/>
      <c r="M76" s="88"/>
      <c r="N76" s="88"/>
      <c r="O76" s="83" t="str">
        <f aca="false">IF(K76="","",K76-IF(L76="",0,L76)+IF(M76="",0,M76)+IF(N76="",0,N76))</f>
        <v/>
      </c>
    </row>
    <row r="77" customFormat="false" ht="15.75" hidden="false" customHeight="true" outlineLevel="0" collapsed="false">
      <c r="A77" s="72"/>
      <c r="B77" s="70"/>
      <c r="C77" s="72"/>
      <c r="D77" s="72"/>
      <c r="E77" s="72"/>
      <c r="F77" s="72"/>
      <c r="G77" s="72"/>
      <c r="H77" s="73"/>
      <c r="I77" s="72"/>
      <c r="J77" s="74"/>
      <c r="K77" s="75" t="str">
        <f aca="false">IF(OR(H77="",J77=""),"",H77*J77)</f>
        <v/>
      </c>
      <c r="L77" s="87"/>
      <c r="M77" s="87"/>
      <c r="N77" s="87"/>
      <c r="O77" s="75" t="str">
        <f aca="false">IF(K77="","",K77-IF(L77="",0,L77)+IF(M77="",0,M77)+IF(N77="",0,N77))</f>
        <v/>
      </c>
    </row>
    <row r="78" customFormat="false" ht="15.75" hidden="false" customHeight="true" outlineLevel="0" collapsed="false">
      <c r="A78" s="80"/>
      <c r="B78" s="78"/>
      <c r="C78" s="80"/>
      <c r="D78" s="80"/>
      <c r="E78" s="80"/>
      <c r="F78" s="80"/>
      <c r="G78" s="80"/>
      <c r="H78" s="81"/>
      <c r="I78" s="80"/>
      <c r="J78" s="82"/>
      <c r="K78" s="83" t="str">
        <f aca="false">IF(OR(H78="",J78=""),"",H78*J78)</f>
        <v/>
      </c>
      <c r="L78" s="88"/>
      <c r="M78" s="88"/>
      <c r="N78" s="88"/>
      <c r="O78" s="83" t="str">
        <f aca="false">IF(K78="","",K78-IF(L78="",0,L78)+IF(M78="",0,M78)+IF(N78="",0,N78))</f>
        <v/>
      </c>
    </row>
    <row r="79" customFormat="false" ht="15.75" hidden="false" customHeight="true" outlineLevel="0" collapsed="false">
      <c r="A79" s="72"/>
      <c r="B79" s="70"/>
      <c r="C79" s="72"/>
      <c r="D79" s="72"/>
      <c r="E79" s="72"/>
      <c r="F79" s="72"/>
      <c r="G79" s="72"/>
      <c r="H79" s="73"/>
      <c r="I79" s="72"/>
      <c r="J79" s="74"/>
      <c r="K79" s="75" t="str">
        <f aca="false">IF(OR(H79="",J79=""),"",H79*J79)</f>
        <v/>
      </c>
      <c r="L79" s="87"/>
      <c r="M79" s="87"/>
      <c r="N79" s="87"/>
      <c r="O79" s="75" t="str">
        <f aca="false">IF(K79="","",K79-IF(L79="",0,L79)+IF(M79="",0,M79)+IF(N79="",0,N79))</f>
        <v/>
      </c>
    </row>
    <row r="80" customFormat="false" ht="15.75" hidden="false" customHeight="true" outlineLevel="0" collapsed="false">
      <c r="A80" s="80"/>
      <c r="B80" s="78"/>
      <c r="C80" s="80"/>
      <c r="D80" s="80"/>
      <c r="E80" s="80"/>
      <c r="F80" s="80"/>
      <c r="G80" s="80"/>
      <c r="H80" s="81"/>
      <c r="I80" s="80"/>
      <c r="J80" s="82"/>
      <c r="K80" s="83" t="str">
        <f aca="false">IF(OR(H80="",J80=""),"",H80*J80)</f>
        <v/>
      </c>
      <c r="L80" s="88"/>
      <c r="M80" s="88"/>
      <c r="N80" s="88"/>
      <c r="O80" s="83" t="str">
        <f aca="false">IF(K80="","",K80-IF(L80="",0,L80)+IF(M80="",0,M80)+IF(N80="",0,N80))</f>
        <v/>
      </c>
    </row>
    <row r="81" customFormat="false" ht="15.75" hidden="false" customHeight="true" outlineLevel="0" collapsed="false">
      <c r="A81" s="72"/>
      <c r="B81" s="70"/>
      <c r="C81" s="72"/>
      <c r="D81" s="72"/>
      <c r="E81" s="72"/>
      <c r="F81" s="72"/>
      <c r="G81" s="72"/>
      <c r="H81" s="73"/>
      <c r="I81" s="72"/>
      <c r="J81" s="74"/>
      <c r="K81" s="75" t="str">
        <f aca="false">IF(OR(H81="",J81=""),"",H81*J81)</f>
        <v/>
      </c>
      <c r="L81" s="87"/>
      <c r="M81" s="87"/>
      <c r="N81" s="87"/>
      <c r="O81" s="75" t="str">
        <f aca="false">IF(K81="","",K81-IF(L81="",0,L81)+IF(M81="",0,M81)+IF(N81="",0,N81))</f>
        <v/>
      </c>
    </row>
    <row r="82" customFormat="false" ht="15.75" hidden="false" customHeight="true" outlineLevel="0" collapsed="false">
      <c r="A82" s="80"/>
      <c r="B82" s="78"/>
      <c r="C82" s="80"/>
      <c r="D82" s="80"/>
      <c r="E82" s="80"/>
      <c r="F82" s="80"/>
      <c r="G82" s="80"/>
      <c r="H82" s="81"/>
      <c r="I82" s="80"/>
      <c r="J82" s="82"/>
      <c r="K82" s="83" t="str">
        <f aca="false">IF(OR(H82="",J82=""),"",H82*J82)</f>
        <v/>
      </c>
      <c r="L82" s="88"/>
      <c r="M82" s="88"/>
      <c r="N82" s="88"/>
      <c r="O82" s="83" t="str">
        <f aca="false">IF(K82="","",K82-IF(L82="",0,L82)+IF(M82="",0,M82)+IF(N82="",0,N82))</f>
        <v/>
      </c>
    </row>
    <row r="83" customFormat="false" ht="15.75" hidden="false" customHeight="true" outlineLevel="0" collapsed="false">
      <c r="A83" s="72"/>
      <c r="B83" s="70"/>
      <c r="C83" s="72"/>
      <c r="D83" s="72"/>
      <c r="E83" s="72"/>
      <c r="F83" s="72"/>
      <c r="G83" s="72"/>
      <c r="H83" s="73"/>
      <c r="I83" s="72"/>
      <c r="J83" s="74"/>
      <c r="K83" s="75" t="str">
        <f aca="false">IF(OR(H83="",J83=""),"",H83*J83)</f>
        <v/>
      </c>
      <c r="L83" s="87"/>
      <c r="M83" s="87"/>
      <c r="N83" s="87"/>
      <c r="O83" s="75" t="str">
        <f aca="false">IF(K83="","",K83-IF(L83="",0,L83)+IF(M83="",0,M83)+IF(N83="",0,N83))</f>
        <v/>
      </c>
    </row>
    <row r="84" customFormat="false" ht="15.75" hidden="false" customHeight="true" outlineLevel="0" collapsed="false">
      <c r="A84" s="80"/>
      <c r="B84" s="78"/>
      <c r="C84" s="80"/>
      <c r="D84" s="80"/>
      <c r="E84" s="80"/>
      <c r="F84" s="80"/>
      <c r="G84" s="80"/>
      <c r="H84" s="81"/>
      <c r="I84" s="80"/>
      <c r="J84" s="82"/>
      <c r="K84" s="83" t="str">
        <f aca="false">IF(OR(H84="",J84=""),"",H84*J84)</f>
        <v/>
      </c>
      <c r="L84" s="88"/>
      <c r="M84" s="88"/>
      <c r="N84" s="88"/>
      <c r="O84" s="83" t="str">
        <f aca="false">IF(K84="","",K84-IF(L84="",0,L84)+IF(M84="",0,M84)+IF(N84="",0,N84))</f>
        <v/>
      </c>
    </row>
    <row r="85" customFormat="false" ht="15.75" hidden="false" customHeight="true" outlineLevel="0" collapsed="false">
      <c r="A85" s="72"/>
      <c r="B85" s="70"/>
      <c r="C85" s="72"/>
      <c r="D85" s="72"/>
      <c r="E85" s="72"/>
      <c r="F85" s="72"/>
      <c r="G85" s="72"/>
      <c r="H85" s="73"/>
      <c r="I85" s="72"/>
      <c r="J85" s="74"/>
      <c r="K85" s="75" t="str">
        <f aca="false">IF(OR(H85="",J85=""),"",H85*J85)</f>
        <v/>
      </c>
      <c r="L85" s="87"/>
      <c r="M85" s="87"/>
      <c r="N85" s="87"/>
      <c r="O85" s="75" t="str">
        <f aca="false">IF(K85="","",K85-IF(L85="",0,L85)+IF(M85="",0,M85)+IF(N85="",0,N85))</f>
        <v/>
      </c>
    </row>
    <row r="86" customFormat="false" ht="15.75" hidden="false" customHeight="true" outlineLevel="0" collapsed="false">
      <c r="A86" s="80"/>
      <c r="B86" s="78"/>
      <c r="C86" s="80"/>
      <c r="D86" s="80"/>
      <c r="E86" s="80"/>
      <c r="F86" s="80"/>
      <c r="G86" s="80"/>
      <c r="H86" s="81"/>
      <c r="I86" s="80"/>
      <c r="J86" s="82"/>
      <c r="K86" s="83" t="str">
        <f aca="false">IF(OR(H86="",J86=""),"",H86*J86)</f>
        <v/>
      </c>
      <c r="L86" s="88"/>
      <c r="M86" s="88"/>
      <c r="N86" s="88"/>
      <c r="O86" s="83" t="str">
        <f aca="false">IF(K86="","",K86-IF(L86="",0,L86)+IF(M86="",0,M86)+IF(N86="",0,N86))</f>
        <v/>
      </c>
    </row>
    <row r="87" customFormat="false" ht="15.75" hidden="false" customHeight="true" outlineLevel="0" collapsed="false">
      <c r="A87" s="72"/>
      <c r="B87" s="70"/>
      <c r="C87" s="72"/>
      <c r="D87" s="72"/>
      <c r="E87" s="72"/>
      <c r="F87" s="72"/>
      <c r="G87" s="72"/>
      <c r="H87" s="73"/>
      <c r="I87" s="72"/>
      <c r="J87" s="74"/>
      <c r="K87" s="75" t="str">
        <f aca="false">IF(OR(H87="",J87=""),"",H87*J87)</f>
        <v/>
      </c>
      <c r="L87" s="87"/>
      <c r="M87" s="87"/>
      <c r="N87" s="87"/>
      <c r="O87" s="75" t="str">
        <f aca="false">IF(K87="","",K87-IF(L87="",0,L87)+IF(M87="",0,M87)+IF(N87="",0,N87))</f>
        <v/>
      </c>
    </row>
    <row r="88" customFormat="false" ht="15.75" hidden="false" customHeight="true" outlineLevel="0" collapsed="false">
      <c r="A88" s="80"/>
      <c r="B88" s="78"/>
      <c r="C88" s="80"/>
      <c r="D88" s="80"/>
      <c r="E88" s="80"/>
      <c r="F88" s="80"/>
      <c r="G88" s="80"/>
      <c r="H88" s="81"/>
      <c r="I88" s="80"/>
      <c r="J88" s="82"/>
      <c r="K88" s="83" t="str">
        <f aca="false">IF(OR(H88="",J88=""),"",H88*J88)</f>
        <v/>
      </c>
      <c r="L88" s="88"/>
      <c r="M88" s="88"/>
      <c r="N88" s="88"/>
      <c r="O88" s="83" t="str">
        <f aca="false">IF(K88="","",K88-IF(L88="",0,L88)+IF(M88="",0,M88)+IF(N88="",0,N88))</f>
        <v/>
      </c>
    </row>
    <row r="89" customFormat="false" ht="15.75" hidden="false" customHeight="true" outlineLevel="0" collapsed="false">
      <c r="A89" s="72"/>
      <c r="B89" s="70"/>
      <c r="C89" s="72"/>
      <c r="D89" s="72"/>
      <c r="E89" s="72"/>
      <c r="F89" s="72"/>
      <c r="G89" s="72"/>
      <c r="H89" s="73"/>
      <c r="I89" s="72"/>
      <c r="J89" s="74"/>
      <c r="K89" s="75" t="str">
        <f aca="false">IF(OR(H89="",J89=""),"",H89*J89)</f>
        <v/>
      </c>
      <c r="L89" s="87"/>
      <c r="M89" s="87"/>
      <c r="N89" s="87"/>
      <c r="O89" s="75" t="str">
        <f aca="false">IF(K89="","",K89-IF(L89="",0,L89)+IF(M89="",0,M89)+IF(N89="",0,N89))</f>
        <v/>
      </c>
    </row>
    <row r="90" customFormat="false" ht="15.75" hidden="false" customHeight="true" outlineLevel="0" collapsed="false">
      <c r="A90" s="80"/>
      <c r="B90" s="78"/>
      <c r="C90" s="80"/>
      <c r="D90" s="80"/>
      <c r="E90" s="80"/>
      <c r="F90" s="80"/>
      <c r="G90" s="80"/>
      <c r="H90" s="81"/>
      <c r="I90" s="80"/>
      <c r="J90" s="82"/>
      <c r="K90" s="83" t="str">
        <f aca="false">IF(OR(H90="",J90=""),"",H90*J90)</f>
        <v/>
      </c>
      <c r="L90" s="88"/>
      <c r="M90" s="88"/>
      <c r="N90" s="88"/>
      <c r="O90" s="83" t="str">
        <f aca="false">IF(K90="","",K90-IF(L90="",0,L90)+IF(M90="",0,M90)+IF(N90="",0,N90))</f>
        <v/>
      </c>
    </row>
    <row r="91" customFormat="false" ht="15.75" hidden="false" customHeight="true" outlineLevel="0" collapsed="false">
      <c r="A91" s="72"/>
      <c r="B91" s="70"/>
      <c r="C91" s="72"/>
      <c r="D91" s="72"/>
      <c r="E91" s="72"/>
      <c r="F91" s="72"/>
      <c r="G91" s="72"/>
      <c r="H91" s="73"/>
      <c r="I91" s="72"/>
      <c r="J91" s="74"/>
      <c r="K91" s="75" t="str">
        <f aca="false">IF(OR(H91="",J91=""),"",H91*J91)</f>
        <v/>
      </c>
      <c r="L91" s="87"/>
      <c r="M91" s="87"/>
      <c r="N91" s="87"/>
      <c r="O91" s="75" t="str">
        <f aca="false">IF(K91="","",K91-IF(L91="",0,L91)+IF(M91="",0,M91)+IF(N91="",0,N91))</f>
        <v/>
      </c>
    </row>
    <row r="92" customFormat="false" ht="15.75" hidden="false" customHeight="true" outlineLevel="0" collapsed="false">
      <c r="A92" s="80"/>
      <c r="B92" s="78"/>
      <c r="C92" s="80"/>
      <c r="D92" s="80"/>
      <c r="E92" s="80"/>
      <c r="F92" s="80"/>
      <c r="G92" s="80"/>
      <c r="H92" s="81"/>
      <c r="I92" s="80"/>
      <c r="J92" s="82"/>
      <c r="K92" s="83" t="str">
        <f aca="false">IF(OR(H92="",J92=""),"",H92*J92)</f>
        <v/>
      </c>
      <c r="L92" s="88"/>
      <c r="M92" s="88"/>
      <c r="N92" s="88"/>
      <c r="O92" s="83" t="str">
        <f aca="false">IF(K92="","",K92-IF(L92="",0,L92)+IF(M92="",0,M92)+IF(N92="",0,N92))</f>
        <v/>
      </c>
    </row>
    <row r="93" customFormat="false" ht="15.75" hidden="false" customHeight="true" outlineLevel="0" collapsed="false">
      <c r="A93" s="72"/>
      <c r="B93" s="70"/>
      <c r="C93" s="72"/>
      <c r="D93" s="72"/>
      <c r="E93" s="72"/>
      <c r="F93" s="72"/>
      <c r="G93" s="72"/>
      <c r="H93" s="73"/>
      <c r="I93" s="72"/>
      <c r="J93" s="74"/>
      <c r="K93" s="75" t="str">
        <f aca="false">IF(OR(H93="",J93=""),"",H93*J93)</f>
        <v/>
      </c>
      <c r="L93" s="87"/>
      <c r="M93" s="87"/>
      <c r="N93" s="87"/>
      <c r="O93" s="75" t="str">
        <f aca="false">IF(K93="","",K93-IF(L93="",0,L93)+IF(M93="",0,M93)+IF(N93="",0,N93))</f>
        <v/>
      </c>
    </row>
    <row r="94" customFormat="false" ht="15.75" hidden="false" customHeight="true" outlineLevel="0" collapsed="false">
      <c r="A94" s="80"/>
      <c r="B94" s="78"/>
      <c r="C94" s="80"/>
      <c r="D94" s="80"/>
      <c r="E94" s="80"/>
      <c r="F94" s="80"/>
      <c r="G94" s="80"/>
      <c r="H94" s="81"/>
      <c r="I94" s="80"/>
      <c r="J94" s="82"/>
      <c r="K94" s="83" t="str">
        <f aca="false">IF(OR(H94="",J94=""),"",H94*J94)</f>
        <v/>
      </c>
      <c r="L94" s="88"/>
      <c r="M94" s="88"/>
      <c r="N94" s="88"/>
      <c r="O94" s="83" t="str">
        <f aca="false">IF(K94="","",K94-IF(L94="",0,L94)+IF(M94="",0,M94)+IF(N94="",0,N94))</f>
        <v/>
      </c>
    </row>
    <row r="95" customFormat="false" ht="15.75" hidden="false" customHeight="true" outlineLevel="0" collapsed="false">
      <c r="A95" s="72"/>
      <c r="B95" s="70"/>
      <c r="C95" s="72"/>
      <c r="D95" s="72"/>
      <c r="E95" s="72"/>
      <c r="F95" s="72"/>
      <c r="G95" s="72"/>
      <c r="H95" s="73"/>
      <c r="I95" s="72"/>
      <c r="J95" s="74"/>
      <c r="K95" s="75" t="str">
        <f aca="false">IF(OR(H95="",J95=""),"",H95*J95)</f>
        <v/>
      </c>
      <c r="L95" s="87"/>
      <c r="M95" s="87"/>
      <c r="N95" s="87"/>
      <c r="O95" s="75" t="str">
        <f aca="false">IF(K95="","",K95-IF(L95="",0,L95)+IF(M95="",0,M95)+IF(N95="",0,N95))</f>
        <v/>
      </c>
    </row>
    <row r="96" customFormat="false" ht="15.75" hidden="false" customHeight="true" outlineLevel="0" collapsed="false">
      <c r="A96" s="80"/>
      <c r="B96" s="78"/>
      <c r="C96" s="80"/>
      <c r="D96" s="80"/>
      <c r="E96" s="80"/>
      <c r="F96" s="80"/>
      <c r="G96" s="80"/>
      <c r="H96" s="81"/>
      <c r="I96" s="80"/>
      <c r="J96" s="82"/>
      <c r="K96" s="83" t="str">
        <f aca="false">IF(OR(H96="",J96=""),"",H96*J96)</f>
        <v/>
      </c>
      <c r="L96" s="88"/>
      <c r="M96" s="88"/>
      <c r="N96" s="88"/>
      <c r="O96" s="83" t="str">
        <f aca="false">IF(K96="","",K96-IF(L96="",0,L96)+IF(M96="",0,M96)+IF(N96="",0,N96))</f>
        <v/>
      </c>
    </row>
    <row r="97" customFormat="false" ht="15.75" hidden="false" customHeight="true" outlineLevel="0" collapsed="false">
      <c r="A97" s="72"/>
      <c r="B97" s="70"/>
      <c r="C97" s="72"/>
      <c r="D97" s="72"/>
      <c r="E97" s="72"/>
      <c r="F97" s="72"/>
      <c r="G97" s="72"/>
      <c r="H97" s="73"/>
      <c r="I97" s="72"/>
      <c r="J97" s="74"/>
      <c r="K97" s="75" t="str">
        <f aca="false">IF(OR(H97="",J97=""),"",H97*J97)</f>
        <v/>
      </c>
      <c r="L97" s="87"/>
      <c r="M97" s="87"/>
      <c r="N97" s="87"/>
      <c r="O97" s="75" t="str">
        <f aca="false">IF(K97="","",K97-IF(L97="",0,L97)+IF(M97="",0,M97)+IF(N97="",0,N97))</f>
        <v/>
      </c>
    </row>
    <row r="98" customFormat="false" ht="15.75" hidden="false" customHeight="true" outlineLevel="0" collapsed="false">
      <c r="A98" s="80"/>
      <c r="B98" s="78"/>
      <c r="C98" s="80"/>
      <c r="D98" s="80"/>
      <c r="E98" s="80"/>
      <c r="F98" s="80"/>
      <c r="G98" s="80"/>
      <c r="H98" s="81"/>
      <c r="I98" s="80"/>
      <c r="J98" s="82"/>
      <c r="K98" s="83" t="str">
        <f aca="false">IF(OR(H98="",J98=""),"",H98*J98)</f>
        <v/>
      </c>
      <c r="L98" s="88"/>
      <c r="M98" s="88"/>
      <c r="N98" s="88"/>
      <c r="O98" s="83" t="str">
        <f aca="false">IF(K98="","",K98-IF(L98="",0,L98)+IF(M98="",0,M98)+IF(N98="",0,N98))</f>
        <v/>
      </c>
    </row>
    <row r="99" customFormat="false" ht="15.75" hidden="false" customHeight="true" outlineLevel="0" collapsed="false">
      <c r="A99" s="72"/>
      <c r="B99" s="70"/>
      <c r="C99" s="72"/>
      <c r="D99" s="72"/>
      <c r="E99" s="72"/>
      <c r="F99" s="72"/>
      <c r="G99" s="72"/>
      <c r="H99" s="73"/>
      <c r="I99" s="72"/>
      <c r="J99" s="74"/>
      <c r="K99" s="75" t="str">
        <f aca="false">IF(OR(H99="",J99=""),"",H99*J99)</f>
        <v/>
      </c>
      <c r="L99" s="87"/>
      <c r="M99" s="87"/>
      <c r="N99" s="87"/>
      <c r="O99" s="75" t="str">
        <f aca="false">IF(K99="","",K99-IF(L99="",0,L99)+IF(M99="",0,M99)+IF(N99="",0,N99))</f>
        <v/>
      </c>
    </row>
    <row r="100" customFormat="false" ht="15.75" hidden="false" customHeight="true" outlineLevel="0" collapsed="false">
      <c r="A100" s="80"/>
      <c r="B100" s="78"/>
      <c r="C100" s="80"/>
      <c r="D100" s="80"/>
      <c r="E100" s="80"/>
      <c r="F100" s="80"/>
      <c r="G100" s="80"/>
      <c r="H100" s="81"/>
      <c r="I100" s="80"/>
      <c r="J100" s="82"/>
      <c r="K100" s="83" t="str">
        <f aca="false">IF(OR(H100="",J100=""),"",H100*J100)</f>
        <v/>
      </c>
      <c r="L100" s="88"/>
      <c r="M100" s="88"/>
      <c r="N100" s="88"/>
      <c r="O100" s="83" t="str">
        <f aca="false">IF(K100="","",K100-IF(L100="",0,L100)+IF(M100="",0,M100)+IF(N100="",0,N100))</f>
        <v/>
      </c>
    </row>
    <row r="101" customFormat="false" ht="15.75" hidden="false" customHeight="true" outlineLevel="0" collapsed="false">
      <c r="A101" s="72"/>
      <c r="B101" s="70"/>
      <c r="C101" s="72"/>
      <c r="D101" s="72"/>
      <c r="E101" s="72"/>
      <c r="F101" s="72"/>
      <c r="G101" s="72"/>
      <c r="H101" s="73"/>
      <c r="I101" s="72"/>
      <c r="J101" s="74"/>
      <c r="K101" s="75" t="str">
        <f aca="false">IF(OR(H101="",J101=""),"",H101*J101)</f>
        <v/>
      </c>
      <c r="L101" s="87"/>
      <c r="M101" s="87"/>
      <c r="N101" s="87"/>
      <c r="O101" s="75" t="str">
        <f aca="false">IF(K101="","",K101-IF(L101="",0,L101)+IF(M101="",0,M101)+IF(N101="",0,N101))</f>
        <v/>
      </c>
    </row>
    <row r="102" customFormat="false" ht="15.75" hidden="false" customHeight="true" outlineLevel="0" collapsed="false">
      <c r="A102" s="80"/>
      <c r="B102" s="78"/>
      <c r="C102" s="80"/>
      <c r="D102" s="80"/>
      <c r="E102" s="80"/>
      <c r="F102" s="80"/>
      <c r="G102" s="80"/>
      <c r="H102" s="81"/>
      <c r="I102" s="80"/>
      <c r="J102" s="82"/>
      <c r="K102" s="83" t="str">
        <f aca="false">IF(OR(H102="",J102=""),"",H102*J102)</f>
        <v/>
      </c>
      <c r="L102" s="88"/>
      <c r="M102" s="88"/>
      <c r="N102" s="88"/>
      <c r="O102" s="83" t="str">
        <f aca="false">IF(K102="","",K102-IF(L102="",0,L102)+IF(M102="",0,M102)+IF(N102="",0,N102))</f>
        <v/>
      </c>
    </row>
    <row r="103" customFormat="false" ht="15.75" hidden="false" customHeight="true" outlineLevel="0" collapsed="false">
      <c r="A103" s="72"/>
      <c r="B103" s="70"/>
      <c r="C103" s="72"/>
      <c r="D103" s="72"/>
      <c r="E103" s="72"/>
      <c r="F103" s="72"/>
      <c r="G103" s="72"/>
      <c r="H103" s="73"/>
      <c r="I103" s="72"/>
      <c r="J103" s="74"/>
      <c r="K103" s="75" t="str">
        <f aca="false">IF(OR(H103="",J103=""),"",H103*J103)</f>
        <v/>
      </c>
      <c r="L103" s="87"/>
      <c r="M103" s="87"/>
      <c r="N103" s="87"/>
      <c r="O103" s="75" t="str">
        <f aca="false">IF(K103="","",K103-IF(L103="",0,L103)+IF(M103="",0,M103)+IF(N103="",0,N103))</f>
        <v/>
      </c>
    </row>
    <row r="104" customFormat="false" ht="15.75" hidden="false" customHeight="true" outlineLevel="0" collapsed="false">
      <c r="A104" s="80"/>
      <c r="B104" s="78"/>
      <c r="C104" s="80"/>
      <c r="D104" s="80"/>
      <c r="E104" s="80"/>
      <c r="F104" s="80"/>
      <c r="G104" s="80"/>
      <c r="H104" s="81"/>
      <c r="I104" s="80"/>
      <c r="J104" s="82"/>
      <c r="K104" s="83" t="str">
        <f aca="false">IF(OR(H104="",J104=""),"",H104*J104)</f>
        <v/>
      </c>
      <c r="L104" s="88"/>
      <c r="M104" s="88"/>
      <c r="N104" s="88"/>
      <c r="O104" s="83" t="str">
        <f aca="false">IF(K104="","",K104-IF(L104="",0,L104)+IF(M104="",0,M104)+IF(N104="",0,N104))</f>
        <v/>
      </c>
    </row>
    <row r="105" customFormat="false" ht="15.75" hidden="false" customHeight="true" outlineLevel="0" collapsed="false">
      <c r="A105" s="72"/>
      <c r="B105" s="70"/>
      <c r="C105" s="72"/>
      <c r="D105" s="72"/>
      <c r="E105" s="72"/>
      <c r="F105" s="72"/>
      <c r="G105" s="72"/>
      <c r="H105" s="73"/>
      <c r="I105" s="72"/>
      <c r="J105" s="74"/>
      <c r="K105" s="75" t="str">
        <f aca="false">IF(OR(H105="",J105=""),"",H105*J105)</f>
        <v/>
      </c>
      <c r="L105" s="87"/>
      <c r="M105" s="87"/>
      <c r="N105" s="87"/>
      <c r="O105" s="75" t="str">
        <f aca="false">IF(K105="","",K105-IF(L105="",0,L105)+IF(M105="",0,M105)+IF(N105="",0,N105))</f>
        <v/>
      </c>
    </row>
    <row r="106" customFormat="false" ht="15.75" hidden="false" customHeight="true" outlineLevel="0" collapsed="false">
      <c r="A106" s="80"/>
      <c r="B106" s="78"/>
      <c r="C106" s="80"/>
      <c r="D106" s="80"/>
      <c r="E106" s="80"/>
      <c r="F106" s="80"/>
      <c r="G106" s="80"/>
      <c r="H106" s="81"/>
      <c r="I106" s="80"/>
      <c r="J106" s="82"/>
      <c r="K106" s="83" t="str">
        <f aca="false">IF(OR(H106="",J106=""),"",H106*J106)</f>
        <v/>
      </c>
      <c r="L106" s="88"/>
      <c r="M106" s="88"/>
      <c r="N106" s="88"/>
      <c r="O106" s="83" t="str">
        <f aca="false">IF(K106="","",K106-IF(L106="",0,L106)+IF(M106="",0,M106)+IF(N106="",0,N106))</f>
        <v/>
      </c>
    </row>
    <row r="107" customFormat="false" ht="15.75" hidden="false" customHeight="true" outlineLevel="0" collapsed="false">
      <c r="A107" s="72"/>
      <c r="B107" s="70"/>
      <c r="C107" s="72"/>
      <c r="D107" s="72"/>
      <c r="E107" s="72"/>
      <c r="F107" s="72"/>
      <c r="G107" s="72"/>
      <c r="H107" s="73"/>
      <c r="I107" s="72"/>
      <c r="J107" s="74"/>
      <c r="K107" s="75" t="str">
        <f aca="false">IF(OR(H107="",J107=""),"",H107*J107)</f>
        <v/>
      </c>
      <c r="L107" s="87"/>
      <c r="M107" s="87"/>
      <c r="N107" s="87"/>
      <c r="O107" s="75" t="str">
        <f aca="false">IF(K107="","",K107-IF(L107="",0,L107)+IF(M107="",0,M107)+IF(N107="",0,N107))</f>
        <v/>
      </c>
    </row>
    <row r="108" customFormat="false" ht="15.75" hidden="false" customHeight="true" outlineLevel="0" collapsed="false">
      <c r="A108" s="80"/>
      <c r="B108" s="78"/>
      <c r="C108" s="80"/>
      <c r="D108" s="80"/>
      <c r="E108" s="80"/>
      <c r="F108" s="80"/>
      <c r="G108" s="80"/>
      <c r="H108" s="81"/>
      <c r="I108" s="80"/>
      <c r="J108" s="82"/>
      <c r="K108" s="83" t="str">
        <f aca="false">IF(OR(H108="",J108=""),"",H108*J108)</f>
        <v/>
      </c>
      <c r="L108" s="88"/>
      <c r="M108" s="88"/>
      <c r="N108" s="88"/>
      <c r="O108" s="83" t="str">
        <f aca="false">IF(K108="","",K108-IF(L108="",0,L108)+IF(M108="",0,M108)+IF(N108="",0,N108))</f>
        <v/>
      </c>
    </row>
    <row r="109" customFormat="false" ht="15.75" hidden="false" customHeight="true" outlineLevel="0" collapsed="false">
      <c r="A109" s="72"/>
      <c r="B109" s="70"/>
      <c r="C109" s="72"/>
      <c r="D109" s="72"/>
      <c r="E109" s="72"/>
      <c r="F109" s="72"/>
      <c r="G109" s="72"/>
      <c r="H109" s="73"/>
      <c r="I109" s="72"/>
      <c r="J109" s="74"/>
      <c r="K109" s="75" t="str">
        <f aca="false">IF(OR(H109="",J109=""),"",H109*J109)</f>
        <v/>
      </c>
      <c r="L109" s="87"/>
      <c r="M109" s="87"/>
      <c r="N109" s="87"/>
      <c r="O109" s="75" t="str">
        <f aca="false">IF(K109="","",K109-IF(L109="",0,L109)+IF(M109="",0,M109)+IF(N109="",0,N109))</f>
        <v/>
      </c>
    </row>
    <row r="110" customFormat="false" ht="15.75" hidden="false" customHeight="true" outlineLevel="0" collapsed="false">
      <c r="A110" s="80"/>
      <c r="B110" s="78"/>
      <c r="C110" s="80"/>
      <c r="D110" s="80"/>
      <c r="E110" s="80"/>
      <c r="F110" s="80"/>
      <c r="G110" s="80"/>
      <c r="H110" s="81"/>
      <c r="I110" s="80"/>
      <c r="J110" s="82"/>
      <c r="K110" s="83" t="str">
        <f aca="false">IF(OR(H110="",J110=""),"",H110*J110)</f>
        <v/>
      </c>
      <c r="L110" s="88"/>
      <c r="M110" s="88"/>
      <c r="N110" s="88"/>
      <c r="O110" s="83" t="str">
        <f aca="false">IF(K110="","",K110-IF(L110="",0,L110)+IF(M110="",0,M110)+IF(N110="",0,N110))</f>
        <v/>
      </c>
    </row>
    <row r="111" customFormat="false" ht="15.75" hidden="false" customHeight="true" outlineLevel="0" collapsed="false">
      <c r="A111" s="72"/>
      <c r="B111" s="70"/>
      <c r="C111" s="72"/>
      <c r="D111" s="72"/>
      <c r="E111" s="72"/>
      <c r="F111" s="72"/>
      <c r="G111" s="72"/>
      <c r="H111" s="73"/>
      <c r="I111" s="72"/>
      <c r="J111" s="74"/>
      <c r="K111" s="75" t="str">
        <f aca="false">IF(OR(H111="",J111=""),"",H111*J111)</f>
        <v/>
      </c>
      <c r="L111" s="87"/>
      <c r="M111" s="87"/>
      <c r="N111" s="87"/>
      <c r="O111" s="75" t="str">
        <f aca="false">IF(K111="","",K111-IF(L111="",0,L111)+IF(M111="",0,M111)+IF(N111="",0,N111))</f>
        <v/>
      </c>
    </row>
    <row r="112" customFormat="false" ht="15.75" hidden="false" customHeight="true" outlineLevel="0" collapsed="false">
      <c r="A112" s="80"/>
      <c r="B112" s="78"/>
      <c r="C112" s="80"/>
      <c r="D112" s="80"/>
      <c r="E112" s="80"/>
      <c r="F112" s="80"/>
      <c r="G112" s="80"/>
      <c r="H112" s="81"/>
      <c r="I112" s="80"/>
      <c r="J112" s="82"/>
      <c r="K112" s="83" t="str">
        <f aca="false">IF(OR(H112="",J112=""),"",H112*J112)</f>
        <v/>
      </c>
      <c r="L112" s="88"/>
      <c r="M112" s="88"/>
      <c r="N112" s="88"/>
      <c r="O112" s="83" t="str">
        <f aca="false">IF(K112="","",K112-IF(L112="",0,L112)+IF(M112="",0,M112)+IF(N112="",0,N112))</f>
        <v/>
      </c>
    </row>
    <row r="113" customFormat="false" ht="15.75" hidden="false" customHeight="true" outlineLevel="0" collapsed="false">
      <c r="A113" s="72"/>
      <c r="B113" s="70"/>
      <c r="C113" s="72"/>
      <c r="D113" s="72"/>
      <c r="E113" s="72"/>
      <c r="F113" s="72"/>
      <c r="G113" s="72"/>
      <c r="H113" s="73"/>
      <c r="I113" s="72"/>
      <c r="J113" s="74"/>
      <c r="K113" s="75" t="str">
        <f aca="false">IF(OR(H113="",J113=""),"",H113*J113)</f>
        <v/>
      </c>
      <c r="L113" s="87"/>
      <c r="M113" s="87"/>
      <c r="N113" s="87"/>
      <c r="O113" s="75" t="str">
        <f aca="false">IF(K113="","",K113-IF(L113="",0,L113)+IF(M113="",0,M113)+IF(N113="",0,N113))</f>
        <v/>
      </c>
    </row>
    <row r="114" customFormat="false" ht="15.75" hidden="false" customHeight="true" outlineLevel="0" collapsed="false">
      <c r="A114" s="80"/>
      <c r="B114" s="78"/>
      <c r="C114" s="80"/>
      <c r="D114" s="80"/>
      <c r="E114" s="80"/>
      <c r="F114" s="80"/>
      <c r="G114" s="80"/>
      <c r="H114" s="81"/>
      <c r="I114" s="80"/>
      <c r="J114" s="82"/>
      <c r="K114" s="83" t="str">
        <f aca="false">IF(OR(H114="",J114=""),"",H114*J114)</f>
        <v/>
      </c>
      <c r="L114" s="88"/>
      <c r="M114" s="88"/>
      <c r="N114" s="88"/>
      <c r="O114" s="83" t="str">
        <f aca="false">IF(K114="","",K114-IF(L114="",0,L114)+IF(M114="",0,M114)+IF(N114="",0,N114))</f>
        <v/>
      </c>
    </row>
    <row r="115" customFormat="false" ht="15.75" hidden="false" customHeight="true" outlineLevel="0" collapsed="false">
      <c r="A115" s="72"/>
      <c r="B115" s="70"/>
      <c r="C115" s="72"/>
      <c r="D115" s="72"/>
      <c r="E115" s="72"/>
      <c r="F115" s="72"/>
      <c r="G115" s="72"/>
      <c r="H115" s="73"/>
      <c r="I115" s="72"/>
      <c r="J115" s="74"/>
      <c r="K115" s="75" t="str">
        <f aca="false">IF(OR(H115="",J115=""),"",H115*J115)</f>
        <v/>
      </c>
      <c r="L115" s="87"/>
      <c r="M115" s="87"/>
      <c r="N115" s="87"/>
      <c r="O115" s="75" t="str">
        <f aca="false">IF(K115="","",K115-IF(L115="",0,L115)+IF(M115="",0,M115)+IF(N115="",0,N115))</f>
        <v/>
      </c>
    </row>
    <row r="116" customFormat="false" ht="15.75" hidden="false" customHeight="true" outlineLevel="0" collapsed="false">
      <c r="A116" s="80"/>
      <c r="B116" s="78"/>
      <c r="C116" s="80"/>
      <c r="D116" s="80"/>
      <c r="E116" s="80"/>
      <c r="F116" s="80"/>
      <c r="G116" s="80"/>
      <c r="H116" s="81"/>
      <c r="I116" s="80"/>
      <c r="J116" s="82"/>
      <c r="K116" s="83" t="str">
        <f aca="false">IF(OR(H116="",J116=""),"",H116*J116)</f>
        <v/>
      </c>
      <c r="L116" s="88"/>
      <c r="M116" s="88"/>
      <c r="N116" s="88"/>
      <c r="O116" s="83" t="str">
        <f aca="false">IF(K116="","",K116-IF(L116="",0,L116)+IF(M116="",0,M116)+IF(N116="",0,N116))</f>
        <v/>
      </c>
    </row>
    <row r="117" customFormat="false" ht="15.75" hidden="false" customHeight="true" outlineLevel="0" collapsed="false">
      <c r="A117" s="72"/>
      <c r="B117" s="70"/>
      <c r="C117" s="72"/>
      <c r="D117" s="72"/>
      <c r="E117" s="72"/>
      <c r="F117" s="72"/>
      <c r="G117" s="72"/>
      <c r="H117" s="73"/>
      <c r="I117" s="72"/>
      <c r="J117" s="74"/>
      <c r="K117" s="75" t="str">
        <f aca="false">IF(OR(H117="",J117=""),"",H117*J117)</f>
        <v/>
      </c>
      <c r="L117" s="87"/>
      <c r="M117" s="87"/>
      <c r="N117" s="87"/>
      <c r="O117" s="75" t="str">
        <f aca="false">IF(K117="","",K117-IF(L117="",0,L117)+IF(M117="",0,M117)+IF(N117="",0,N117))</f>
        <v/>
      </c>
    </row>
    <row r="118" customFormat="false" ht="15.75" hidden="false" customHeight="true" outlineLevel="0" collapsed="false">
      <c r="A118" s="80"/>
      <c r="B118" s="78"/>
      <c r="C118" s="80"/>
      <c r="D118" s="80"/>
      <c r="E118" s="80"/>
      <c r="F118" s="80"/>
      <c r="G118" s="80"/>
      <c r="H118" s="81"/>
      <c r="I118" s="80"/>
      <c r="J118" s="82"/>
      <c r="K118" s="83" t="str">
        <f aca="false">IF(OR(H118="",J118=""),"",H118*J118)</f>
        <v/>
      </c>
      <c r="L118" s="88"/>
      <c r="M118" s="88"/>
      <c r="N118" s="88"/>
      <c r="O118" s="83" t="str">
        <f aca="false">IF(K118="","",K118-IF(L118="",0,L118)+IF(M118="",0,M118)+IF(N118="",0,N118))</f>
        <v/>
      </c>
    </row>
    <row r="119" customFormat="false" ht="15.75" hidden="false" customHeight="true" outlineLevel="0" collapsed="false">
      <c r="A119" s="72"/>
      <c r="B119" s="70"/>
      <c r="C119" s="72"/>
      <c r="D119" s="72"/>
      <c r="E119" s="72"/>
      <c r="F119" s="72"/>
      <c r="G119" s="72"/>
      <c r="H119" s="73"/>
      <c r="I119" s="72"/>
      <c r="J119" s="74"/>
      <c r="K119" s="75" t="str">
        <f aca="false">IF(OR(H119="",J119=""),"",H119*J119)</f>
        <v/>
      </c>
      <c r="L119" s="87"/>
      <c r="M119" s="87"/>
      <c r="N119" s="87"/>
      <c r="O119" s="75" t="str">
        <f aca="false">IF(K119="","",K119-IF(L119="",0,L119)+IF(M119="",0,M119)+IF(N119="",0,N119))</f>
        <v/>
      </c>
    </row>
    <row r="120" customFormat="false" ht="15.75" hidden="false" customHeight="true" outlineLevel="0" collapsed="false">
      <c r="A120" s="80"/>
      <c r="B120" s="78"/>
      <c r="C120" s="80"/>
      <c r="D120" s="80"/>
      <c r="E120" s="80"/>
      <c r="F120" s="80"/>
      <c r="G120" s="80"/>
      <c r="H120" s="81"/>
      <c r="I120" s="80"/>
      <c r="J120" s="82"/>
      <c r="K120" s="83" t="str">
        <f aca="false">IF(OR(H120="",J120=""),"",H120*J120)</f>
        <v/>
      </c>
      <c r="L120" s="88"/>
      <c r="M120" s="88"/>
      <c r="N120" s="88"/>
      <c r="O120" s="83" t="str">
        <f aca="false">IF(K120="","",K120-IF(L120="",0,L120)+IF(M120="",0,M120)+IF(N120="",0,N120))</f>
        <v/>
      </c>
    </row>
    <row r="121" customFormat="false" ht="15.75" hidden="false" customHeight="true" outlineLevel="0" collapsed="false">
      <c r="A121" s="72"/>
      <c r="B121" s="70"/>
      <c r="C121" s="72"/>
      <c r="D121" s="72"/>
      <c r="E121" s="72"/>
      <c r="F121" s="72"/>
      <c r="G121" s="72"/>
      <c r="H121" s="73"/>
      <c r="I121" s="72"/>
      <c r="J121" s="74"/>
      <c r="K121" s="75" t="str">
        <f aca="false">IF(OR(H121="",J121=""),"",H121*J121)</f>
        <v/>
      </c>
      <c r="L121" s="87"/>
      <c r="M121" s="87"/>
      <c r="N121" s="87"/>
      <c r="O121" s="75" t="str">
        <f aca="false">IF(K121="","",K121-IF(L121="",0,L121)+IF(M121="",0,M121)+IF(N121="",0,N121))</f>
        <v/>
      </c>
    </row>
    <row r="122" customFormat="false" ht="15.75" hidden="false" customHeight="true" outlineLevel="0" collapsed="false">
      <c r="A122" s="80"/>
      <c r="B122" s="78"/>
      <c r="C122" s="80"/>
      <c r="D122" s="80"/>
      <c r="E122" s="80"/>
      <c r="F122" s="80"/>
      <c r="G122" s="80"/>
      <c r="H122" s="81"/>
      <c r="I122" s="80"/>
      <c r="J122" s="82"/>
      <c r="K122" s="83" t="str">
        <f aca="false">IF(OR(H122="",J122=""),"",H122*J122)</f>
        <v/>
      </c>
      <c r="L122" s="88"/>
      <c r="M122" s="88"/>
      <c r="N122" s="88"/>
      <c r="O122" s="83" t="str">
        <f aca="false">IF(K122="","",K122-IF(L122="",0,L122)+IF(M122="",0,M122)+IF(N122="",0,N122))</f>
        <v/>
      </c>
    </row>
    <row r="123" customFormat="false" ht="15.75" hidden="false" customHeight="true" outlineLevel="0" collapsed="false">
      <c r="A123" s="72"/>
      <c r="B123" s="70"/>
      <c r="C123" s="72"/>
      <c r="D123" s="72"/>
      <c r="E123" s="72"/>
      <c r="F123" s="72"/>
      <c r="G123" s="72"/>
      <c r="H123" s="73"/>
      <c r="I123" s="72"/>
      <c r="J123" s="74"/>
      <c r="K123" s="75" t="str">
        <f aca="false">IF(OR(H123="",J123=""),"",H123*J123)</f>
        <v/>
      </c>
      <c r="L123" s="87"/>
      <c r="M123" s="87"/>
      <c r="N123" s="87"/>
      <c r="O123" s="75" t="str">
        <f aca="false">IF(K123="","",K123-IF(L123="",0,L123)+IF(M123="",0,M123)+IF(N123="",0,N123))</f>
        <v/>
      </c>
    </row>
    <row r="124" customFormat="false" ht="15.75" hidden="false" customHeight="true" outlineLevel="0" collapsed="false">
      <c r="A124" s="80"/>
      <c r="B124" s="78"/>
      <c r="C124" s="80"/>
      <c r="D124" s="80"/>
      <c r="E124" s="80"/>
      <c r="F124" s="80"/>
      <c r="G124" s="80"/>
      <c r="H124" s="81"/>
      <c r="I124" s="80"/>
      <c r="J124" s="82"/>
      <c r="K124" s="83" t="str">
        <f aca="false">IF(OR(H124="",J124=""),"",H124*J124)</f>
        <v/>
      </c>
      <c r="L124" s="88"/>
      <c r="M124" s="88"/>
      <c r="N124" s="88"/>
      <c r="O124" s="83" t="str">
        <f aca="false">IF(K124="","",K124-IF(L124="",0,L124)+IF(M124="",0,M124)+IF(N124="",0,N124))</f>
        <v/>
      </c>
    </row>
    <row r="125" customFormat="false" ht="15.75" hidden="false" customHeight="true" outlineLevel="0" collapsed="false">
      <c r="A125" s="72"/>
      <c r="B125" s="70"/>
      <c r="C125" s="72"/>
      <c r="D125" s="72"/>
      <c r="E125" s="72"/>
      <c r="F125" s="72"/>
      <c r="G125" s="72"/>
      <c r="H125" s="73"/>
      <c r="I125" s="72"/>
      <c r="J125" s="74"/>
      <c r="K125" s="75" t="str">
        <f aca="false">IF(OR(H125="",J125=""),"",H125*J125)</f>
        <v/>
      </c>
      <c r="L125" s="87"/>
      <c r="M125" s="87"/>
      <c r="N125" s="87"/>
      <c r="O125" s="75" t="str">
        <f aca="false">IF(K125="","",K125-IF(L125="",0,L125)+IF(M125="",0,M125)+IF(N125="",0,N125))</f>
        <v/>
      </c>
    </row>
    <row r="126" customFormat="false" ht="15.75" hidden="false" customHeight="true" outlineLevel="0" collapsed="false">
      <c r="A126" s="80"/>
      <c r="B126" s="78"/>
      <c r="C126" s="80"/>
      <c r="D126" s="80"/>
      <c r="E126" s="80"/>
      <c r="F126" s="80"/>
      <c r="G126" s="80"/>
      <c r="H126" s="81"/>
      <c r="I126" s="80"/>
      <c r="J126" s="82"/>
      <c r="K126" s="83" t="str">
        <f aca="false">IF(OR(H126="",J126=""),"",H126*J126)</f>
        <v/>
      </c>
      <c r="L126" s="88"/>
      <c r="M126" s="88"/>
      <c r="N126" s="88"/>
      <c r="O126" s="83" t="str">
        <f aca="false">IF(K126="","",K126-IF(L126="",0,L126)+IF(M126="",0,M126)+IF(N126="",0,N126))</f>
        <v/>
      </c>
    </row>
    <row r="127" customFormat="false" ht="15.75" hidden="false" customHeight="true" outlineLevel="0" collapsed="false">
      <c r="A127" s="72"/>
      <c r="B127" s="70"/>
      <c r="C127" s="72"/>
      <c r="D127" s="72"/>
      <c r="E127" s="72"/>
      <c r="F127" s="72"/>
      <c r="G127" s="72"/>
      <c r="H127" s="73"/>
      <c r="I127" s="72"/>
      <c r="J127" s="74"/>
      <c r="K127" s="75" t="str">
        <f aca="false">IF(OR(H127="",J127=""),"",H127*J127)</f>
        <v/>
      </c>
      <c r="L127" s="87"/>
      <c r="M127" s="87"/>
      <c r="N127" s="87"/>
      <c r="O127" s="75" t="str">
        <f aca="false">IF(K127="","",K127-IF(L127="",0,L127)+IF(M127="",0,M127)+IF(N127="",0,N127))</f>
        <v/>
      </c>
    </row>
    <row r="128" customFormat="false" ht="15.75" hidden="false" customHeight="true" outlineLevel="0" collapsed="false">
      <c r="A128" s="80"/>
      <c r="B128" s="78"/>
      <c r="C128" s="80"/>
      <c r="D128" s="80"/>
      <c r="E128" s="80"/>
      <c r="F128" s="80"/>
      <c r="G128" s="80"/>
      <c r="H128" s="81"/>
      <c r="I128" s="80"/>
      <c r="J128" s="82"/>
      <c r="K128" s="83" t="str">
        <f aca="false">IF(OR(H128="",J128=""),"",H128*J128)</f>
        <v/>
      </c>
      <c r="L128" s="88"/>
      <c r="M128" s="88"/>
      <c r="N128" s="88"/>
      <c r="O128" s="83" t="str">
        <f aca="false">IF(K128="","",K128-IF(L128="",0,L128)+IF(M128="",0,M128)+IF(N128="",0,N128))</f>
        <v/>
      </c>
    </row>
    <row r="129" customFormat="false" ht="15.75" hidden="false" customHeight="true" outlineLevel="0" collapsed="false">
      <c r="A129" s="72"/>
      <c r="B129" s="70"/>
      <c r="C129" s="72"/>
      <c r="D129" s="72"/>
      <c r="E129" s="72"/>
      <c r="F129" s="72"/>
      <c r="G129" s="72"/>
      <c r="H129" s="73"/>
      <c r="I129" s="72"/>
      <c r="J129" s="74"/>
      <c r="K129" s="75" t="str">
        <f aca="false">IF(OR(H129="",J129=""),"",H129*J129)</f>
        <v/>
      </c>
      <c r="L129" s="87"/>
      <c r="M129" s="87"/>
      <c r="N129" s="87"/>
      <c r="O129" s="75" t="str">
        <f aca="false">IF(K129="","",K129-IF(L129="",0,L129)+IF(M129="",0,M129)+IF(N129="",0,N129))</f>
        <v/>
      </c>
    </row>
    <row r="130" customFormat="false" ht="15.75" hidden="false" customHeight="true" outlineLevel="0" collapsed="false">
      <c r="A130" s="80"/>
      <c r="B130" s="78"/>
      <c r="C130" s="80"/>
      <c r="D130" s="80"/>
      <c r="E130" s="80"/>
      <c r="F130" s="80"/>
      <c r="G130" s="80"/>
      <c r="H130" s="81"/>
      <c r="I130" s="80"/>
      <c r="J130" s="82"/>
      <c r="K130" s="83" t="str">
        <f aca="false">IF(OR(H130="",J130=""),"",H130*J130)</f>
        <v/>
      </c>
      <c r="L130" s="88"/>
      <c r="M130" s="88"/>
      <c r="N130" s="88"/>
      <c r="O130" s="83" t="str">
        <f aca="false">IF(K130="","",K130-IF(L130="",0,L130)+IF(M130="",0,M130)+IF(N130="",0,N130))</f>
        <v/>
      </c>
    </row>
    <row r="131" customFormat="false" ht="15.75" hidden="false" customHeight="true" outlineLevel="0" collapsed="false">
      <c r="A131" s="72"/>
      <c r="B131" s="70"/>
      <c r="C131" s="72"/>
      <c r="D131" s="72"/>
      <c r="E131" s="72"/>
      <c r="F131" s="72"/>
      <c r="G131" s="72"/>
      <c r="H131" s="73"/>
      <c r="I131" s="72"/>
      <c r="J131" s="74"/>
      <c r="K131" s="75" t="str">
        <f aca="false">IF(OR(H131="",J131=""),"",H131*J131)</f>
        <v/>
      </c>
      <c r="L131" s="87"/>
      <c r="M131" s="87"/>
      <c r="N131" s="87"/>
      <c r="O131" s="75" t="str">
        <f aca="false">IF(K131="","",K131-IF(L131="",0,L131)+IF(M131="",0,M131)+IF(N131="",0,N131))</f>
        <v/>
      </c>
    </row>
    <row r="132" customFormat="false" ht="15.75" hidden="false" customHeight="true" outlineLevel="0" collapsed="false">
      <c r="A132" s="80"/>
      <c r="B132" s="78"/>
      <c r="C132" s="80"/>
      <c r="D132" s="80"/>
      <c r="E132" s="80"/>
      <c r="F132" s="80"/>
      <c r="G132" s="80"/>
      <c r="H132" s="81"/>
      <c r="I132" s="80"/>
      <c r="J132" s="82"/>
      <c r="K132" s="83" t="str">
        <f aca="false">IF(OR(H132="",J132=""),"",H132*J132)</f>
        <v/>
      </c>
      <c r="L132" s="88"/>
      <c r="M132" s="88"/>
      <c r="N132" s="88"/>
      <c r="O132" s="83" t="str">
        <f aca="false">IF(K132="","",K132-IF(L132="",0,L132)+IF(M132="",0,M132)+IF(N132="",0,N132))</f>
        <v/>
      </c>
    </row>
    <row r="133" customFormat="false" ht="15.75" hidden="false" customHeight="true" outlineLevel="0" collapsed="false">
      <c r="A133" s="72"/>
      <c r="B133" s="70"/>
      <c r="C133" s="72"/>
      <c r="D133" s="72"/>
      <c r="E133" s="72"/>
      <c r="F133" s="72"/>
      <c r="G133" s="72"/>
      <c r="H133" s="73"/>
      <c r="I133" s="72"/>
      <c r="J133" s="74"/>
      <c r="K133" s="75" t="str">
        <f aca="false">IF(OR(H133="",J133=""),"",H133*J133)</f>
        <v/>
      </c>
      <c r="L133" s="87"/>
      <c r="M133" s="87"/>
      <c r="N133" s="87"/>
      <c r="O133" s="75" t="str">
        <f aca="false">IF(K133="","",K133-IF(L133="",0,L133)+IF(M133="",0,M133)+IF(N133="",0,N133))</f>
        <v/>
      </c>
    </row>
    <row r="134" customFormat="false" ht="15.75" hidden="false" customHeight="true" outlineLevel="0" collapsed="false">
      <c r="A134" s="80"/>
      <c r="B134" s="78"/>
      <c r="C134" s="80"/>
      <c r="D134" s="80"/>
      <c r="E134" s="80"/>
      <c r="F134" s="80"/>
      <c r="G134" s="80"/>
      <c r="H134" s="81"/>
      <c r="I134" s="80"/>
      <c r="J134" s="82"/>
      <c r="K134" s="83" t="str">
        <f aca="false">IF(OR(H134="",J134=""),"",H134*J134)</f>
        <v/>
      </c>
      <c r="L134" s="88"/>
      <c r="M134" s="88"/>
      <c r="N134" s="88"/>
      <c r="O134" s="83" t="str">
        <f aca="false">IF(K134="","",K134-IF(L134="",0,L134)+IF(M134="",0,M134)+IF(N134="",0,N134))</f>
        <v/>
      </c>
    </row>
    <row r="135" customFormat="false" ht="15.75" hidden="false" customHeight="true" outlineLevel="0" collapsed="false">
      <c r="A135" s="72"/>
      <c r="B135" s="70"/>
      <c r="C135" s="72"/>
      <c r="D135" s="72"/>
      <c r="E135" s="72"/>
      <c r="F135" s="72"/>
      <c r="G135" s="72"/>
      <c r="H135" s="73"/>
      <c r="I135" s="72"/>
      <c r="J135" s="74"/>
      <c r="K135" s="75" t="str">
        <f aca="false">IF(OR(H135="",J135=""),"",H135*J135)</f>
        <v/>
      </c>
      <c r="L135" s="87"/>
      <c r="M135" s="87"/>
      <c r="N135" s="87"/>
      <c r="O135" s="75" t="str">
        <f aca="false">IF(K135="","",K135-IF(L135="",0,L135)+IF(M135="",0,M135)+IF(N135="",0,N135))</f>
        <v/>
      </c>
    </row>
    <row r="136" customFormat="false" ht="15.75" hidden="false" customHeight="true" outlineLevel="0" collapsed="false">
      <c r="A136" s="80"/>
      <c r="B136" s="78"/>
      <c r="C136" s="80"/>
      <c r="D136" s="80"/>
      <c r="E136" s="80"/>
      <c r="F136" s="80"/>
      <c r="G136" s="80"/>
      <c r="H136" s="81"/>
      <c r="I136" s="80"/>
      <c r="J136" s="82"/>
      <c r="K136" s="83" t="str">
        <f aca="false">IF(OR(H136="",J136=""),"",H136*J136)</f>
        <v/>
      </c>
      <c r="L136" s="88"/>
      <c r="M136" s="88"/>
      <c r="N136" s="88"/>
      <c r="O136" s="83" t="str">
        <f aca="false">IF(K136="","",K136-IF(L136="",0,L136)+IF(M136="",0,M136)+IF(N136="",0,N136))</f>
        <v/>
      </c>
    </row>
    <row r="137" customFormat="false" ht="15.75" hidden="false" customHeight="true" outlineLevel="0" collapsed="false">
      <c r="A137" s="72"/>
      <c r="B137" s="70"/>
      <c r="C137" s="72"/>
      <c r="D137" s="72"/>
      <c r="E137" s="72"/>
      <c r="F137" s="72"/>
      <c r="G137" s="72"/>
      <c r="H137" s="73"/>
      <c r="I137" s="72"/>
      <c r="J137" s="74"/>
      <c r="K137" s="75" t="str">
        <f aca="false">IF(OR(H137="",J137=""),"",H137*J137)</f>
        <v/>
      </c>
      <c r="L137" s="87"/>
      <c r="M137" s="87"/>
      <c r="N137" s="87"/>
      <c r="O137" s="75" t="str">
        <f aca="false">IF(K137="","",K137-IF(L137="",0,L137)+IF(M137="",0,M137)+IF(N137="",0,N137))</f>
        <v/>
      </c>
    </row>
    <row r="138" customFormat="false" ht="15.75" hidden="false" customHeight="true" outlineLevel="0" collapsed="false">
      <c r="A138" s="80"/>
      <c r="B138" s="78"/>
      <c r="C138" s="80"/>
      <c r="D138" s="80"/>
      <c r="E138" s="80"/>
      <c r="F138" s="80"/>
      <c r="G138" s="80"/>
      <c r="H138" s="81"/>
      <c r="I138" s="80"/>
      <c r="J138" s="82"/>
      <c r="K138" s="83" t="str">
        <f aca="false">IF(OR(H138="",J138=""),"",H138*J138)</f>
        <v/>
      </c>
      <c r="L138" s="88"/>
      <c r="M138" s="88"/>
      <c r="N138" s="88"/>
      <c r="O138" s="83" t="str">
        <f aca="false">IF(K138="","",K138-IF(L138="",0,L138)+IF(M138="",0,M138)+IF(N138="",0,N138))</f>
        <v/>
      </c>
    </row>
    <row r="139" customFormat="false" ht="15.75" hidden="false" customHeight="true" outlineLevel="0" collapsed="false">
      <c r="A139" s="72"/>
      <c r="B139" s="70"/>
      <c r="C139" s="72"/>
      <c r="D139" s="72"/>
      <c r="E139" s="72"/>
      <c r="F139" s="72"/>
      <c r="G139" s="72"/>
      <c r="H139" s="73"/>
      <c r="I139" s="72"/>
      <c r="J139" s="74"/>
      <c r="K139" s="75" t="str">
        <f aca="false">IF(OR(H139="",J139=""),"",H139*J139)</f>
        <v/>
      </c>
      <c r="L139" s="87"/>
      <c r="M139" s="87"/>
      <c r="N139" s="87"/>
      <c r="O139" s="75" t="str">
        <f aca="false">IF(K139="","",K139-IF(L139="",0,L139)+IF(M139="",0,M139)+IF(N139="",0,N139))</f>
        <v/>
      </c>
    </row>
    <row r="140" customFormat="false" ht="15.75" hidden="false" customHeight="true" outlineLevel="0" collapsed="false">
      <c r="A140" s="80"/>
      <c r="B140" s="78"/>
      <c r="C140" s="80"/>
      <c r="D140" s="80"/>
      <c r="E140" s="80"/>
      <c r="F140" s="80"/>
      <c r="G140" s="80"/>
      <c r="H140" s="81"/>
      <c r="I140" s="80"/>
      <c r="J140" s="82"/>
      <c r="K140" s="83" t="str">
        <f aca="false">IF(OR(H140="",J140=""),"",H140*J140)</f>
        <v/>
      </c>
      <c r="L140" s="88"/>
      <c r="M140" s="88"/>
      <c r="N140" s="88"/>
      <c r="O140" s="83" t="str">
        <f aca="false">IF(K140="","",K140-IF(L140="",0,L140)+IF(M140="",0,M140)+IF(N140="",0,N140))</f>
        <v/>
      </c>
    </row>
    <row r="141" customFormat="false" ht="15.75" hidden="false" customHeight="true" outlineLevel="0" collapsed="false">
      <c r="A141" s="72"/>
      <c r="B141" s="70"/>
      <c r="C141" s="72"/>
      <c r="D141" s="72"/>
      <c r="E141" s="72"/>
      <c r="F141" s="72"/>
      <c r="G141" s="72"/>
      <c r="H141" s="73"/>
      <c r="I141" s="72"/>
      <c r="J141" s="74"/>
      <c r="K141" s="75" t="str">
        <f aca="false">IF(OR(H141="",J141=""),"",H141*J141)</f>
        <v/>
      </c>
      <c r="L141" s="87"/>
      <c r="M141" s="87"/>
      <c r="N141" s="87"/>
      <c r="O141" s="75" t="str">
        <f aca="false">IF(K141="","",K141-IF(L141="",0,L141)+IF(M141="",0,M141)+IF(N141="",0,N141))</f>
        <v/>
      </c>
    </row>
    <row r="142" customFormat="false" ht="15.75" hidden="false" customHeight="true" outlineLevel="0" collapsed="false">
      <c r="A142" s="80"/>
      <c r="B142" s="78"/>
      <c r="C142" s="80"/>
      <c r="D142" s="80"/>
      <c r="E142" s="80"/>
      <c r="F142" s="80"/>
      <c r="G142" s="80"/>
      <c r="H142" s="81"/>
      <c r="I142" s="80"/>
      <c r="J142" s="82"/>
      <c r="K142" s="83" t="str">
        <f aca="false">IF(OR(H142="",J142=""),"",H142*J142)</f>
        <v/>
      </c>
      <c r="L142" s="88"/>
      <c r="M142" s="88"/>
      <c r="N142" s="88"/>
      <c r="O142" s="83" t="str">
        <f aca="false">IF(K142="","",K142-IF(L142="",0,L142)+IF(M142="",0,M142)+IF(N142="",0,N142))</f>
        <v/>
      </c>
    </row>
    <row r="143" customFormat="false" ht="15.75" hidden="false" customHeight="true" outlineLevel="0" collapsed="false">
      <c r="A143" s="72"/>
      <c r="B143" s="70"/>
      <c r="C143" s="72"/>
      <c r="D143" s="72"/>
      <c r="E143" s="72"/>
      <c r="F143" s="72"/>
      <c r="G143" s="72"/>
      <c r="H143" s="73"/>
      <c r="I143" s="72"/>
      <c r="J143" s="74"/>
      <c r="K143" s="75" t="str">
        <f aca="false">IF(OR(H143="",J143=""),"",H143*J143)</f>
        <v/>
      </c>
      <c r="L143" s="87"/>
      <c r="M143" s="87"/>
      <c r="N143" s="87"/>
      <c r="O143" s="75" t="str">
        <f aca="false">IF(K143="","",K143-IF(L143="",0,L143)+IF(M143="",0,M143)+IF(N143="",0,N143))</f>
        <v/>
      </c>
    </row>
    <row r="144" customFormat="false" ht="15.75" hidden="false" customHeight="true" outlineLevel="0" collapsed="false">
      <c r="A144" s="80"/>
      <c r="B144" s="78"/>
      <c r="C144" s="80"/>
      <c r="D144" s="80"/>
      <c r="E144" s="80"/>
      <c r="F144" s="80"/>
      <c r="G144" s="80"/>
      <c r="H144" s="81"/>
      <c r="I144" s="80"/>
      <c r="J144" s="82"/>
      <c r="K144" s="83" t="str">
        <f aca="false">IF(OR(H144="",J144=""),"",H144*J144)</f>
        <v/>
      </c>
      <c r="L144" s="88"/>
      <c r="M144" s="88"/>
      <c r="N144" s="88"/>
      <c r="O144" s="83" t="str">
        <f aca="false">IF(K144="","",K144-IF(L144="",0,L144)+IF(M144="",0,M144)+IF(N144="",0,N144))</f>
        <v/>
      </c>
    </row>
    <row r="145" customFormat="false" ht="15.75" hidden="false" customHeight="true" outlineLevel="0" collapsed="false">
      <c r="A145" s="72"/>
      <c r="B145" s="70"/>
      <c r="C145" s="72"/>
      <c r="D145" s="72"/>
      <c r="E145" s="72"/>
      <c r="F145" s="72"/>
      <c r="G145" s="72"/>
      <c r="H145" s="73"/>
      <c r="I145" s="72"/>
      <c r="J145" s="74"/>
      <c r="K145" s="75" t="str">
        <f aca="false">IF(OR(H145="",J145=""),"",H145*J145)</f>
        <v/>
      </c>
      <c r="L145" s="87"/>
      <c r="M145" s="87"/>
      <c r="N145" s="87"/>
      <c r="O145" s="75" t="str">
        <f aca="false">IF(K145="","",K145-IF(L145="",0,L145)+IF(M145="",0,M145)+IF(N145="",0,N145))</f>
        <v/>
      </c>
    </row>
    <row r="146" customFormat="false" ht="15.75" hidden="false" customHeight="true" outlineLevel="0" collapsed="false">
      <c r="A146" s="80"/>
      <c r="B146" s="78"/>
      <c r="C146" s="80"/>
      <c r="D146" s="80"/>
      <c r="E146" s="80"/>
      <c r="F146" s="80"/>
      <c r="G146" s="80"/>
      <c r="H146" s="81"/>
      <c r="I146" s="80"/>
      <c r="J146" s="82"/>
      <c r="K146" s="83" t="str">
        <f aca="false">IF(OR(H146="",J146=""),"",H146*J146)</f>
        <v/>
      </c>
      <c r="L146" s="88"/>
      <c r="M146" s="88"/>
      <c r="N146" s="88"/>
      <c r="O146" s="83" t="str">
        <f aca="false">IF(K146="","",K146-IF(L146="",0,L146)+IF(M146="",0,M146)+IF(N146="",0,N146))</f>
        <v/>
      </c>
    </row>
    <row r="147" customFormat="false" ht="15.75" hidden="false" customHeight="true" outlineLevel="0" collapsed="false">
      <c r="A147" s="72"/>
      <c r="B147" s="70"/>
      <c r="C147" s="72"/>
      <c r="D147" s="72"/>
      <c r="E147" s="72"/>
      <c r="F147" s="72"/>
      <c r="G147" s="72"/>
      <c r="H147" s="73"/>
      <c r="I147" s="72"/>
      <c r="J147" s="74"/>
      <c r="K147" s="75" t="str">
        <f aca="false">IF(OR(H147="",J147=""),"",H147*J147)</f>
        <v/>
      </c>
      <c r="L147" s="87"/>
      <c r="M147" s="87"/>
      <c r="N147" s="87"/>
      <c r="O147" s="75" t="str">
        <f aca="false">IF(K147="","",K147-IF(L147="",0,L147)+IF(M147="",0,M147)+IF(N147="",0,N147))</f>
        <v/>
      </c>
    </row>
    <row r="148" customFormat="false" ht="15.75" hidden="false" customHeight="true" outlineLevel="0" collapsed="false">
      <c r="A148" s="80"/>
      <c r="B148" s="78"/>
      <c r="C148" s="80"/>
      <c r="D148" s="80"/>
      <c r="E148" s="80"/>
      <c r="F148" s="80"/>
      <c r="G148" s="80"/>
      <c r="H148" s="81"/>
      <c r="I148" s="80"/>
      <c r="J148" s="82"/>
      <c r="K148" s="83" t="str">
        <f aca="false">IF(OR(H148="",J148=""),"",H148*J148)</f>
        <v/>
      </c>
      <c r="L148" s="88"/>
      <c r="M148" s="88"/>
      <c r="N148" s="88"/>
      <c r="O148" s="83" t="str">
        <f aca="false">IF(K148="","",K148-IF(L148="",0,L148)+IF(M148="",0,M148)+IF(N148="",0,N148))</f>
        <v/>
      </c>
    </row>
    <row r="149" customFormat="false" ht="15.75" hidden="false" customHeight="true" outlineLevel="0" collapsed="false">
      <c r="A149" s="72"/>
      <c r="B149" s="70"/>
      <c r="C149" s="72"/>
      <c r="D149" s="72"/>
      <c r="E149" s="72"/>
      <c r="F149" s="72"/>
      <c r="G149" s="72"/>
      <c r="H149" s="73"/>
      <c r="I149" s="72"/>
      <c r="J149" s="74"/>
      <c r="K149" s="75" t="str">
        <f aca="false">IF(OR(H149="",J149=""),"",H149*J149)</f>
        <v/>
      </c>
      <c r="L149" s="87"/>
      <c r="M149" s="87"/>
      <c r="N149" s="87"/>
      <c r="O149" s="75" t="str">
        <f aca="false">IF(K149="","",K149-IF(L149="",0,L149)+IF(M149="",0,M149)+IF(N149="",0,N149))</f>
        <v/>
      </c>
    </row>
    <row r="150" customFormat="false" ht="15.75" hidden="false" customHeight="true" outlineLevel="0" collapsed="false">
      <c r="A150" s="80"/>
      <c r="B150" s="78"/>
      <c r="C150" s="80"/>
      <c r="D150" s="80"/>
      <c r="E150" s="80"/>
      <c r="F150" s="80"/>
      <c r="G150" s="80"/>
      <c r="H150" s="81"/>
      <c r="I150" s="80"/>
      <c r="J150" s="82"/>
      <c r="K150" s="83" t="str">
        <f aca="false">IF(OR(H150="",J150=""),"",H150*J150)</f>
        <v/>
      </c>
      <c r="L150" s="88"/>
      <c r="M150" s="88"/>
      <c r="N150" s="88"/>
      <c r="O150" s="83" t="str">
        <f aca="false">IF(K150="","",K150-IF(L150="",0,L150)+IF(M150="",0,M150)+IF(N150="",0,N150))</f>
        <v/>
      </c>
    </row>
    <row r="151" customFormat="false" ht="15.75" hidden="false" customHeight="true" outlineLevel="0" collapsed="false">
      <c r="A151" s="72"/>
      <c r="B151" s="70"/>
      <c r="C151" s="72"/>
      <c r="D151" s="72"/>
      <c r="E151" s="72"/>
      <c r="F151" s="72"/>
      <c r="G151" s="72"/>
      <c r="H151" s="73"/>
      <c r="I151" s="72"/>
      <c r="J151" s="74"/>
      <c r="K151" s="75" t="str">
        <f aca="false">IF(OR(H151="",J151=""),"",H151*J151)</f>
        <v/>
      </c>
      <c r="L151" s="87"/>
      <c r="M151" s="87"/>
      <c r="N151" s="87"/>
      <c r="O151" s="75" t="str">
        <f aca="false">IF(K151="","",K151-IF(L151="",0,L151)+IF(M151="",0,M151)+IF(N151="",0,N151))</f>
        <v/>
      </c>
    </row>
    <row r="152" customFormat="false" ht="15.75" hidden="false" customHeight="true" outlineLevel="0" collapsed="false">
      <c r="A152" s="80"/>
      <c r="B152" s="78"/>
      <c r="C152" s="80"/>
      <c r="D152" s="80"/>
      <c r="E152" s="80"/>
      <c r="F152" s="80"/>
      <c r="G152" s="80"/>
      <c r="H152" s="81"/>
      <c r="I152" s="80"/>
      <c r="J152" s="82"/>
      <c r="K152" s="83" t="str">
        <f aca="false">IF(OR(H152="",J152=""),"",H152*J152)</f>
        <v/>
      </c>
      <c r="L152" s="88"/>
      <c r="M152" s="88"/>
      <c r="N152" s="88"/>
      <c r="O152" s="83" t="str">
        <f aca="false">IF(K152="","",K152-IF(L152="",0,L152)+IF(M152="",0,M152)+IF(N152="",0,N152))</f>
        <v/>
      </c>
    </row>
    <row r="153" customFormat="false" ht="15.75" hidden="false" customHeight="true" outlineLevel="0" collapsed="false">
      <c r="A153" s="72"/>
      <c r="B153" s="70"/>
      <c r="C153" s="72"/>
      <c r="D153" s="72"/>
      <c r="E153" s="72"/>
      <c r="F153" s="72"/>
      <c r="G153" s="72"/>
      <c r="H153" s="73"/>
      <c r="I153" s="72"/>
      <c r="J153" s="74"/>
      <c r="K153" s="75" t="str">
        <f aca="false">IF(OR(H153="",J153=""),"",H153*J153)</f>
        <v/>
      </c>
      <c r="L153" s="87"/>
      <c r="M153" s="87"/>
      <c r="N153" s="87"/>
      <c r="O153" s="75" t="str">
        <f aca="false">IF(K153="","",K153-IF(L153="",0,L153)+IF(M153="",0,M153)+IF(N153="",0,N153))</f>
        <v/>
      </c>
    </row>
    <row r="154" customFormat="false" ht="15.75" hidden="false" customHeight="true" outlineLevel="0" collapsed="false">
      <c r="A154" s="80"/>
      <c r="B154" s="78"/>
      <c r="C154" s="80"/>
      <c r="D154" s="80"/>
      <c r="E154" s="80"/>
      <c r="F154" s="80"/>
      <c r="G154" s="80"/>
      <c r="H154" s="81"/>
      <c r="I154" s="80"/>
      <c r="J154" s="82"/>
      <c r="K154" s="83" t="str">
        <f aca="false">IF(OR(H154="",J154=""),"",H154*J154)</f>
        <v/>
      </c>
      <c r="L154" s="88"/>
      <c r="M154" s="88"/>
      <c r="N154" s="88"/>
      <c r="O154" s="83" t="str">
        <f aca="false">IF(K154="","",K154-IF(L154="",0,L154)+IF(M154="",0,M154)+IF(N154="",0,N154))</f>
        <v/>
      </c>
    </row>
    <row r="155" customFormat="false" ht="15.75" hidden="false" customHeight="true" outlineLevel="0" collapsed="false">
      <c r="A155" s="72"/>
      <c r="B155" s="70"/>
      <c r="C155" s="72"/>
      <c r="D155" s="72"/>
      <c r="E155" s="72"/>
      <c r="F155" s="72"/>
      <c r="G155" s="72"/>
      <c r="H155" s="73"/>
      <c r="I155" s="72"/>
      <c r="J155" s="74"/>
      <c r="K155" s="75" t="str">
        <f aca="false">IF(OR(H155="",J155=""),"",H155*J155)</f>
        <v/>
      </c>
      <c r="L155" s="87"/>
      <c r="M155" s="87"/>
      <c r="N155" s="87"/>
      <c r="O155" s="75" t="str">
        <f aca="false">IF(K155="","",K155-IF(L155="",0,L155)+IF(M155="",0,M155)+IF(N155="",0,N155))</f>
        <v/>
      </c>
    </row>
    <row r="156" customFormat="false" ht="15.75" hidden="false" customHeight="true" outlineLevel="0" collapsed="false">
      <c r="A156" s="80"/>
      <c r="B156" s="78"/>
      <c r="C156" s="80"/>
      <c r="D156" s="80"/>
      <c r="E156" s="80"/>
      <c r="F156" s="80"/>
      <c r="G156" s="80"/>
      <c r="H156" s="81"/>
      <c r="I156" s="80"/>
      <c r="J156" s="82"/>
      <c r="K156" s="83" t="str">
        <f aca="false">IF(OR(H156="",J156=""),"",H156*J156)</f>
        <v/>
      </c>
      <c r="L156" s="88"/>
      <c r="M156" s="88"/>
      <c r="N156" s="88"/>
      <c r="O156" s="83" t="str">
        <f aca="false">IF(K156="","",K156-IF(L156="",0,L156)+IF(M156="",0,M156)+IF(N156="",0,N156))</f>
        <v/>
      </c>
    </row>
    <row r="157" customFormat="false" ht="15.75" hidden="false" customHeight="true" outlineLevel="0" collapsed="false">
      <c r="A157" s="72"/>
      <c r="B157" s="70"/>
      <c r="C157" s="72"/>
      <c r="D157" s="72"/>
      <c r="E157" s="72"/>
      <c r="F157" s="72"/>
      <c r="G157" s="72"/>
      <c r="H157" s="73"/>
      <c r="I157" s="72"/>
      <c r="J157" s="74"/>
      <c r="K157" s="75" t="str">
        <f aca="false">IF(OR(H157="",J157=""),"",H157*J157)</f>
        <v/>
      </c>
      <c r="L157" s="87"/>
      <c r="M157" s="87"/>
      <c r="N157" s="87"/>
      <c r="O157" s="75" t="str">
        <f aca="false">IF(K157="","",K157-IF(L157="",0,L157)+IF(M157="",0,M157)+IF(N157="",0,N157))</f>
        <v/>
      </c>
    </row>
    <row r="158" customFormat="false" ht="15.75" hidden="false" customHeight="true" outlineLevel="0" collapsed="false">
      <c r="A158" s="80"/>
      <c r="B158" s="78"/>
      <c r="C158" s="80"/>
      <c r="D158" s="80"/>
      <c r="E158" s="80"/>
      <c r="F158" s="80"/>
      <c r="G158" s="80"/>
      <c r="H158" s="81"/>
      <c r="I158" s="80"/>
      <c r="J158" s="82"/>
      <c r="K158" s="83" t="str">
        <f aca="false">IF(OR(H158="",J158=""),"",H158*J158)</f>
        <v/>
      </c>
      <c r="L158" s="88"/>
      <c r="M158" s="88"/>
      <c r="N158" s="88"/>
      <c r="O158" s="83" t="str">
        <f aca="false">IF(K158="","",K158-IF(L158="",0,L158)+IF(M158="",0,M158)+IF(N158="",0,N158))</f>
        <v/>
      </c>
    </row>
    <row r="159" customFormat="false" ht="15.75" hidden="false" customHeight="true" outlineLevel="0" collapsed="false">
      <c r="A159" s="72"/>
      <c r="B159" s="70"/>
      <c r="C159" s="72"/>
      <c r="D159" s="72"/>
      <c r="E159" s="72"/>
      <c r="F159" s="72"/>
      <c r="G159" s="72"/>
      <c r="H159" s="73"/>
      <c r="I159" s="72"/>
      <c r="J159" s="74"/>
      <c r="K159" s="75" t="str">
        <f aca="false">IF(OR(H159="",J159=""),"",H159*J159)</f>
        <v/>
      </c>
      <c r="L159" s="87"/>
      <c r="M159" s="87"/>
      <c r="N159" s="87"/>
      <c r="O159" s="75" t="str">
        <f aca="false">IF(K159="","",K159-IF(L159="",0,L159)+IF(M159="",0,M159)+IF(N159="",0,N159))</f>
        <v/>
      </c>
    </row>
    <row r="160" customFormat="false" ht="15.75" hidden="false" customHeight="true" outlineLevel="0" collapsed="false">
      <c r="A160" s="80"/>
      <c r="B160" s="78"/>
      <c r="C160" s="80"/>
      <c r="D160" s="80"/>
      <c r="E160" s="80"/>
      <c r="F160" s="80"/>
      <c r="G160" s="80"/>
      <c r="H160" s="81"/>
      <c r="I160" s="80"/>
      <c r="J160" s="82"/>
      <c r="K160" s="83" t="str">
        <f aca="false">IF(OR(H160="",J160=""),"",H160*J160)</f>
        <v/>
      </c>
      <c r="L160" s="88"/>
      <c r="M160" s="88"/>
      <c r="N160" s="88"/>
      <c r="O160" s="83" t="str">
        <f aca="false">IF(K160="","",K160-IF(L160="",0,L160)+IF(M160="",0,M160)+IF(N160="",0,N160))</f>
        <v/>
      </c>
    </row>
    <row r="161" customFormat="false" ht="15.75" hidden="false" customHeight="true" outlineLevel="0" collapsed="false">
      <c r="A161" s="72"/>
      <c r="B161" s="70"/>
      <c r="C161" s="72"/>
      <c r="D161" s="72"/>
      <c r="E161" s="72"/>
      <c r="F161" s="72"/>
      <c r="G161" s="72"/>
      <c r="H161" s="73"/>
      <c r="I161" s="72"/>
      <c r="J161" s="74"/>
      <c r="K161" s="75" t="str">
        <f aca="false">IF(OR(H161="",J161=""),"",H161*J161)</f>
        <v/>
      </c>
      <c r="L161" s="87"/>
      <c r="M161" s="87"/>
      <c r="N161" s="87"/>
      <c r="O161" s="75" t="str">
        <f aca="false">IF(K161="","",K161-IF(L161="",0,L161)+IF(M161="",0,M161)+IF(N161="",0,N161))</f>
        <v/>
      </c>
    </row>
    <row r="162" customFormat="false" ht="15.75" hidden="false" customHeight="true" outlineLevel="0" collapsed="false">
      <c r="A162" s="80"/>
      <c r="B162" s="78"/>
      <c r="C162" s="80"/>
      <c r="D162" s="80"/>
      <c r="E162" s="80"/>
      <c r="F162" s="80"/>
      <c r="G162" s="80"/>
      <c r="H162" s="81"/>
      <c r="I162" s="80"/>
      <c r="J162" s="82"/>
      <c r="K162" s="83" t="str">
        <f aca="false">IF(OR(H162="",J162=""),"",H162*J162)</f>
        <v/>
      </c>
      <c r="L162" s="88"/>
      <c r="M162" s="88"/>
      <c r="N162" s="88"/>
      <c r="O162" s="83" t="str">
        <f aca="false">IF(K162="","",K162-IF(L162="",0,L162)+IF(M162="",0,M162)+IF(N162="",0,N162))</f>
        <v/>
      </c>
    </row>
    <row r="163" customFormat="false" ht="15.75" hidden="false" customHeight="true" outlineLevel="0" collapsed="false">
      <c r="A163" s="72"/>
      <c r="B163" s="70"/>
      <c r="C163" s="72"/>
      <c r="D163" s="72"/>
      <c r="E163" s="72"/>
      <c r="F163" s="72"/>
      <c r="G163" s="72"/>
      <c r="H163" s="73"/>
      <c r="I163" s="72"/>
      <c r="J163" s="74"/>
      <c r="K163" s="75" t="str">
        <f aca="false">IF(OR(H163="",J163=""),"",H163*J163)</f>
        <v/>
      </c>
      <c r="L163" s="87"/>
      <c r="M163" s="87"/>
      <c r="N163" s="87"/>
      <c r="O163" s="75" t="str">
        <f aca="false">IF(K163="","",K163-IF(L163="",0,L163)+IF(M163="",0,M163)+IF(N163="",0,N163))</f>
        <v/>
      </c>
    </row>
    <row r="164" customFormat="false" ht="15.75" hidden="false" customHeight="true" outlineLevel="0" collapsed="false">
      <c r="A164" s="80"/>
      <c r="B164" s="78"/>
      <c r="C164" s="80"/>
      <c r="D164" s="80"/>
      <c r="E164" s="80"/>
      <c r="F164" s="80"/>
      <c r="G164" s="80"/>
      <c r="H164" s="81"/>
      <c r="I164" s="80"/>
      <c r="J164" s="82"/>
      <c r="K164" s="83" t="str">
        <f aca="false">IF(OR(H164="",J164=""),"",H164*J164)</f>
        <v/>
      </c>
      <c r="L164" s="88"/>
      <c r="M164" s="88"/>
      <c r="N164" s="88"/>
      <c r="O164" s="83" t="str">
        <f aca="false">IF(K164="","",K164-IF(L164="",0,L164)+IF(M164="",0,M164)+IF(N164="",0,N164))</f>
        <v/>
      </c>
    </row>
    <row r="165" customFormat="false" ht="15.75" hidden="false" customHeight="true" outlineLevel="0" collapsed="false">
      <c r="A165" s="72"/>
      <c r="B165" s="70"/>
      <c r="C165" s="72"/>
      <c r="D165" s="72"/>
      <c r="E165" s="72"/>
      <c r="F165" s="72"/>
      <c r="G165" s="72"/>
      <c r="H165" s="73"/>
      <c r="I165" s="72"/>
      <c r="J165" s="74"/>
      <c r="K165" s="75" t="str">
        <f aca="false">IF(OR(H165="",J165=""),"",H165*J165)</f>
        <v/>
      </c>
      <c r="L165" s="87"/>
      <c r="M165" s="87"/>
      <c r="N165" s="87"/>
      <c r="O165" s="75" t="str">
        <f aca="false">IF(K165="","",K165-IF(L165="",0,L165)+IF(M165="",0,M165)+IF(N165="",0,N165))</f>
        <v/>
      </c>
    </row>
    <row r="166" customFormat="false" ht="15.75" hidden="false" customHeight="true" outlineLevel="0" collapsed="false">
      <c r="A166" s="80"/>
      <c r="B166" s="78"/>
      <c r="C166" s="80"/>
      <c r="D166" s="80"/>
      <c r="E166" s="80"/>
      <c r="F166" s="80"/>
      <c r="G166" s="80"/>
      <c r="H166" s="81"/>
      <c r="I166" s="80"/>
      <c r="J166" s="82"/>
      <c r="K166" s="83" t="str">
        <f aca="false">IF(OR(H166="",J166=""),"",H166*J166)</f>
        <v/>
      </c>
      <c r="L166" s="88"/>
      <c r="M166" s="88"/>
      <c r="N166" s="88"/>
      <c r="O166" s="83" t="str">
        <f aca="false">IF(K166="","",K166-IF(L166="",0,L166)+IF(M166="",0,M166)+IF(N166="",0,N166))</f>
        <v/>
      </c>
    </row>
    <row r="167" customFormat="false" ht="15.75" hidden="false" customHeight="true" outlineLevel="0" collapsed="false">
      <c r="A167" s="72"/>
      <c r="B167" s="70"/>
      <c r="C167" s="72"/>
      <c r="D167" s="72"/>
      <c r="E167" s="72"/>
      <c r="F167" s="72"/>
      <c r="G167" s="72"/>
      <c r="H167" s="73"/>
      <c r="I167" s="72"/>
      <c r="J167" s="74"/>
      <c r="K167" s="75" t="str">
        <f aca="false">IF(OR(H167="",J167=""),"",H167*J167)</f>
        <v/>
      </c>
      <c r="L167" s="87"/>
      <c r="M167" s="87"/>
      <c r="N167" s="87"/>
      <c r="O167" s="75" t="str">
        <f aca="false">IF(K167="","",K167-IF(L167="",0,L167)+IF(M167="",0,M167)+IF(N167="",0,N167))</f>
        <v/>
      </c>
    </row>
    <row r="168" customFormat="false" ht="15.75" hidden="false" customHeight="true" outlineLevel="0" collapsed="false">
      <c r="A168" s="80"/>
      <c r="B168" s="78"/>
      <c r="C168" s="80"/>
      <c r="D168" s="80"/>
      <c r="E168" s="80"/>
      <c r="F168" s="80"/>
      <c r="G168" s="80"/>
      <c r="H168" s="81"/>
      <c r="I168" s="80"/>
      <c r="J168" s="82"/>
      <c r="K168" s="83" t="str">
        <f aca="false">IF(OR(H168="",J168=""),"",H168*J168)</f>
        <v/>
      </c>
      <c r="L168" s="88"/>
      <c r="M168" s="88"/>
      <c r="N168" s="88"/>
      <c r="O168" s="83" t="str">
        <f aca="false">IF(K168="","",K168-IF(L168="",0,L168)+IF(M168="",0,M168)+IF(N168="",0,N168))</f>
        <v/>
      </c>
    </row>
    <row r="169" customFormat="false" ht="15.75" hidden="false" customHeight="true" outlineLevel="0" collapsed="false">
      <c r="A169" s="72"/>
      <c r="B169" s="70"/>
      <c r="C169" s="72"/>
      <c r="D169" s="72"/>
      <c r="E169" s="72"/>
      <c r="F169" s="72"/>
      <c r="G169" s="72"/>
      <c r="H169" s="73"/>
      <c r="I169" s="72"/>
      <c r="J169" s="74"/>
      <c r="K169" s="75" t="str">
        <f aca="false">IF(OR(H169="",J169=""),"",H169*J169)</f>
        <v/>
      </c>
      <c r="L169" s="87"/>
      <c r="M169" s="87"/>
      <c r="N169" s="87"/>
      <c r="O169" s="75" t="str">
        <f aca="false">IF(K169="","",K169-IF(L169="",0,L169)+IF(M169="",0,M169)+IF(N169="",0,N169))</f>
        <v/>
      </c>
    </row>
    <row r="170" customFormat="false" ht="15.75" hidden="false" customHeight="true" outlineLevel="0" collapsed="false">
      <c r="A170" s="80"/>
      <c r="B170" s="78"/>
      <c r="C170" s="80"/>
      <c r="D170" s="80"/>
      <c r="E170" s="80"/>
      <c r="F170" s="80"/>
      <c r="G170" s="80"/>
      <c r="H170" s="81"/>
      <c r="I170" s="80"/>
      <c r="J170" s="82"/>
      <c r="K170" s="83" t="str">
        <f aca="false">IF(OR(H170="",J170=""),"",H170*J170)</f>
        <v/>
      </c>
      <c r="L170" s="88"/>
      <c r="M170" s="88"/>
      <c r="N170" s="88"/>
      <c r="O170" s="83" t="str">
        <f aca="false">IF(K170="","",K170-IF(L170="",0,L170)+IF(M170="",0,M170)+IF(N170="",0,N170))</f>
        <v/>
      </c>
    </row>
    <row r="171" customFormat="false" ht="15.75" hidden="false" customHeight="true" outlineLevel="0" collapsed="false">
      <c r="A171" s="72"/>
      <c r="B171" s="70"/>
      <c r="C171" s="72"/>
      <c r="D171" s="72"/>
      <c r="E171" s="72"/>
      <c r="F171" s="72"/>
      <c r="G171" s="72"/>
      <c r="H171" s="73"/>
      <c r="I171" s="72"/>
      <c r="J171" s="74"/>
      <c r="K171" s="75" t="str">
        <f aca="false">IF(OR(H171="",J171=""),"",H171*J171)</f>
        <v/>
      </c>
      <c r="L171" s="87"/>
      <c r="M171" s="87"/>
      <c r="N171" s="87"/>
      <c r="O171" s="75" t="str">
        <f aca="false">IF(K171="","",K171-IF(L171="",0,L171)+IF(M171="",0,M171)+IF(N171="",0,N171))</f>
        <v/>
      </c>
    </row>
    <row r="172" customFormat="false" ht="15.75" hidden="false" customHeight="true" outlineLevel="0" collapsed="false">
      <c r="A172" s="80"/>
      <c r="B172" s="78"/>
      <c r="C172" s="80"/>
      <c r="D172" s="80"/>
      <c r="E172" s="80"/>
      <c r="F172" s="80"/>
      <c r="G172" s="80"/>
      <c r="H172" s="81"/>
      <c r="I172" s="80"/>
      <c r="J172" s="82"/>
      <c r="K172" s="83" t="str">
        <f aca="false">IF(OR(H172="",J172=""),"",H172*J172)</f>
        <v/>
      </c>
      <c r="L172" s="88"/>
      <c r="M172" s="88"/>
      <c r="N172" s="88"/>
      <c r="O172" s="83" t="str">
        <f aca="false">IF(K172="","",K172-IF(L172="",0,L172)+IF(M172="",0,M172)+IF(N172="",0,N172))</f>
        <v/>
      </c>
    </row>
    <row r="173" customFormat="false" ht="15.75" hidden="false" customHeight="true" outlineLevel="0" collapsed="false">
      <c r="A173" s="72"/>
      <c r="B173" s="70"/>
      <c r="C173" s="72"/>
      <c r="D173" s="72"/>
      <c r="E173" s="72"/>
      <c r="F173" s="72"/>
      <c r="G173" s="72"/>
      <c r="H173" s="73"/>
      <c r="I173" s="72"/>
      <c r="J173" s="74"/>
      <c r="K173" s="75" t="str">
        <f aca="false">IF(OR(H173="",J173=""),"",H173*J173)</f>
        <v/>
      </c>
      <c r="L173" s="87"/>
      <c r="M173" s="87"/>
      <c r="N173" s="87"/>
      <c r="O173" s="75" t="str">
        <f aca="false">IF(K173="","",K173-IF(L173="",0,L173)+IF(M173="",0,M173)+IF(N173="",0,N173))</f>
        <v/>
      </c>
    </row>
    <row r="174" customFormat="false" ht="15.75" hidden="false" customHeight="true" outlineLevel="0" collapsed="false">
      <c r="A174" s="80"/>
      <c r="B174" s="78"/>
      <c r="C174" s="80"/>
      <c r="D174" s="80"/>
      <c r="E174" s="80"/>
      <c r="F174" s="80"/>
      <c r="G174" s="80"/>
      <c r="H174" s="81"/>
      <c r="I174" s="80"/>
      <c r="J174" s="82"/>
      <c r="K174" s="83" t="str">
        <f aca="false">IF(OR(H174="",J174=""),"",H174*J174)</f>
        <v/>
      </c>
      <c r="L174" s="88"/>
      <c r="M174" s="88"/>
      <c r="N174" s="88"/>
      <c r="O174" s="83" t="str">
        <f aca="false">IF(K174="","",K174-IF(L174="",0,L174)+IF(M174="",0,M174)+IF(N174="",0,N174))</f>
        <v/>
      </c>
    </row>
    <row r="175" customFormat="false" ht="15.75" hidden="false" customHeight="true" outlineLevel="0" collapsed="false">
      <c r="A175" s="72"/>
      <c r="B175" s="70"/>
      <c r="C175" s="72"/>
      <c r="D175" s="72"/>
      <c r="E175" s="72"/>
      <c r="F175" s="72"/>
      <c r="G175" s="72"/>
      <c r="H175" s="73"/>
      <c r="I175" s="72"/>
      <c r="J175" s="74"/>
      <c r="K175" s="75" t="str">
        <f aca="false">IF(OR(H175="",J175=""),"",H175*J175)</f>
        <v/>
      </c>
      <c r="L175" s="87"/>
      <c r="M175" s="87"/>
      <c r="N175" s="87"/>
      <c r="O175" s="75" t="str">
        <f aca="false">IF(K175="","",K175-IF(L175="",0,L175)+IF(M175="",0,M175)+IF(N175="",0,N175))</f>
        <v/>
      </c>
    </row>
    <row r="176" customFormat="false" ht="15.75" hidden="false" customHeight="true" outlineLevel="0" collapsed="false">
      <c r="A176" s="80"/>
      <c r="B176" s="78"/>
      <c r="C176" s="80"/>
      <c r="D176" s="80"/>
      <c r="E176" s="80"/>
      <c r="F176" s="80"/>
      <c r="G176" s="80"/>
      <c r="H176" s="81"/>
      <c r="I176" s="80"/>
      <c r="J176" s="82"/>
      <c r="K176" s="83" t="str">
        <f aca="false">IF(OR(H176="",J176=""),"",H176*J176)</f>
        <v/>
      </c>
      <c r="L176" s="88"/>
      <c r="M176" s="88"/>
      <c r="N176" s="88"/>
      <c r="O176" s="83" t="str">
        <f aca="false">IF(K176="","",K176-IF(L176="",0,L176)+IF(M176="",0,M176)+IF(N176="",0,N176))</f>
        <v/>
      </c>
    </row>
    <row r="177" customFormat="false" ht="15.75" hidden="false" customHeight="true" outlineLevel="0" collapsed="false">
      <c r="A177" s="72"/>
      <c r="B177" s="70"/>
      <c r="C177" s="72"/>
      <c r="D177" s="72"/>
      <c r="E177" s="72"/>
      <c r="F177" s="72"/>
      <c r="G177" s="72"/>
      <c r="H177" s="73"/>
      <c r="I177" s="72"/>
      <c r="J177" s="74"/>
      <c r="K177" s="75" t="str">
        <f aca="false">IF(OR(H177="",J177=""),"",H177*J177)</f>
        <v/>
      </c>
      <c r="L177" s="87"/>
      <c r="M177" s="87"/>
      <c r="N177" s="87"/>
      <c r="O177" s="75" t="str">
        <f aca="false">IF(K177="","",K177-IF(L177="",0,L177)+IF(M177="",0,M177)+IF(N177="",0,N177))</f>
        <v/>
      </c>
    </row>
    <row r="178" customFormat="false" ht="15.75" hidden="false" customHeight="true" outlineLevel="0" collapsed="false">
      <c r="A178" s="80"/>
      <c r="B178" s="78"/>
      <c r="C178" s="80"/>
      <c r="D178" s="80"/>
      <c r="E178" s="80"/>
      <c r="F178" s="80"/>
      <c r="G178" s="80"/>
      <c r="H178" s="81"/>
      <c r="I178" s="80"/>
      <c r="J178" s="82"/>
      <c r="K178" s="83" t="str">
        <f aca="false">IF(OR(H178="",J178=""),"",H178*J178)</f>
        <v/>
      </c>
      <c r="L178" s="88"/>
      <c r="M178" s="88"/>
      <c r="N178" s="88"/>
      <c r="O178" s="83" t="str">
        <f aca="false">IF(K178="","",K178-IF(L178="",0,L178)+IF(M178="",0,M178)+IF(N178="",0,N178))</f>
        <v/>
      </c>
    </row>
    <row r="179" customFormat="false" ht="15.75" hidden="false" customHeight="true" outlineLevel="0" collapsed="false">
      <c r="A179" s="72"/>
      <c r="B179" s="70"/>
      <c r="C179" s="72"/>
      <c r="D179" s="72"/>
      <c r="E179" s="72"/>
      <c r="F179" s="72"/>
      <c r="G179" s="72"/>
      <c r="H179" s="73"/>
      <c r="I179" s="72"/>
      <c r="J179" s="74"/>
      <c r="K179" s="75" t="str">
        <f aca="false">IF(OR(H179="",J179=""),"",H179*J179)</f>
        <v/>
      </c>
      <c r="L179" s="87"/>
      <c r="M179" s="87"/>
      <c r="N179" s="87"/>
      <c r="O179" s="75" t="str">
        <f aca="false">IF(K179="","",K179-IF(L179="",0,L179)+IF(M179="",0,M179)+IF(N179="",0,N179))</f>
        <v/>
      </c>
    </row>
    <row r="180" customFormat="false" ht="15.75" hidden="false" customHeight="true" outlineLevel="0" collapsed="false">
      <c r="A180" s="80"/>
      <c r="B180" s="78"/>
      <c r="C180" s="80"/>
      <c r="D180" s="80"/>
      <c r="E180" s="80"/>
      <c r="F180" s="80"/>
      <c r="G180" s="80"/>
      <c r="H180" s="81"/>
      <c r="I180" s="80"/>
      <c r="J180" s="82"/>
      <c r="K180" s="83" t="str">
        <f aca="false">IF(OR(H180="",J180=""),"",H180*J180)</f>
        <v/>
      </c>
      <c r="L180" s="88"/>
      <c r="M180" s="88"/>
      <c r="N180" s="88"/>
      <c r="O180" s="83" t="str">
        <f aca="false">IF(K180="","",K180-IF(L180="",0,L180)+IF(M180="",0,M180)+IF(N180="",0,N180))</f>
        <v/>
      </c>
    </row>
    <row r="181" customFormat="false" ht="15.75" hidden="false" customHeight="true" outlineLevel="0" collapsed="false">
      <c r="A181" s="72"/>
      <c r="B181" s="70"/>
      <c r="C181" s="72"/>
      <c r="D181" s="72"/>
      <c r="E181" s="72"/>
      <c r="F181" s="72"/>
      <c r="G181" s="72"/>
      <c r="H181" s="73"/>
      <c r="I181" s="72"/>
      <c r="J181" s="74"/>
      <c r="K181" s="75" t="str">
        <f aca="false">IF(OR(H181="",J181=""),"",H181*J181)</f>
        <v/>
      </c>
      <c r="L181" s="87"/>
      <c r="M181" s="87"/>
      <c r="N181" s="87"/>
      <c r="O181" s="75" t="str">
        <f aca="false">IF(K181="","",K181-IF(L181="",0,L181)+IF(M181="",0,M181)+IF(N181="",0,N181))</f>
        <v/>
      </c>
    </row>
    <row r="182" customFormat="false" ht="15.75" hidden="false" customHeight="true" outlineLevel="0" collapsed="false">
      <c r="A182" s="80"/>
      <c r="B182" s="78"/>
      <c r="C182" s="80"/>
      <c r="D182" s="80"/>
      <c r="E182" s="80"/>
      <c r="F182" s="80"/>
      <c r="G182" s="80"/>
      <c r="H182" s="81"/>
      <c r="I182" s="80"/>
      <c r="J182" s="82"/>
      <c r="K182" s="83" t="str">
        <f aca="false">IF(OR(H182="",J182=""),"",H182*J182)</f>
        <v/>
      </c>
      <c r="L182" s="88"/>
      <c r="M182" s="88"/>
      <c r="N182" s="88"/>
      <c r="O182" s="83" t="str">
        <f aca="false">IF(K182="","",K182-IF(L182="",0,L182)+IF(M182="",0,M182)+IF(N182="",0,N182))</f>
        <v/>
      </c>
    </row>
    <row r="183" customFormat="false" ht="15.75" hidden="false" customHeight="true" outlineLevel="0" collapsed="false">
      <c r="A183" s="72"/>
      <c r="B183" s="70"/>
      <c r="C183" s="72"/>
      <c r="D183" s="72"/>
      <c r="E183" s="72"/>
      <c r="F183" s="72"/>
      <c r="G183" s="72"/>
      <c r="H183" s="73"/>
      <c r="I183" s="72"/>
      <c r="J183" s="74"/>
      <c r="K183" s="75" t="str">
        <f aca="false">IF(OR(H183="",J183=""),"",H183*J183)</f>
        <v/>
      </c>
      <c r="L183" s="87"/>
      <c r="M183" s="87"/>
      <c r="N183" s="87"/>
      <c r="O183" s="75" t="str">
        <f aca="false">IF(K183="","",K183-IF(L183="",0,L183)+IF(M183="",0,M183)+IF(N183="",0,N183))</f>
        <v/>
      </c>
    </row>
    <row r="184" customFormat="false" ht="15.75" hidden="false" customHeight="true" outlineLevel="0" collapsed="false">
      <c r="A184" s="80"/>
      <c r="B184" s="78"/>
      <c r="C184" s="80"/>
      <c r="D184" s="80"/>
      <c r="E184" s="80"/>
      <c r="F184" s="80"/>
      <c r="G184" s="80"/>
      <c r="H184" s="81"/>
      <c r="I184" s="80"/>
      <c r="J184" s="82"/>
      <c r="K184" s="83" t="str">
        <f aca="false">IF(OR(H184="",J184=""),"",H184*J184)</f>
        <v/>
      </c>
      <c r="L184" s="88"/>
      <c r="M184" s="88"/>
      <c r="N184" s="88"/>
      <c r="O184" s="83" t="str">
        <f aca="false">IF(K184="","",K184-IF(L184="",0,L184)+IF(M184="",0,M184)+IF(N184="",0,N184))</f>
        <v/>
      </c>
    </row>
    <row r="185" customFormat="false" ht="15.75" hidden="false" customHeight="true" outlineLevel="0" collapsed="false">
      <c r="A185" s="72"/>
      <c r="B185" s="70"/>
      <c r="C185" s="72"/>
      <c r="D185" s="72"/>
      <c r="E185" s="72"/>
      <c r="F185" s="72"/>
      <c r="G185" s="72"/>
      <c r="H185" s="73"/>
      <c r="I185" s="72"/>
      <c r="J185" s="74"/>
      <c r="K185" s="75" t="str">
        <f aca="false">IF(OR(H185="",J185=""),"",H185*J185)</f>
        <v/>
      </c>
      <c r="L185" s="87"/>
      <c r="M185" s="87"/>
      <c r="N185" s="87"/>
      <c r="O185" s="75" t="str">
        <f aca="false">IF(K185="","",K185-IF(L185="",0,L185)+IF(M185="",0,M185)+IF(N185="",0,N185))</f>
        <v/>
      </c>
    </row>
    <row r="186" customFormat="false" ht="15.75" hidden="false" customHeight="true" outlineLevel="0" collapsed="false">
      <c r="A186" s="80"/>
      <c r="B186" s="78"/>
      <c r="C186" s="80"/>
      <c r="D186" s="80"/>
      <c r="E186" s="80"/>
      <c r="F186" s="80"/>
      <c r="G186" s="80"/>
      <c r="H186" s="81"/>
      <c r="I186" s="80"/>
      <c r="J186" s="82"/>
      <c r="K186" s="83" t="str">
        <f aca="false">IF(OR(H186="",J186=""),"",H186*J186)</f>
        <v/>
      </c>
      <c r="L186" s="88"/>
      <c r="M186" s="88"/>
      <c r="N186" s="88"/>
      <c r="O186" s="83" t="str">
        <f aca="false">IF(K186="","",K186-IF(L186="",0,L186)+IF(M186="",0,M186)+IF(N186="",0,N186))</f>
        <v/>
      </c>
    </row>
    <row r="187" customFormat="false" ht="15.75" hidden="false" customHeight="true" outlineLevel="0" collapsed="false">
      <c r="A187" s="72"/>
      <c r="B187" s="70"/>
      <c r="C187" s="72"/>
      <c r="D187" s="72"/>
      <c r="E187" s="72"/>
      <c r="F187" s="72"/>
      <c r="G187" s="72"/>
      <c r="H187" s="73"/>
      <c r="I187" s="72"/>
      <c r="J187" s="74"/>
      <c r="K187" s="75" t="str">
        <f aca="false">IF(OR(H187="",J187=""),"",H187*J187)</f>
        <v/>
      </c>
      <c r="L187" s="87"/>
      <c r="M187" s="87"/>
      <c r="N187" s="87"/>
      <c r="O187" s="75" t="str">
        <f aca="false">IF(K187="","",K187-IF(L187="",0,L187)+IF(M187="",0,M187)+IF(N187="",0,N187))</f>
        <v/>
      </c>
    </row>
    <row r="188" customFormat="false" ht="15.75" hidden="false" customHeight="true" outlineLevel="0" collapsed="false">
      <c r="A188" s="80"/>
      <c r="B188" s="78"/>
      <c r="C188" s="80"/>
      <c r="D188" s="80"/>
      <c r="E188" s="80"/>
      <c r="F188" s="80"/>
      <c r="G188" s="80"/>
      <c r="H188" s="81"/>
      <c r="I188" s="80"/>
      <c r="J188" s="82"/>
      <c r="K188" s="83" t="str">
        <f aca="false">IF(OR(H188="",J188=""),"",H188*J188)</f>
        <v/>
      </c>
      <c r="L188" s="88"/>
      <c r="M188" s="88"/>
      <c r="N188" s="88"/>
      <c r="O188" s="83" t="str">
        <f aca="false">IF(K188="","",K188-IF(L188="",0,L188)+IF(M188="",0,M188)+IF(N188="",0,N188))</f>
        <v/>
      </c>
    </row>
    <row r="189" customFormat="false" ht="15.75" hidden="false" customHeight="true" outlineLevel="0" collapsed="false">
      <c r="A189" s="72"/>
      <c r="B189" s="70"/>
      <c r="C189" s="72"/>
      <c r="D189" s="72"/>
      <c r="E189" s="72"/>
      <c r="F189" s="72"/>
      <c r="G189" s="72"/>
      <c r="H189" s="73"/>
      <c r="I189" s="72"/>
      <c r="J189" s="74"/>
      <c r="K189" s="75" t="str">
        <f aca="false">IF(OR(H189="",J189=""),"",H189*J189)</f>
        <v/>
      </c>
      <c r="L189" s="87"/>
      <c r="M189" s="87"/>
      <c r="N189" s="87"/>
      <c r="O189" s="75" t="str">
        <f aca="false">IF(K189="","",K189-IF(L189="",0,L189)+IF(M189="",0,M189)+IF(N189="",0,N189))</f>
        <v/>
      </c>
    </row>
    <row r="190" customFormat="false" ht="15.75" hidden="false" customHeight="true" outlineLevel="0" collapsed="false">
      <c r="A190" s="80"/>
      <c r="B190" s="78"/>
      <c r="C190" s="80"/>
      <c r="D190" s="80"/>
      <c r="E190" s="80"/>
      <c r="F190" s="80"/>
      <c r="G190" s="80"/>
      <c r="H190" s="81"/>
      <c r="I190" s="80"/>
      <c r="J190" s="82"/>
      <c r="K190" s="83" t="str">
        <f aca="false">IF(OR(H190="",J190=""),"",H190*J190)</f>
        <v/>
      </c>
      <c r="L190" s="88"/>
      <c r="M190" s="88"/>
      <c r="N190" s="88"/>
      <c r="O190" s="83" t="str">
        <f aca="false">IF(K190="","",K190-IF(L190="",0,L190)+IF(M190="",0,M190)+IF(N190="",0,N190))</f>
        <v/>
      </c>
    </row>
    <row r="191" customFormat="false" ht="15.75" hidden="false" customHeight="true" outlineLevel="0" collapsed="false">
      <c r="A191" s="72"/>
      <c r="B191" s="70"/>
      <c r="C191" s="72"/>
      <c r="D191" s="72"/>
      <c r="E191" s="72"/>
      <c r="F191" s="72"/>
      <c r="G191" s="72"/>
      <c r="H191" s="73"/>
      <c r="I191" s="72"/>
      <c r="J191" s="74"/>
      <c r="K191" s="75" t="str">
        <f aca="false">IF(OR(H191="",J191=""),"",H191*J191)</f>
        <v/>
      </c>
      <c r="L191" s="87"/>
      <c r="M191" s="87"/>
      <c r="N191" s="87"/>
      <c r="O191" s="75" t="str">
        <f aca="false">IF(K191="","",K191-IF(L191="",0,L191)+IF(M191="",0,M191)+IF(N191="",0,N191))</f>
        <v/>
      </c>
    </row>
    <row r="192" customFormat="false" ht="15.75" hidden="false" customHeight="true" outlineLevel="0" collapsed="false">
      <c r="A192" s="80"/>
      <c r="B192" s="78"/>
      <c r="C192" s="80"/>
      <c r="D192" s="80"/>
      <c r="E192" s="80"/>
      <c r="F192" s="80"/>
      <c r="G192" s="80"/>
      <c r="H192" s="81"/>
      <c r="I192" s="80"/>
      <c r="J192" s="82"/>
      <c r="K192" s="83" t="str">
        <f aca="false">IF(OR(H192="",J192=""),"",H192*J192)</f>
        <v/>
      </c>
      <c r="L192" s="88"/>
      <c r="M192" s="88"/>
      <c r="N192" s="88"/>
      <c r="O192" s="83" t="str">
        <f aca="false">IF(K192="","",K192-IF(L192="",0,L192)+IF(M192="",0,M192)+IF(N192="",0,N192))</f>
        <v/>
      </c>
    </row>
    <row r="193" customFormat="false" ht="15.75" hidden="false" customHeight="true" outlineLevel="0" collapsed="false">
      <c r="A193" s="72"/>
      <c r="B193" s="70"/>
      <c r="C193" s="72"/>
      <c r="D193" s="72"/>
      <c r="E193" s="72"/>
      <c r="F193" s="72"/>
      <c r="G193" s="72"/>
      <c r="H193" s="73"/>
      <c r="I193" s="72"/>
      <c r="J193" s="74"/>
      <c r="K193" s="75" t="str">
        <f aca="false">IF(OR(H193="",J193=""),"",H193*J193)</f>
        <v/>
      </c>
      <c r="L193" s="87"/>
      <c r="M193" s="87"/>
      <c r="N193" s="87"/>
      <c r="O193" s="75" t="str">
        <f aca="false">IF(K193="","",K193-IF(L193="",0,L193)+IF(M193="",0,M193)+IF(N193="",0,N193))</f>
        <v/>
      </c>
    </row>
    <row r="194" customFormat="false" ht="15.75" hidden="false" customHeight="true" outlineLevel="0" collapsed="false">
      <c r="A194" s="80"/>
      <c r="B194" s="78"/>
      <c r="C194" s="80"/>
      <c r="D194" s="80"/>
      <c r="E194" s="80"/>
      <c r="F194" s="80"/>
      <c r="G194" s="80"/>
      <c r="H194" s="81"/>
      <c r="I194" s="80"/>
      <c r="J194" s="82"/>
      <c r="K194" s="83" t="str">
        <f aca="false">IF(OR(H194="",J194=""),"",H194*J194)</f>
        <v/>
      </c>
      <c r="L194" s="88"/>
      <c r="M194" s="88"/>
      <c r="N194" s="88"/>
      <c r="O194" s="83" t="str">
        <f aca="false">IF(K194="","",K194-IF(L194="",0,L194)+IF(M194="",0,M194)+IF(N194="",0,N194))</f>
        <v/>
      </c>
    </row>
    <row r="195" customFormat="false" ht="15.75" hidden="false" customHeight="true" outlineLevel="0" collapsed="false">
      <c r="A195" s="72"/>
      <c r="B195" s="70"/>
      <c r="C195" s="72"/>
      <c r="D195" s="72"/>
      <c r="E195" s="72"/>
      <c r="F195" s="72"/>
      <c r="G195" s="72"/>
      <c r="H195" s="73"/>
      <c r="I195" s="72"/>
      <c r="J195" s="74"/>
      <c r="K195" s="75" t="str">
        <f aca="false">IF(OR(H195="",J195=""),"",H195*J195)</f>
        <v/>
      </c>
      <c r="L195" s="87"/>
      <c r="M195" s="87"/>
      <c r="N195" s="87"/>
      <c r="O195" s="75" t="str">
        <f aca="false">IF(K195="","",K195-IF(L195="",0,L195)+IF(M195="",0,M195)+IF(N195="",0,N195))</f>
        <v/>
      </c>
    </row>
    <row r="196" customFormat="false" ht="15.75" hidden="false" customHeight="true" outlineLevel="0" collapsed="false">
      <c r="A196" s="80"/>
      <c r="B196" s="78"/>
      <c r="C196" s="80"/>
      <c r="D196" s="80"/>
      <c r="E196" s="80"/>
      <c r="F196" s="80"/>
      <c r="G196" s="80"/>
      <c r="H196" s="81"/>
      <c r="I196" s="80"/>
      <c r="J196" s="82"/>
      <c r="K196" s="83" t="str">
        <f aca="false">IF(OR(H196="",J196=""),"",H196*J196)</f>
        <v/>
      </c>
      <c r="L196" s="88"/>
      <c r="M196" s="88"/>
      <c r="N196" s="88"/>
      <c r="O196" s="83" t="str">
        <f aca="false">IF(K196="","",K196-IF(L196="",0,L196)+IF(M196="",0,M196)+IF(N196="",0,N196))</f>
        <v/>
      </c>
    </row>
    <row r="197" customFormat="false" ht="15.75" hidden="false" customHeight="true" outlineLevel="0" collapsed="false">
      <c r="A197" s="72"/>
      <c r="B197" s="70"/>
      <c r="C197" s="72"/>
      <c r="D197" s="72"/>
      <c r="E197" s="72"/>
      <c r="F197" s="72"/>
      <c r="G197" s="72"/>
      <c r="H197" s="73"/>
      <c r="I197" s="72"/>
      <c r="J197" s="74"/>
      <c r="K197" s="75" t="str">
        <f aca="false">IF(OR(H197="",J197=""),"",H197*J197)</f>
        <v/>
      </c>
      <c r="L197" s="87"/>
      <c r="M197" s="87"/>
      <c r="N197" s="87"/>
      <c r="O197" s="75" t="str">
        <f aca="false">IF(K197="","",K197-IF(L197="",0,L197)+IF(M197="",0,M197)+IF(N197="",0,N197))</f>
        <v/>
      </c>
    </row>
    <row r="198" customFormat="false" ht="15.75" hidden="false" customHeight="true" outlineLevel="0" collapsed="false">
      <c r="A198" s="80"/>
      <c r="B198" s="78"/>
      <c r="C198" s="80"/>
      <c r="D198" s="80"/>
      <c r="E198" s="80"/>
      <c r="F198" s="80"/>
      <c r="G198" s="80"/>
      <c r="H198" s="81"/>
      <c r="I198" s="80"/>
      <c r="J198" s="82"/>
      <c r="K198" s="83" t="str">
        <f aca="false">IF(OR(H198="",J198=""),"",H198*J198)</f>
        <v/>
      </c>
      <c r="L198" s="88"/>
      <c r="M198" s="88"/>
      <c r="N198" s="88"/>
      <c r="O198" s="83" t="str">
        <f aca="false">IF(K198="","",K198-IF(L198="",0,L198)+IF(M198="",0,M198)+IF(N198="",0,N198))</f>
        <v/>
      </c>
    </row>
    <row r="199" customFormat="false" ht="15.75" hidden="false" customHeight="true" outlineLevel="0" collapsed="false">
      <c r="A199" s="72"/>
      <c r="B199" s="70"/>
      <c r="C199" s="72"/>
      <c r="D199" s="72"/>
      <c r="E199" s="72"/>
      <c r="F199" s="72"/>
      <c r="G199" s="72"/>
      <c r="H199" s="73"/>
      <c r="I199" s="72"/>
      <c r="J199" s="74"/>
      <c r="K199" s="75" t="str">
        <f aca="false">IF(OR(H199="",J199=""),"",H199*J199)</f>
        <v/>
      </c>
      <c r="L199" s="87"/>
      <c r="M199" s="87"/>
      <c r="N199" s="87"/>
      <c r="O199" s="75" t="str">
        <f aca="false">IF(K199="","",K199-IF(L199="",0,L199)+IF(M199="",0,M199)+IF(N199="",0,N199))</f>
        <v/>
      </c>
    </row>
    <row r="200" customFormat="false" ht="15.75" hidden="false" customHeight="true" outlineLevel="0" collapsed="false">
      <c r="A200" s="80"/>
      <c r="B200" s="78"/>
      <c r="C200" s="80"/>
      <c r="D200" s="80"/>
      <c r="E200" s="80"/>
      <c r="F200" s="80"/>
      <c r="G200" s="80"/>
      <c r="H200" s="81"/>
      <c r="I200" s="80"/>
      <c r="J200" s="82"/>
      <c r="K200" s="83" t="str">
        <f aca="false">IF(OR(H200="",J200=""),"",H200*J200)</f>
        <v/>
      </c>
      <c r="L200" s="88"/>
      <c r="M200" s="88"/>
      <c r="N200" s="88"/>
      <c r="O200" s="83" t="str">
        <f aca="false">IF(K200="","",K200-IF(L200="",0,L200)+IF(M200="",0,M200)+IF(N200="",0,N200))</f>
        <v/>
      </c>
    </row>
    <row r="201" customFormat="false" ht="15.75" hidden="false" customHeight="true" outlineLevel="0" collapsed="false">
      <c r="A201" s="72"/>
      <c r="B201" s="70"/>
      <c r="C201" s="72"/>
      <c r="D201" s="72"/>
      <c r="E201" s="72"/>
      <c r="F201" s="72"/>
      <c r="G201" s="72"/>
      <c r="H201" s="73"/>
      <c r="I201" s="72"/>
      <c r="J201" s="74"/>
      <c r="K201" s="75" t="str">
        <f aca="false">IF(OR(H201="",J201=""),"",H201*J201)</f>
        <v/>
      </c>
      <c r="L201" s="87"/>
      <c r="M201" s="87"/>
      <c r="N201" s="87"/>
      <c r="O201" s="75" t="str">
        <f aca="false">IF(K201="","",K201-IF(L201="",0,L201)+IF(M201="",0,M201)+IF(N201="",0,N201))</f>
        <v/>
      </c>
    </row>
    <row r="202" customFormat="false" ht="15.75" hidden="false" customHeight="true" outlineLevel="0" collapsed="false">
      <c r="A202" s="80"/>
      <c r="B202" s="78"/>
      <c r="C202" s="80"/>
      <c r="D202" s="80"/>
      <c r="E202" s="80"/>
      <c r="F202" s="80"/>
      <c r="G202" s="80"/>
      <c r="H202" s="81"/>
      <c r="I202" s="80"/>
      <c r="J202" s="82"/>
      <c r="K202" s="83" t="str">
        <f aca="false">IF(OR(H202="",J202=""),"",H202*J202)</f>
        <v/>
      </c>
      <c r="L202" s="88"/>
      <c r="M202" s="88"/>
      <c r="N202" s="88"/>
      <c r="O202" s="83" t="str">
        <f aca="false">IF(K202="","",K202-IF(L202="",0,L202)+IF(M202="",0,M202)+IF(N202="",0,N202))</f>
        <v/>
      </c>
    </row>
    <row r="203" customFormat="false" ht="15.75" hidden="false" customHeight="true" outlineLevel="0" collapsed="false">
      <c r="A203" s="72"/>
      <c r="B203" s="70"/>
      <c r="C203" s="72"/>
      <c r="D203" s="72"/>
      <c r="E203" s="72"/>
      <c r="F203" s="72"/>
      <c r="G203" s="72"/>
      <c r="H203" s="73"/>
      <c r="I203" s="72"/>
      <c r="J203" s="74"/>
      <c r="K203" s="75" t="str">
        <f aca="false">IF(OR(H203="",J203=""),"",H203*J203)</f>
        <v/>
      </c>
      <c r="L203" s="87"/>
      <c r="M203" s="87"/>
      <c r="N203" s="87"/>
      <c r="O203" s="75" t="str">
        <f aca="false">IF(K203="","",K203-IF(L203="",0,L203)+IF(M203="",0,M203)+IF(N203="",0,N203))</f>
        <v/>
      </c>
    </row>
    <row r="204" customFormat="false" ht="15.75" hidden="false" customHeight="true" outlineLevel="0" collapsed="false">
      <c r="A204" s="80"/>
      <c r="B204" s="78"/>
      <c r="C204" s="80"/>
      <c r="D204" s="80"/>
      <c r="E204" s="80"/>
      <c r="F204" s="80"/>
      <c r="G204" s="80"/>
      <c r="H204" s="81"/>
      <c r="I204" s="80"/>
      <c r="J204" s="82"/>
      <c r="K204" s="83" t="str">
        <f aca="false">IF(OR(H204="",J204=""),"",H204*J204)</f>
        <v/>
      </c>
      <c r="L204" s="88"/>
      <c r="M204" s="88"/>
      <c r="N204" s="88"/>
      <c r="O204" s="83" t="str">
        <f aca="false">IF(K204="","",K204-IF(L204="",0,L204)+IF(M204="",0,M204)+IF(N204="",0,N204))</f>
        <v/>
      </c>
    </row>
    <row r="205" customFormat="false" ht="15.75" hidden="false" customHeight="true" outlineLevel="0" collapsed="false">
      <c r="A205" s="72"/>
      <c r="B205" s="70"/>
      <c r="C205" s="72"/>
      <c r="D205" s="72"/>
      <c r="E205" s="72"/>
      <c r="F205" s="72"/>
      <c r="G205" s="72"/>
      <c r="H205" s="73"/>
      <c r="I205" s="72"/>
      <c r="J205" s="74"/>
      <c r="K205" s="75" t="str">
        <f aca="false">IF(OR(H205="",J205=""),"",H205*J205)</f>
        <v/>
      </c>
      <c r="L205" s="87"/>
      <c r="M205" s="87"/>
      <c r="N205" s="87"/>
      <c r="O205" s="75" t="str">
        <f aca="false">IF(K205="","",K205-IF(L205="",0,L205)+IF(M205="",0,M205)+IF(N205="",0,N205))</f>
        <v/>
      </c>
    </row>
    <row r="206" customFormat="false" ht="15.75" hidden="false" customHeight="true" outlineLevel="0" collapsed="false">
      <c r="A206" s="80"/>
      <c r="B206" s="78"/>
      <c r="C206" s="80"/>
      <c r="D206" s="80"/>
      <c r="E206" s="80"/>
      <c r="F206" s="80"/>
      <c r="G206" s="80"/>
      <c r="H206" s="81"/>
      <c r="I206" s="80"/>
      <c r="J206" s="82"/>
      <c r="K206" s="83" t="str">
        <f aca="false">IF(OR(H206="",J206=""),"",H206*J206)</f>
        <v/>
      </c>
      <c r="L206" s="88"/>
      <c r="M206" s="88"/>
      <c r="N206" s="88"/>
      <c r="O206" s="83" t="str">
        <f aca="false">IF(K206="","",K206-IF(L206="",0,L206)+IF(M206="",0,M206)+IF(N206="",0,N206))</f>
        <v/>
      </c>
    </row>
    <row r="207" customFormat="false" ht="15.75" hidden="false" customHeight="true" outlineLevel="0" collapsed="false">
      <c r="A207" s="72"/>
      <c r="B207" s="70"/>
      <c r="C207" s="72"/>
      <c r="D207" s="72"/>
      <c r="E207" s="72"/>
      <c r="F207" s="72"/>
      <c r="G207" s="72"/>
      <c r="H207" s="73"/>
      <c r="I207" s="72"/>
      <c r="J207" s="74"/>
      <c r="K207" s="75" t="str">
        <f aca="false">IF(OR(H207="",J207=""),"",H207*J207)</f>
        <v/>
      </c>
      <c r="L207" s="87"/>
      <c r="M207" s="87"/>
      <c r="N207" s="87"/>
      <c r="O207" s="75" t="str">
        <f aca="false">IF(K207="","",K207-IF(L207="",0,L207)+IF(M207="",0,M207)+IF(N207="",0,N207))</f>
        <v/>
      </c>
    </row>
    <row r="208" customFormat="false" ht="15.75" hidden="false" customHeight="true" outlineLevel="0" collapsed="false">
      <c r="A208" s="80"/>
      <c r="B208" s="78"/>
      <c r="C208" s="80"/>
      <c r="D208" s="80"/>
      <c r="E208" s="80"/>
      <c r="F208" s="80"/>
      <c r="G208" s="80"/>
      <c r="H208" s="81"/>
      <c r="I208" s="80"/>
      <c r="J208" s="82"/>
      <c r="K208" s="83" t="str">
        <f aca="false">IF(OR(H208="",J208=""),"",H208*J208)</f>
        <v/>
      </c>
      <c r="L208" s="88"/>
      <c r="M208" s="88"/>
      <c r="N208" s="88"/>
      <c r="O208" s="83" t="str">
        <f aca="false">IF(K208="","",K208-IF(L208="",0,L208)+IF(M208="",0,M208)+IF(N208="",0,N208))</f>
        <v/>
      </c>
    </row>
    <row r="209" customFormat="false" ht="15.75" hidden="false" customHeight="true" outlineLevel="0" collapsed="false">
      <c r="A209" s="72"/>
      <c r="B209" s="70"/>
      <c r="C209" s="72"/>
      <c r="D209" s="72"/>
      <c r="E209" s="72"/>
      <c r="F209" s="72"/>
      <c r="G209" s="72"/>
      <c r="H209" s="73"/>
      <c r="I209" s="72"/>
      <c r="J209" s="74"/>
      <c r="K209" s="75" t="str">
        <f aca="false">IF(OR(H209="",J209=""),"",H209*J209)</f>
        <v/>
      </c>
      <c r="L209" s="87"/>
      <c r="M209" s="87"/>
      <c r="N209" s="87"/>
      <c r="O209" s="75" t="str">
        <f aca="false">IF(K209="","",K209-IF(L209="",0,L209)+IF(M209="",0,M209)+IF(N209="",0,N209))</f>
        <v/>
      </c>
    </row>
    <row r="210" customFormat="false" ht="15.75" hidden="false" customHeight="true" outlineLevel="0" collapsed="false">
      <c r="A210" s="80"/>
      <c r="B210" s="78"/>
      <c r="C210" s="80"/>
      <c r="D210" s="80"/>
      <c r="E210" s="80"/>
      <c r="F210" s="80"/>
      <c r="G210" s="80"/>
      <c r="H210" s="81"/>
      <c r="I210" s="80"/>
      <c r="J210" s="82"/>
      <c r="K210" s="83" t="str">
        <f aca="false">IF(OR(H210="",J210=""),"",H210*J210)</f>
        <v/>
      </c>
      <c r="L210" s="88"/>
      <c r="M210" s="88"/>
      <c r="N210" s="88"/>
      <c r="O210" s="83" t="str">
        <f aca="false">IF(K210="","",K210-IF(L210="",0,L210)+IF(M210="",0,M210)+IF(N210="",0,N210))</f>
        <v/>
      </c>
    </row>
    <row r="211" customFormat="false" ht="15.75" hidden="false" customHeight="true" outlineLevel="0" collapsed="false">
      <c r="A211" s="72"/>
      <c r="B211" s="70"/>
      <c r="C211" s="72"/>
      <c r="D211" s="72"/>
      <c r="E211" s="72"/>
      <c r="F211" s="72"/>
      <c r="G211" s="72"/>
      <c r="H211" s="73"/>
      <c r="I211" s="72"/>
      <c r="J211" s="74"/>
      <c r="K211" s="75" t="str">
        <f aca="false">IF(OR(H211="",J211=""),"",H211*J211)</f>
        <v/>
      </c>
      <c r="L211" s="87"/>
      <c r="M211" s="87"/>
      <c r="N211" s="87"/>
      <c r="O211" s="75" t="str">
        <f aca="false">IF(K211="","",K211-IF(L211="",0,L211)+IF(M211="",0,M211)+IF(N211="",0,N211))</f>
        <v/>
      </c>
    </row>
    <row r="212" customFormat="false" ht="15.75" hidden="false" customHeight="true" outlineLevel="0" collapsed="false">
      <c r="A212" s="80"/>
      <c r="B212" s="78"/>
      <c r="C212" s="80"/>
      <c r="D212" s="80"/>
      <c r="E212" s="80"/>
      <c r="F212" s="80"/>
      <c r="G212" s="80"/>
      <c r="H212" s="81"/>
      <c r="I212" s="80"/>
      <c r="J212" s="82"/>
      <c r="K212" s="83" t="str">
        <f aca="false">IF(OR(H212="",J212=""),"",H212*J212)</f>
        <v/>
      </c>
      <c r="L212" s="88"/>
      <c r="M212" s="88"/>
      <c r="N212" s="88"/>
      <c r="O212" s="83" t="str">
        <f aca="false">IF(K212="","",K212-IF(L212="",0,L212)+IF(M212="",0,M212)+IF(N212="",0,N212))</f>
        <v/>
      </c>
    </row>
    <row r="213" customFormat="false" ht="15.75" hidden="false" customHeight="true" outlineLevel="0" collapsed="false">
      <c r="A213" s="72"/>
      <c r="B213" s="70"/>
      <c r="C213" s="72"/>
      <c r="D213" s="72"/>
      <c r="E213" s="72"/>
      <c r="F213" s="72"/>
      <c r="G213" s="72"/>
      <c r="H213" s="73"/>
      <c r="I213" s="72"/>
      <c r="J213" s="74"/>
      <c r="K213" s="75" t="str">
        <f aca="false">IF(OR(H213="",J213=""),"",H213*J213)</f>
        <v/>
      </c>
      <c r="L213" s="87"/>
      <c r="M213" s="87"/>
      <c r="N213" s="87"/>
      <c r="O213" s="75" t="str">
        <f aca="false">IF(K213="","",K213-IF(L213="",0,L213)+IF(M213="",0,M213)+IF(N213="",0,N213))</f>
        <v/>
      </c>
    </row>
    <row r="214" customFormat="false" ht="15.75" hidden="false" customHeight="true" outlineLevel="0" collapsed="false">
      <c r="A214" s="80"/>
      <c r="B214" s="78"/>
      <c r="C214" s="80"/>
      <c r="D214" s="80"/>
      <c r="E214" s="80"/>
      <c r="F214" s="80"/>
      <c r="G214" s="80"/>
      <c r="H214" s="81"/>
      <c r="I214" s="80"/>
      <c r="J214" s="82"/>
      <c r="K214" s="83" t="str">
        <f aca="false">IF(OR(H214="",J214=""),"",H214*J214)</f>
        <v/>
      </c>
      <c r="L214" s="88"/>
      <c r="M214" s="88"/>
      <c r="N214" s="88"/>
      <c r="O214" s="83" t="str">
        <f aca="false">IF(K214="","",K214-IF(L214="",0,L214)+IF(M214="",0,M214)+IF(N214="",0,N214))</f>
        <v/>
      </c>
    </row>
    <row r="215" customFormat="false" ht="15.75" hidden="false" customHeight="true" outlineLevel="0" collapsed="false">
      <c r="A215" s="72"/>
      <c r="B215" s="70"/>
      <c r="C215" s="72"/>
      <c r="D215" s="72"/>
      <c r="E215" s="72"/>
      <c r="F215" s="72"/>
      <c r="G215" s="72"/>
      <c r="H215" s="73"/>
      <c r="I215" s="72"/>
      <c r="J215" s="74"/>
      <c r="K215" s="75" t="str">
        <f aca="false">IF(OR(H215="",J215=""),"",H215*J215)</f>
        <v/>
      </c>
      <c r="L215" s="87"/>
      <c r="M215" s="87"/>
      <c r="N215" s="87"/>
      <c r="O215" s="75" t="str">
        <f aca="false">IF(K215="","",K215-IF(L215="",0,L215)+IF(M215="",0,M215)+IF(N215="",0,N215))</f>
        <v/>
      </c>
    </row>
    <row r="216" customFormat="false" ht="15.75" hidden="false" customHeight="true" outlineLevel="0" collapsed="false">
      <c r="A216" s="80"/>
      <c r="B216" s="78"/>
      <c r="C216" s="80"/>
      <c r="D216" s="80"/>
      <c r="E216" s="80"/>
      <c r="F216" s="80"/>
      <c r="G216" s="80"/>
      <c r="H216" s="81"/>
      <c r="I216" s="80"/>
      <c r="J216" s="82"/>
      <c r="K216" s="83" t="str">
        <f aca="false">IF(OR(H216="",J216=""),"",H216*J216)</f>
        <v/>
      </c>
      <c r="L216" s="88"/>
      <c r="M216" s="88"/>
      <c r="N216" s="88"/>
      <c r="O216" s="83" t="str">
        <f aca="false">IF(K216="","",K216-IF(L216="",0,L216)+IF(M216="",0,M216)+IF(N216="",0,N216))</f>
        <v/>
      </c>
    </row>
    <row r="217" customFormat="false" ht="15.75" hidden="false" customHeight="true" outlineLevel="0" collapsed="false">
      <c r="A217" s="72"/>
      <c r="B217" s="70"/>
      <c r="C217" s="72"/>
      <c r="D217" s="72"/>
      <c r="E217" s="72"/>
      <c r="F217" s="72"/>
      <c r="G217" s="72"/>
      <c r="H217" s="73"/>
      <c r="I217" s="72"/>
      <c r="J217" s="74"/>
      <c r="K217" s="75" t="str">
        <f aca="false">IF(OR(H217="",J217=""),"",H217*J217)</f>
        <v/>
      </c>
      <c r="L217" s="87"/>
      <c r="M217" s="87"/>
      <c r="N217" s="87"/>
      <c r="O217" s="75" t="str">
        <f aca="false">IF(K217="","",K217-IF(L217="",0,L217)+IF(M217="",0,M217)+IF(N217="",0,N217))</f>
        <v/>
      </c>
    </row>
    <row r="218" customFormat="false" ht="15.75" hidden="false" customHeight="true" outlineLevel="0" collapsed="false">
      <c r="A218" s="80"/>
      <c r="B218" s="78"/>
      <c r="C218" s="80"/>
      <c r="D218" s="80"/>
      <c r="E218" s="80"/>
      <c r="F218" s="80"/>
      <c r="G218" s="80"/>
      <c r="H218" s="81"/>
      <c r="I218" s="80"/>
      <c r="J218" s="82"/>
      <c r="K218" s="83" t="str">
        <f aca="false">IF(OR(H218="",J218=""),"",H218*J218)</f>
        <v/>
      </c>
      <c r="L218" s="88"/>
      <c r="M218" s="88"/>
      <c r="N218" s="88"/>
      <c r="O218" s="83" t="str">
        <f aca="false">IF(K218="","",K218-IF(L218="",0,L218)+IF(M218="",0,M218)+IF(N218="",0,N218))</f>
        <v/>
      </c>
    </row>
    <row r="219" customFormat="false" ht="15.75" hidden="false" customHeight="true" outlineLevel="0" collapsed="false">
      <c r="A219" s="72"/>
      <c r="B219" s="70"/>
      <c r="C219" s="72"/>
      <c r="D219" s="72"/>
      <c r="E219" s="72"/>
      <c r="F219" s="72"/>
      <c r="G219" s="72"/>
      <c r="H219" s="73"/>
      <c r="I219" s="72"/>
      <c r="J219" s="74"/>
      <c r="K219" s="75" t="str">
        <f aca="false">IF(OR(H219="",J219=""),"",H219*J219)</f>
        <v/>
      </c>
      <c r="L219" s="87"/>
      <c r="M219" s="87"/>
      <c r="N219" s="87"/>
      <c r="O219" s="75" t="str">
        <f aca="false">IF(K219="","",K219-IF(L219="",0,L219)+IF(M219="",0,M219)+IF(N219="",0,N219))</f>
        <v/>
      </c>
    </row>
    <row r="220" customFormat="false" ht="15.75" hidden="false" customHeight="true" outlineLevel="0" collapsed="false">
      <c r="A220" s="80"/>
      <c r="B220" s="78"/>
      <c r="C220" s="80"/>
      <c r="D220" s="80"/>
      <c r="E220" s="80"/>
      <c r="F220" s="80"/>
      <c r="G220" s="80"/>
      <c r="H220" s="81"/>
      <c r="I220" s="80"/>
      <c r="J220" s="82"/>
      <c r="K220" s="83" t="str">
        <f aca="false">IF(OR(H220="",J220=""),"",H220*J220)</f>
        <v/>
      </c>
      <c r="L220" s="88"/>
      <c r="M220" s="88"/>
      <c r="N220" s="88"/>
      <c r="O220" s="83" t="str">
        <f aca="false">IF(K220="","",K220-IF(L220="",0,L220)+IF(M220="",0,M220)+IF(N220="",0,N220))</f>
        <v/>
      </c>
    </row>
    <row r="221" customFormat="false" ht="15.75" hidden="false" customHeight="true" outlineLevel="0" collapsed="false">
      <c r="A221" s="72"/>
      <c r="B221" s="70"/>
      <c r="C221" s="72"/>
      <c r="D221" s="72"/>
      <c r="E221" s="72"/>
      <c r="F221" s="72"/>
      <c r="G221" s="72"/>
      <c r="H221" s="73"/>
      <c r="I221" s="72"/>
      <c r="J221" s="74"/>
      <c r="K221" s="75" t="str">
        <f aca="false">IF(OR(H221="",J221=""),"",H221*J221)</f>
        <v/>
      </c>
      <c r="L221" s="87"/>
      <c r="M221" s="87"/>
      <c r="N221" s="87"/>
      <c r="O221" s="75" t="str">
        <f aca="false">IF(K221="","",K221-IF(L221="",0,L221)+IF(M221="",0,M221)+IF(N221="",0,N221))</f>
        <v/>
      </c>
    </row>
    <row r="222" customFormat="false" ht="15.75" hidden="false" customHeight="true" outlineLevel="0" collapsed="false">
      <c r="A222" s="80"/>
      <c r="B222" s="78"/>
      <c r="C222" s="80"/>
      <c r="D222" s="80"/>
      <c r="E222" s="80"/>
      <c r="F222" s="80"/>
      <c r="G222" s="80"/>
      <c r="H222" s="81"/>
      <c r="I222" s="80"/>
      <c r="J222" s="82"/>
      <c r="K222" s="83" t="str">
        <f aca="false">IF(OR(H222="",J222=""),"",H222*J222)</f>
        <v/>
      </c>
      <c r="L222" s="88"/>
      <c r="M222" s="88"/>
      <c r="N222" s="88"/>
      <c r="O222" s="83" t="str">
        <f aca="false">IF(K222="","",K222-IF(L222="",0,L222)+IF(M222="",0,M222)+IF(N222="",0,N222))</f>
        <v/>
      </c>
    </row>
    <row r="223" customFormat="false" ht="15.75" hidden="false" customHeight="true" outlineLevel="0" collapsed="false">
      <c r="A223" s="72"/>
      <c r="B223" s="70"/>
      <c r="C223" s="72"/>
      <c r="D223" s="72"/>
      <c r="E223" s="72"/>
      <c r="F223" s="72"/>
      <c r="G223" s="72"/>
      <c r="H223" s="73"/>
      <c r="I223" s="72"/>
      <c r="J223" s="74"/>
      <c r="K223" s="75" t="str">
        <f aca="false">IF(OR(H223="",J223=""),"",H223*J223)</f>
        <v/>
      </c>
      <c r="L223" s="87"/>
      <c r="M223" s="87"/>
      <c r="N223" s="87"/>
      <c r="O223" s="75" t="str">
        <f aca="false">IF(K223="","",K223-IF(L223="",0,L223)+IF(M223="",0,M223)+IF(N223="",0,N223))</f>
        <v/>
      </c>
    </row>
    <row r="224" customFormat="false" ht="15.75" hidden="false" customHeight="true" outlineLevel="0" collapsed="false">
      <c r="A224" s="80"/>
      <c r="B224" s="78"/>
      <c r="C224" s="80"/>
      <c r="D224" s="80"/>
      <c r="E224" s="80"/>
      <c r="F224" s="80"/>
      <c r="G224" s="80"/>
      <c r="H224" s="81"/>
      <c r="I224" s="80"/>
      <c r="J224" s="82"/>
      <c r="K224" s="83" t="str">
        <f aca="false">IF(OR(H224="",J224=""),"",H224*J224)</f>
        <v/>
      </c>
      <c r="L224" s="88"/>
      <c r="M224" s="88"/>
      <c r="N224" s="88"/>
      <c r="O224" s="83" t="str">
        <f aca="false">IF(K224="","",K224-IF(L224="",0,L224)+IF(M224="",0,M224)+IF(N224="",0,N224))</f>
        <v/>
      </c>
    </row>
    <row r="225" customFormat="false" ht="15.75" hidden="false" customHeight="true" outlineLevel="0" collapsed="false">
      <c r="A225" s="72"/>
      <c r="B225" s="70"/>
      <c r="C225" s="72"/>
      <c r="D225" s="72"/>
      <c r="E225" s="72"/>
      <c r="F225" s="72"/>
      <c r="G225" s="72"/>
      <c r="H225" s="73"/>
      <c r="I225" s="72"/>
      <c r="J225" s="74"/>
      <c r="K225" s="75" t="str">
        <f aca="false">IF(OR(H225="",J225=""),"",H225*J225)</f>
        <v/>
      </c>
      <c r="L225" s="87"/>
      <c r="M225" s="87"/>
      <c r="N225" s="87"/>
      <c r="O225" s="75" t="str">
        <f aca="false">IF(K225="","",K225-IF(L225="",0,L225)+IF(M225="",0,M225)+IF(N225="",0,N225))</f>
        <v/>
      </c>
    </row>
    <row r="226" customFormat="false" ht="15.75" hidden="false" customHeight="true" outlineLevel="0" collapsed="false">
      <c r="A226" s="80"/>
      <c r="B226" s="78"/>
      <c r="C226" s="80"/>
      <c r="D226" s="80"/>
      <c r="E226" s="80"/>
      <c r="F226" s="80"/>
      <c r="G226" s="80"/>
      <c r="H226" s="81"/>
      <c r="I226" s="80"/>
      <c r="J226" s="82"/>
      <c r="K226" s="83" t="str">
        <f aca="false">IF(OR(H226="",J226=""),"",H226*J226)</f>
        <v/>
      </c>
      <c r="L226" s="88"/>
      <c r="M226" s="88"/>
      <c r="N226" s="88"/>
      <c r="O226" s="83" t="str">
        <f aca="false">IF(K226="","",K226-IF(L226="",0,L226)+IF(M226="",0,M226)+IF(N226="",0,N226))</f>
        <v/>
      </c>
    </row>
    <row r="227" customFormat="false" ht="15.75" hidden="false" customHeight="true" outlineLevel="0" collapsed="false">
      <c r="A227" s="72"/>
      <c r="B227" s="70"/>
      <c r="C227" s="72"/>
      <c r="D227" s="72"/>
      <c r="E227" s="72"/>
      <c r="F227" s="72"/>
      <c r="G227" s="72"/>
      <c r="H227" s="73"/>
      <c r="I227" s="72"/>
      <c r="J227" s="74"/>
      <c r="K227" s="75" t="str">
        <f aca="false">IF(OR(H227="",J227=""),"",H227*J227)</f>
        <v/>
      </c>
      <c r="L227" s="87"/>
      <c r="M227" s="87"/>
      <c r="N227" s="87"/>
      <c r="O227" s="75" t="str">
        <f aca="false">IF(K227="","",K227-IF(L227="",0,L227)+IF(M227="",0,M227)+IF(N227="",0,N227))</f>
        <v/>
      </c>
    </row>
    <row r="228" customFormat="false" ht="15.75" hidden="false" customHeight="true" outlineLevel="0" collapsed="false">
      <c r="A228" s="80"/>
      <c r="B228" s="78"/>
      <c r="C228" s="80"/>
      <c r="D228" s="80"/>
      <c r="E228" s="80"/>
      <c r="F228" s="80"/>
      <c r="G228" s="80"/>
      <c r="H228" s="81"/>
      <c r="I228" s="80"/>
      <c r="J228" s="82"/>
      <c r="K228" s="83" t="str">
        <f aca="false">IF(OR(H228="",J228=""),"",H228*J228)</f>
        <v/>
      </c>
      <c r="L228" s="88"/>
      <c r="M228" s="88"/>
      <c r="N228" s="88"/>
      <c r="O228" s="83" t="str">
        <f aca="false">IF(K228="","",K228-IF(L228="",0,L228)+IF(M228="",0,M228)+IF(N228="",0,N228))</f>
        <v/>
      </c>
    </row>
    <row r="229" customFormat="false" ht="15.75" hidden="false" customHeight="true" outlineLevel="0" collapsed="false">
      <c r="A229" s="72"/>
      <c r="B229" s="70"/>
      <c r="C229" s="72"/>
      <c r="D229" s="72"/>
      <c r="E229" s="72"/>
      <c r="F229" s="72"/>
      <c r="G229" s="72"/>
      <c r="H229" s="73"/>
      <c r="I229" s="72"/>
      <c r="J229" s="74"/>
      <c r="K229" s="75" t="str">
        <f aca="false">IF(OR(H229="",J229=""),"",H229*J229)</f>
        <v/>
      </c>
      <c r="L229" s="87"/>
      <c r="M229" s="87"/>
      <c r="N229" s="87"/>
      <c r="O229" s="75" t="str">
        <f aca="false">IF(K229="","",K229-IF(L229="",0,L229)+IF(M229="",0,M229)+IF(N229="",0,N229))</f>
        <v/>
      </c>
    </row>
    <row r="230" customFormat="false" ht="15.75" hidden="false" customHeight="true" outlineLevel="0" collapsed="false">
      <c r="A230" s="80"/>
      <c r="B230" s="78"/>
      <c r="C230" s="80"/>
      <c r="D230" s="80"/>
      <c r="E230" s="80"/>
      <c r="F230" s="80"/>
      <c r="G230" s="80"/>
      <c r="H230" s="81"/>
      <c r="I230" s="80"/>
      <c r="J230" s="82"/>
      <c r="K230" s="83" t="str">
        <f aca="false">IF(OR(H230="",J230=""),"",H230*J230)</f>
        <v/>
      </c>
      <c r="L230" s="88"/>
      <c r="M230" s="88"/>
      <c r="N230" s="88"/>
      <c r="O230" s="83" t="str">
        <f aca="false">IF(K230="","",K230-IF(L230="",0,L230)+IF(M230="",0,M230)+IF(N230="",0,N230))</f>
        <v/>
      </c>
    </row>
    <row r="231" customFormat="false" ht="15.75" hidden="false" customHeight="true" outlineLevel="0" collapsed="false">
      <c r="A231" s="72"/>
      <c r="B231" s="70"/>
      <c r="C231" s="72"/>
      <c r="D231" s="72"/>
      <c r="E231" s="72"/>
      <c r="F231" s="72"/>
      <c r="G231" s="72"/>
      <c r="H231" s="73"/>
      <c r="I231" s="72"/>
      <c r="J231" s="74"/>
      <c r="K231" s="75" t="str">
        <f aca="false">IF(OR(H231="",J231=""),"",H231*J231)</f>
        <v/>
      </c>
      <c r="L231" s="87"/>
      <c r="M231" s="87"/>
      <c r="N231" s="87"/>
      <c r="O231" s="75" t="str">
        <f aca="false">IF(K231="","",K231-IF(L231="",0,L231)+IF(M231="",0,M231)+IF(N231="",0,N231))</f>
        <v/>
      </c>
    </row>
    <row r="232" customFormat="false" ht="15.75" hidden="false" customHeight="true" outlineLevel="0" collapsed="false">
      <c r="A232" s="80"/>
      <c r="B232" s="78"/>
      <c r="C232" s="80"/>
      <c r="D232" s="80"/>
      <c r="E232" s="80"/>
      <c r="F232" s="80"/>
      <c r="G232" s="80"/>
      <c r="H232" s="81"/>
      <c r="I232" s="80"/>
      <c r="J232" s="82"/>
      <c r="K232" s="83" t="str">
        <f aca="false">IF(OR(H232="",J232=""),"",H232*J232)</f>
        <v/>
      </c>
      <c r="L232" s="88"/>
      <c r="M232" s="88"/>
      <c r="N232" s="88"/>
      <c r="O232" s="83" t="str">
        <f aca="false">IF(K232="","",K232-IF(L232="",0,L232)+IF(M232="",0,M232)+IF(N232="",0,N232))</f>
        <v/>
      </c>
    </row>
    <row r="233" customFormat="false" ht="15.75" hidden="false" customHeight="true" outlineLevel="0" collapsed="false">
      <c r="A233" s="72"/>
      <c r="B233" s="70"/>
      <c r="C233" s="72"/>
      <c r="D233" s="72"/>
      <c r="E233" s="72"/>
      <c r="F233" s="72"/>
      <c r="G233" s="72"/>
      <c r="H233" s="73"/>
      <c r="I233" s="72"/>
      <c r="J233" s="74"/>
      <c r="K233" s="75" t="str">
        <f aca="false">IF(OR(H233="",J233=""),"",H233*J233)</f>
        <v/>
      </c>
      <c r="L233" s="87"/>
      <c r="M233" s="87"/>
      <c r="N233" s="87"/>
      <c r="O233" s="75" t="str">
        <f aca="false">IF(K233="","",K233-IF(L233="",0,L233)+IF(M233="",0,M233)+IF(N233="",0,N233))</f>
        <v/>
      </c>
    </row>
    <row r="234" customFormat="false" ht="15.75" hidden="false" customHeight="true" outlineLevel="0" collapsed="false">
      <c r="A234" s="80"/>
      <c r="B234" s="78"/>
      <c r="C234" s="80"/>
      <c r="D234" s="80"/>
      <c r="E234" s="80"/>
      <c r="F234" s="80"/>
      <c r="G234" s="80"/>
      <c r="H234" s="81"/>
      <c r="I234" s="80"/>
      <c r="J234" s="82"/>
      <c r="K234" s="83" t="str">
        <f aca="false">IF(OR(H234="",J234=""),"",H234*J234)</f>
        <v/>
      </c>
      <c r="L234" s="88"/>
      <c r="M234" s="88"/>
      <c r="N234" s="88"/>
      <c r="O234" s="83" t="str">
        <f aca="false">IF(K234="","",K234-IF(L234="",0,L234)+IF(M234="",0,M234)+IF(N234="",0,N234))</f>
        <v/>
      </c>
    </row>
    <row r="235" customFormat="false" ht="15.75" hidden="false" customHeight="true" outlineLevel="0" collapsed="false">
      <c r="A235" s="72"/>
      <c r="B235" s="70"/>
      <c r="C235" s="72"/>
      <c r="D235" s="72"/>
      <c r="E235" s="72"/>
      <c r="F235" s="72"/>
      <c r="G235" s="72"/>
      <c r="H235" s="73"/>
      <c r="I235" s="72"/>
      <c r="J235" s="74"/>
      <c r="K235" s="75" t="str">
        <f aca="false">IF(OR(H235="",J235=""),"",H235*J235)</f>
        <v/>
      </c>
      <c r="L235" s="87"/>
      <c r="M235" s="87"/>
      <c r="N235" s="87"/>
      <c r="O235" s="75" t="str">
        <f aca="false">IF(K235="","",K235-IF(L235="",0,L235)+IF(M235="",0,M235)+IF(N235="",0,N235))</f>
        <v/>
      </c>
    </row>
    <row r="236" customFormat="false" ht="15.75" hidden="false" customHeight="true" outlineLevel="0" collapsed="false">
      <c r="A236" s="80"/>
      <c r="B236" s="78"/>
      <c r="C236" s="80"/>
      <c r="D236" s="80"/>
      <c r="E236" s="80"/>
      <c r="F236" s="80"/>
      <c r="G236" s="80"/>
      <c r="H236" s="81"/>
      <c r="I236" s="80"/>
      <c r="J236" s="82"/>
      <c r="K236" s="83" t="str">
        <f aca="false">IF(OR(H236="",J236=""),"",H236*J236)</f>
        <v/>
      </c>
      <c r="L236" s="88"/>
      <c r="M236" s="88"/>
      <c r="N236" s="88"/>
      <c r="O236" s="83" t="str">
        <f aca="false">IF(K236="","",K236-IF(L236="",0,L236)+IF(M236="",0,M236)+IF(N236="",0,N236))</f>
        <v/>
      </c>
    </row>
    <row r="237" customFormat="false" ht="15.75" hidden="false" customHeight="true" outlineLevel="0" collapsed="false">
      <c r="A237" s="72"/>
      <c r="B237" s="70"/>
      <c r="C237" s="72"/>
      <c r="D237" s="72"/>
      <c r="E237" s="72"/>
      <c r="F237" s="72"/>
      <c r="G237" s="72"/>
      <c r="H237" s="73"/>
      <c r="I237" s="72"/>
      <c r="J237" s="74"/>
      <c r="K237" s="75" t="str">
        <f aca="false">IF(OR(H237="",J237=""),"",H237*J237)</f>
        <v/>
      </c>
      <c r="L237" s="87"/>
      <c r="M237" s="87"/>
      <c r="N237" s="87"/>
      <c r="O237" s="75" t="str">
        <f aca="false">IF(K237="","",K237-IF(L237="",0,L237)+IF(M237="",0,M237)+IF(N237="",0,N237))</f>
        <v/>
      </c>
    </row>
    <row r="238" customFormat="false" ht="15.75" hidden="false" customHeight="true" outlineLevel="0" collapsed="false">
      <c r="A238" s="80"/>
      <c r="B238" s="78"/>
      <c r="C238" s="80"/>
      <c r="D238" s="80"/>
      <c r="E238" s="80"/>
      <c r="F238" s="80"/>
      <c r="G238" s="80"/>
      <c r="H238" s="81"/>
      <c r="I238" s="80"/>
      <c r="J238" s="82"/>
      <c r="K238" s="83" t="str">
        <f aca="false">IF(OR(H238="",J238=""),"",H238*J238)</f>
        <v/>
      </c>
      <c r="L238" s="88"/>
      <c r="M238" s="88"/>
      <c r="N238" s="88"/>
      <c r="O238" s="83" t="str">
        <f aca="false">IF(K238="","",K238-IF(L238="",0,L238)+IF(M238="",0,M238)+IF(N238="",0,N238))</f>
        <v/>
      </c>
    </row>
    <row r="239" customFormat="false" ht="15.75" hidden="false" customHeight="true" outlineLevel="0" collapsed="false">
      <c r="A239" s="72"/>
      <c r="B239" s="70"/>
      <c r="C239" s="72"/>
      <c r="D239" s="72"/>
      <c r="E239" s="72"/>
      <c r="F239" s="72"/>
      <c r="G239" s="72"/>
      <c r="H239" s="73"/>
      <c r="I239" s="72"/>
      <c r="J239" s="74"/>
      <c r="K239" s="75" t="str">
        <f aca="false">IF(OR(H239="",J239=""),"",H239*J239)</f>
        <v/>
      </c>
      <c r="L239" s="87"/>
      <c r="M239" s="87"/>
      <c r="N239" s="87"/>
      <c r="O239" s="75" t="str">
        <f aca="false">IF(K239="","",K239-IF(L239="",0,L239)+IF(M239="",0,M239)+IF(N239="",0,N239))</f>
        <v/>
      </c>
    </row>
    <row r="240" customFormat="false" ht="15.75" hidden="false" customHeight="true" outlineLevel="0" collapsed="false">
      <c r="A240" s="80"/>
      <c r="B240" s="78"/>
      <c r="C240" s="80"/>
      <c r="D240" s="80"/>
      <c r="E240" s="80"/>
      <c r="F240" s="80"/>
      <c r="G240" s="80"/>
      <c r="H240" s="81"/>
      <c r="I240" s="80"/>
      <c r="J240" s="82"/>
      <c r="K240" s="83" t="str">
        <f aca="false">IF(OR(H240="",J240=""),"",H240*J240)</f>
        <v/>
      </c>
      <c r="L240" s="88"/>
      <c r="M240" s="88"/>
      <c r="N240" s="88"/>
      <c r="O240" s="83" t="str">
        <f aca="false">IF(K240="","",K240-IF(L240="",0,L240)+IF(M240="",0,M240)+IF(N240="",0,N240))</f>
        <v/>
      </c>
    </row>
    <row r="241" customFormat="false" ht="15.75" hidden="false" customHeight="true" outlineLevel="0" collapsed="false">
      <c r="A241" s="72"/>
      <c r="B241" s="70"/>
      <c r="C241" s="72"/>
      <c r="D241" s="72"/>
      <c r="E241" s="72"/>
      <c r="F241" s="72"/>
      <c r="G241" s="72"/>
      <c r="H241" s="73"/>
      <c r="I241" s="72"/>
      <c r="J241" s="74"/>
      <c r="K241" s="75" t="str">
        <f aca="false">IF(OR(H241="",J241=""),"",H241*J241)</f>
        <v/>
      </c>
      <c r="L241" s="87"/>
      <c r="M241" s="87"/>
      <c r="N241" s="87"/>
      <c r="O241" s="75" t="str">
        <f aca="false">IF(K241="","",K241-IF(L241="",0,L241)+IF(M241="",0,M241)+IF(N241="",0,N241))</f>
        <v/>
      </c>
    </row>
    <row r="242" customFormat="false" ht="15.75" hidden="false" customHeight="true" outlineLevel="0" collapsed="false">
      <c r="A242" s="80"/>
      <c r="B242" s="78"/>
      <c r="C242" s="80"/>
      <c r="D242" s="80"/>
      <c r="E242" s="80"/>
      <c r="F242" s="80"/>
      <c r="G242" s="80"/>
      <c r="H242" s="81"/>
      <c r="I242" s="80"/>
      <c r="J242" s="82"/>
      <c r="K242" s="83" t="str">
        <f aca="false">IF(OR(H242="",J242=""),"",H242*J242)</f>
        <v/>
      </c>
      <c r="L242" s="88"/>
      <c r="M242" s="88"/>
      <c r="N242" s="88"/>
      <c r="O242" s="83" t="str">
        <f aca="false">IF(K242="","",K242-IF(L242="",0,L242)+IF(M242="",0,M242)+IF(N242="",0,N242))</f>
        <v/>
      </c>
    </row>
    <row r="243" customFormat="false" ht="15.75" hidden="false" customHeight="true" outlineLevel="0" collapsed="false">
      <c r="A243" s="72"/>
      <c r="B243" s="70"/>
      <c r="C243" s="72"/>
      <c r="D243" s="72"/>
      <c r="E243" s="72"/>
      <c r="F243" s="72"/>
      <c r="G243" s="72"/>
      <c r="H243" s="73"/>
      <c r="I243" s="72"/>
      <c r="J243" s="74"/>
      <c r="K243" s="75" t="str">
        <f aca="false">IF(OR(H243="",J243=""),"",H243*J243)</f>
        <v/>
      </c>
      <c r="L243" s="87"/>
      <c r="M243" s="87"/>
      <c r="N243" s="87"/>
      <c r="O243" s="75" t="str">
        <f aca="false">IF(K243="","",K243-IF(L243="",0,L243)+IF(M243="",0,M243)+IF(N243="",0,N243))</f>
        <v/>
      </c>
    </row>
    <row r="244" customFormat="false" ht="15.75" hidden="false" customHeight="true" outlineLevel="0" collapsed="false">
      <c r="A244" s="80"/>
      <c r="B244" s="78"/>
      <c r="C244" s="80"/>
      <c r="D244" s="80"/>
      <c r="E244" s="80"/>
      <c r="F244" s="80"/>
      <c r="G244" s="80"/>
      <c r="H244" s="81"/>
      <c r="I244" s="80"/>
      <c r="J244" s="82"/>
      <c r="K244" s="83" t="str">
        <f aca="false">IF(OR(H244="",J244=""),"",H244*J244)</f>
        <v/>
      </c>
      <c r="L244" s="88"/>
      <c r="M244" s="88"/>
      <c r="N244" s="88"/>
      <c r="O244" s="83" t="str">
        <f aca="false">IF(K244="","",K244-IF(L244="",0,L244)+IF(M244="",0,M244)+IF(N244="",0,N244))</f>
        <v/>
      </c>
    </row>
    <row r="245" customFormat="false" ht="15.75" hidden="false" customHeight="true" outlineLevel="0" collapsed="false">
      <c r="A245" s="72"/>
      <c r="B245" s="70"/>
      <c r="C245" s="72"/>
      <c r="D245" s="72"/>
      <c r="E245" s="72"/>
      <c r="F245" s="72"/>
      <c r="G245" s="72"/>
      <c r="H245" s="73"/>
      <c r="I245" s="72"/>
      <c r="J245" s="74"/>
      <c r="K245" s="75" t="str">
        <f aca="false">IF(OR(H245="",J245=""),"",H245*J245)</f>
        <v/>
      </c>
      <c r="L245" s="87"/>
      <c r="M245" s="87"/>
      <c r="N245" s="87"/>
      <c r="O245" s="75" t="str">
        <f aca="false">IF(K245="","",K245-IF(L245="",0,L245)+IF(M245="",0,M245)+IF(N245="",0,N245))</f>
        <v/>
      </c>
    </row>
    <row r="246" customFormat="false" ht="15.75" hidden="false" customHeight="true" outlineLevel="0" collapsed="false">
      <c r="A246" s="80"/>
      <c r="B246" s="78"/>
      <c r="C246" s="80"/>
      <c r="D246" s="80"/>
      <c r="E246" s="80"/>
      <c r="F246" s="80"/>
      <c r="G246" s="80"/>
      <c r="H246" s="81"/>
      <c r="I246" s="80"/>
      <c r="J246" s="82"/>
      <c r="K246" s="83" t="str">
        <f aca="false">IF(OR(H246="",J246=""),"",H246*J246)</f>
        <v/>
      </c>
      <c r="L246" s="88"/>
      <c r="M246" s="88"/>
      <c r="N246" s="88"/>
      <c r="O246" s="83" t="str">
        <f aca="false">IF(K246="","",K246-IF(L246="",0,L246)+IF(M246="",0,M246)+IF(N246="",0,N246))</f>
        <v/>
      </c>
    </row>
    <row r="247" customFormat="false" ht="15.75" hidden="false" customHeight="true" outlineLevel="0" collapsed="false">
      <c r="A247" s="72"/>
      <c r="B247" s="70"/>
      <c r="C247" s="72"/>
      <c r="D247" s="72"/>
      <c r="E247" s="72"/>
      <c r="F247" s="72"/>
      <c r="G247" s="72"/>
      <c r="H247" s="73"/>
      <c r="I247" s="72"/>
      <c r="J247" s="74"/>
      <c r="K247" s="75" t="str">
        <f aca="false">IF(OR(H247="",J247=""),"",H247*J247)</f>
        <v/>
      </c>
      <c r="L247" s="87"/>
      <c r="M247" s="87"/>
      <c r="N247" s="87"/>
      <c r="O247" s="75" t="str">
        <f aca="false">IF(K247="","",K247-IF(L247="",0,L247)+IF(M247="",0,M247)+IF(N247="",0,N247))</f>
        <v/>
      </c>
    </row>
    <row r="248" customFormat="false" ht="15.75" hidden="false" customHeight="true" outlineLevel="0" collapsed="false">
      <c r="A248" s="80"/>
      <c r="B248" s="78"/>
      <c r="C248" s="80"/>
      <c r="D248" s="80"/>
      <c r="E248" s="80"/>
      <c r="F248" s="80"/>
      <c r="G248" s="80"/>
      <c r="H248" s="81"/>
      <c r="I248" s="80"/>
      <c r="J248" s="82"/>
      <c r="K248" s="83" t="str">
        <f aca="false">IF(OR(H248="",J248=""),"",H248*J248)</f>
        <v/>
      </c>
      <c r="L248" s="88"/>
      <c r="M248" s="88"/>
      <c r="N248" s="88"/>
      <c r="O248" s="83" t="str">
        <f aca="false">IF(K248="","",K248-IF(L248="",0,L248)+IF(M248="",0,M248)+IF(N248="",0,N248))</f>
        <v/>
      </c>
    </row>
    <row r="249" customFormat="false" ht="15.75" hidden="false" customHeight="true" outlineLevel="0" collapsed="false">
      <c r="A249" s="72"/>
      <c r="B249" s="70"/>
      <c r="C249" s="72"/>
      <c r="D249" s="72"/>
      <c r="E249" s="72"/>
      <c r="F249" s="72"/>
      <c r="G249" s="72"/>
      <c r="H249" s="73"/>
      <c r="I249" s="72"/>
      <c r="J249" s="74"/>
      <c r="K249" s="75" t="str">
        <f aca="false">IF(OR(H249="",J249=""),"",H249*J249)</f>
        <v/>
      </c>
      <c r="L249" s="87"/>
      <c r="M249" s="87"/>
      <c r="N249" s="87"/>
      <c r="O249" s="75" t="str">
        <f aca="false">IF(K249="","",K249-IF(L249="",0,L249)+IF(M249="",0,M249)+IF(N249="",0,N249))</f>
        <v/>
      </c>
    </row>
    <row r="250" customFormat="false" ht="15.75" hidden="false" customHeight="true" outlineLevel="0" collapsed="false">
      <c r="A250" s="80"/>
      <c r="B250" s="78"/>
      <c r="C250" s="80"/>
      <c r="D250" s="80"/>
      <c r="E250" s="80"/>
      <c r="F250" s="80"/>
      <c r="G250" s="80"/>
      <c r="H250" s="81"/>
      <c r="I250" s="80"/>
      <c r="J250" s="82"/>
      <c r="K250" s="83" t="str">
        <f aca="false">IF(OR(H250="",J250=""),"",H250*J250)</f>
        <v/>
      </c>
      <c r="L250" s="88"/>
      <c r="M250" s="88"/>
      <c r="N250" s="88"/>
      <c r="O250" s="83" t="str">
        <f aca="false">IF(K250="","",K250-IF(L250="",0,L250)+IF(M250="",0,M250)+IF(N250="",0,N250))</f>
        <v/>
      </c>
    </row>
    <row r="251" customFormat="false" ht="15.75" hidden="false" customHeight="true" outlineLevel="0" collapsed="false">
      <c r="A251" s="72"/>
      <c r="B251" s="70"/>
      <c r="C251" s="72"/>
      <c r="D251" s="72"/>
      <c r="E251" s="72"/>
      <c r="F251" s="72"/>
      <c r="G251" s="72"/>
      <c r="H251" s="73"/>
      <c r="I251" s="72"/>
      <c r="J251" s="74"/>
      <c r="K251" s="75" t="str">
        <f aca="false">IF(OR(H251="",J251=""),"",H251*J251)</f>
        <v/>
      </c>
      <c r="L251" s="87"/>
      <c r="M251" s="87"/>
      <c r="N251" s="87"/>
      <c r="O251" s="75" t="str">
        <f aca="false">IF(K251="","",K251-IF(L251="",0,L251)+IF(M251="",0,M251)+IF(N251="",0,N251))</f>
        <v/>
      </c>
    </row>
    <row r="252" customFormat="false" ht="15.75" hidden="false" customHeight="true" outlineLevel="0" collapsed="false">
      <c r="A252" s="80"/>
      <c r="B252" s="78"/>
      <c r="C252" s="80"/>
      <c r="D252" s="80"/>
      <c r="E252" s="80"/>
      <c r="F252" s="80"/>
      <c r="G252" s="80"/>
      <c r="H252" s="81"/>
      <c r="I252" s="80"/>
      <c r="J252" s="82"/>
      <c r="K252" s="83" t="str">
        <f aca="false">IF(OR(H252="",J252=""),"",H252*J252)</f>
        <v/>
      </c>
      <c r="L252" s="88"/>
      <c r="M252" s="88"/>
      <c r="N252" s="88"/>
      <c r="O252" s="83" t="str">
        <f aca="false">IF(K252="","",K252-IF(L252="",0,L252)+IF(M252="",0,M252)+IF(N252="",0,N252))</f>
        <v/>
      </c>
    </row>
    <row r="253" customFormat="false" ht="15.75" hidden="false" customHeight="true" outlineLevel="0" collapsed="false">
      <c r="A253" s="72"/>
      <c r="B253" s="70"/>
      <c r="C253" s="72"/>
      <c r="D253" s="72"/>
      <c r="E253" s="72"/>
      <c r="F253" s="72"/>
      <c r="G253" s="72"/>
      <c r="H253" s="73"/>
      <c r="I253" s="72"/>
      <c r="J253" s="74"/>
      <c r="K253" s="75" t="str">
        <f aca="false">IF(OR(H253="",J253=""),"",H253*J253)</f>
        <v/>
      </c>
      <c r="L253" s="87"/>
      <c r="M253" s="87"/>
      <c r="N253" s="87"/>
      <c r="O253" s="75" t="str">
        <f aca="false">IF(K253="","",K253-IF(L253="",0,L253)+IF(M253="",0,M253)+IF(N253="",0,N253))</f>
        <v/>
      </c>
    </row>
    <row r="254" customFormat="false" ht="15.75" hidden="false" customHeight="true" outlineLevel="0" collapsed="false">
      <c r="A254" s="80"/>
      <c r="B254" s="78"/>
      <c r="C254" s="80"/>
      <c r="D254" s="80"/>
      <c r="E254" s="80"/>
      <c r="F254" s="80"/>
      <c r="G254" s="80"/>
      <c r="H254" s="81"/>
      <c r="I254" s="80"/>
      <c r="J254" s="82"/>
      <c r="K254" s="83" t="str">
        <f aca="false">IF(OR(H254="",J254=""),"",H254*J254)</f>
        <v/>
      </c>
      <c r="L254" s="88"/>
      <c r="M254" s="88"/>
      <c r="N254" s="88"/>
      <c r="O254" s="83" t="str">
        <f aca="false">IF(K254="","",K254-IF(L254="",0,L254)+IF(M254="",0,M254)+IF(N254="",0,N254))</f>
        <v/>
      </c>
    </row>
    <row r="255" customFormat="false" ht="15.75" hidden="false" customHeight="true" outlineLevel="0" collapsed="false">
      <c r="A255" s="72"/>
      <c r="B255" s="70"/>
      <c r="C255" s="72"/>
      <c r="D255" s="72"/>
      <c r="E255" s="72"/>
      <c r="F255" s="72"/>
      <c r="G255" s="72"/>
      <c r="H255" s="73"/>
      <c r="I255" s="72"/>
      <c r="J255" s="74"/>
      <c r="K255" s="75" t="str">
        <f aca="false">IF(OR(H255="",J255=""),"",H255*J255)</f>
        <v/>
      </c>
      <c r="L255" s="87"/>
      <c r="M255" s="87"/>
      <c r="N255" s="87"/>
      <c r="O255" s="75" t="str">
        <f aca="false">IF(K255="","",K255-IF(L255="",0,L255)+IF(M255="",0,M255)+IF(N255="",0,N255))</f>
        <v/>
      </c>
    </row>
    <row r="256" customFormat="false" ht="15.75" hidden="false" customHeight="true" outlineLevel="0" collapsed="false">
      <c r="A256" s="80"/>
      <c r="B256" s="78"/>
      <c r="C256" s="80"/>
      <c r="D256" s="80"/>
      <c r="E256" s="80"/>
      <c r="F256" s="80"/>
      <c r="G256" s="80"/>
      <c r="H256" s="81"/>
      <c r="I256" s="80"/>
      <c r="J256" s="82"/>
      <c r="K256" s="83" t="str">
        <f aca="false">IF(OR(H256="",J256=""),"",H256*J256)</f>
        <v/>
      </c>
      <c r="L256" s="88"/>
      <c r="M256" s="88"/>
      <c r="N256" s="88"/>
      <c r="O256" s="83" t="str">
        <f aca="false">IF(K256="","",K256-IF(L256="",0,L256)+IF(M256="",0,M256)+IF(N256="",0,N256))</f>
        <v/>
      </c>
    </row>
    <row r="257" customFormat="false" ht="15.75" hidden="false" customHeight="true" outlineLevel="0" collapsed="false">
      <c r="A257" s="72"/>
      <c r="B257" s="70"/>
      <c r="C257" s="72"/>
      <c r="D257" s="72"/>
      <c r="E257" s="72"/>
      <c r="F257" s="72"/>
      <c r="G257" s="72"/>
      <c r="H257" s="73"/>
      <c r="I257" s="72"/>
      <c r="J257" s="74"/>
      <c r="K257" s="75" t="str">
        <f aca="false">IF(OR(H257="",J257=""),"",H257*J257)</f>
        <v/>
      </c>
      <c r="L257" s="87"/>
      <c r="M257" s="87"/>
      <c r="N257" s="87"/>
      <c r="O257" s="75" t="str">
        <f aca="false">IF(K257="","",K257-IF(L257="",0,L257)+IF(M257="",0,M257)+IF(N257="",0,N257))</f>
        <v/>
      </c>
    </row>
    <row r="258" customFormat="false" ht="15.75" hidden="false" customHeight="true" outlineLevel="0" collapsed="false">
      <c r="A258" s="80"/>
      <c r="B258" s="78"/>
      <c r="C258" s="80"/>
      <c r="D258" s="80"/>
      <c r="E258" s="80"/>
      <c r="F258" s="80"/>
      <c r="G258" s="80"/>
      <c r="H258" s="81"/>
      <c r="I258" s="80"/>
      <c r="J258" s="82"/>
      <c r="K258" s="83" t="str">
        <f aca="false">IF(OR(H258="",J258=""),"",H258*J258)</f>
        <v/>
      </c>
      <c r="L258" s="88"/>
      <c r="M258" s="88"/>
      <c r="N258" s="88"/>
      <c r="O258" s="83" t="str">
        <f aca="false">IF(K258="","",K258-IF(L258="",0,L258)+IF(M258="",0,M258)+IF(N258="",0,N258))</f>
        <v/>
      </c>
    </row>
    <row r="259" customFormat="false" ht="15.75" hidden="false" customHeight="true" outlineLevel="0" collapsed="false">
      <c r="A259" s="72"/>
      <c r="B259" s="70"/>
      <c r="C259" s="72"/>
      <c r="D259" s="72"/>
      <c r="E259" s="72"/>
      <c r="F259" s="72"/>
      <c r="G259" s="72"/>
      <c r="H259" s="73"/>
      <c r="I259" s="72"/>
      <c r="J259" s="74"/>
      <c r="K259" s="75" t="str">
        <f aca="false">IF(OR(H259="",J259=""),"",H259*J259)</f>
        <v/>
      </c>
      <c r="L259" s="87"/>
      <c r="M259" s="87"/>
      <c r="N259" s="87"/>
      <c r="O259" s="75" t="str">
        <f aca="false">IF(K259="","",K259-IF(L259="",0,L259)+IF(M259="",0,M259)+IF(N259="",0,N259))</f>
        <v/>
      </c>
    </row>
    <row r="260" customFormat="false" ht="15.75" hidden="false" customHeight="true" outlineLevel="0" collapsed="false">
      <c r="A260" s="80"/>
      <c r="B260" s="78"/>
      <c r="C260" s="80"/>
      <c r="D260" s="80"/>
      <c r="E260" s="80"/>
      <c r="F260" s="80"/>
      <c r="G260" s="80"/>
      <c r="H260" s="81"/>
      <c r="I260" s="80"/>
      <c r="J260" s="82"/>
      <c r="K260" s="83" t="str">
        <f aca="false">IF(OR(H260="",J260=""),"",H260*J260)</f>
        <v/>
      </c>
      <c r="L260" s="88"/>
      <c r="M260" s="88"/>
      <c r="N260" s="88"/>
      <c r="O260" s="83" t="str">
        <f aca="false">IF(K260="","",K260-IF(L260="",0,L260)+IF(M260="",0,M260)+IF(N260="",0,N260))</f>
        <v/>
      </c>
    </row>
    <row r="261" customFormat="false" ht="15.75" hidden="false" customHeight="true" outlineLevel="0" collapsed="false">
      <c r="A261" s="72"/>
      <c r="B261" s="70"/>
      <c r="C261" s="72"/>
      <c r="D261" s="72"/>
      <c r="E261" s="72"/>
      <c r="F261" s="72"/>
      <c r="G261" s="72"/>
      <c r="H261" s="73"/>
      <c r="I261" s="72"/>
      <c r="J261" s="74"/>
      <c r="K261" s="75" t="str">
        <f aca="false">IF(OR(H261="",J261=""),"",H261*J261)</f>
        <v/>
      </c>
      <c r="L261" s="87"/>
      <c r="M261" s="87"/>
      <c r="N261" s="87"/>
      <c r="O261" s="75" t="str">
        <f aca="false">IF(K261="","",K261-IF(L261="",0,L261)+IF(M261="",0,M261)+IF(N261="",0,N261))</f>
        <v/>
      </c>
    </row>
    <row r="262" customFormat="false" ht="15.75" hidden="false" customHeight="true" outlineLevel="0" collapsed="false">
      <c r="A262" s="80"/>
      <c r="B262" s="78"/>
      <c r="C262" s="80"/>
      <c r="D262" s="80"/>
      <c r="E262" s="80"/>
      <c r="F262" s="80"/>
      <c r="G262" s="80"/>
      <c r="H262" s="81"/>
      <c r="I262" s="80"/>
      <c r="J262" s="82"/>
      <c r="K262" s="83" t="str">
        <f aca="false">IF(OR(H262="",J262=""),"",H262*J262)</f>
        <v/>
      </c>
      <c r="L262" s="88"/>
      <c r="M262" s="88"/>
      <c r="N262" s="88"/>
      <c r="O262" s="83" t="str">
        <f aca="false">IF(K262="","",K262-IF(L262="",0,L262)+IF(M262="",0,M262)+IF(N262="",0,N262))</f>
        <v/>
      </c>
    </row>
    <row r="263" customFormat="false" ht="15.75" hidden="false" customHeight="true" outlineLevel="0" collapsed="false">
      <c r="A263" s="72"/>
      <c r="B263" s="70"/>
      <c r="C263" s="72"/>
      <c r="D263" s="72"/>
      <c r="E263" s="72"/>
      <c r="F263" s="72"/>
      <c r="G263" s="72"/>
      <c r="H263" s="73"/>
      <c r="I263" s="72"/>
      <c r="J263" s="74"/>
      <c r="K263" s="75" t="str">
        <f aca="false">IF(OR(H263="",J263=""),"",H263*J263)</f>
        <v/>
      </c>
      <c r="L263" s="87"/>
      <c r="M263" s="87"/>
      <c r="N263" s="87"/>
      <c r="O263" s="75" t="str">
        <f aca="false">IF(K263="","",K263-IF(L263="",0,L263)+IF(M263="",0,M263)+IF(N263="",0,N263))</f>
        <v/>
      </c>
    </row>
    <row r="264" customFormat="false" ht="15.75" hidden="false" customHeight="true" outlineLevel="0" collapsed="false">
      <c r="A264" s="80"/>
      <c r="B264" s="78"/>
      <c r="C264" s="80"/>
      <c r="D264" s="80"/>
      <c r="E264" s="80"/>
      <c r="F264" s="80"/>
      <c r="G264" s="80"/>
      <c r="H264" s="81"/>
      <c r="I264" s="80"/>
      <c r="J264" s="82"/>
      <c r="K264" s="83" t="str">
        <f aca="false">IF(OR(H264="",J264=""),"",H264*J264)</f>
        <v/>
      </c>
      <c r="L264" s="88"/>
      <c r="M264" s="88"/>
      <c r="N264" s="88"/>
      <c r="O264" s="83" t="str">
        <f aca="false">IF(K264="","",K264-IF(L264="",0,L264)+IF(M264="",0,M264)+IF(N264="",0,N264))</f>
        <v/>
      </c>
    </row>
    <row r="265" customFormat="false" ht="15.75" hidden="false" customHeight="true" outlineLevel="0" collapsed="false">
      <c r="A265" s="72"/>
      <c r="B265" s="70"/>
      <c r="C265" s="72"/>
      <c r="D265" s="72"/>
      <c r="E265" s="72"/>
      <c r="F265" s="72"/>
      <c r="G265" s="72"/>
      <c r="H265" s="73"/>
      <c r="I265" s="72"/>
      <c r="J265" s="74"/>
      <c r="K265" s="75" t="str">
        <f aca="false">IF(OR(H265="",J265=""),"",H265*J265)</f>
        <v/>
      </c>
      <c r="L265" s="87"/>
      <c r="M265" s="87"/>
      <c r="N265" s="87"/>
      <c r="O265" s="75" t="str">
        <f aca="false">IF(K265="","",K265-IF(L265="",0,L265)+IF(M265="",0,M265)+IF(N265="",0,N265))</f>
        <v/>
      </c>
    </row>
    <row r="266" customFormat="false" ht="15.75" hidden="false" customHeight="true" outlineLevel="0" collapsed="false">
      <c r="A266" s="80"/>
      <c r="B266" s="78"/>
      <c r="C266" s="80"/>
      <c r="D266" s="80"/>
      <c r="E266" s="80"/>
      <c r="F266" s="80"/>
      <c r="G266" s="80"/>
      <c r="H266" s="81"/>
      <c r="I266" s="80"/>
      <c r="J266" s="82"/>
      <c r="K266" s="83" t="str">
        <f aca="false">IF(OR(H266="",J266=""),"",H266*J266)</f>
        <v/>
      </c>
      <c r="L266" s="88"/>
      <c r="M266" s="88"/>
      <c r="N266" s="88"/>
      <c r="O266" s="83" t="str">
        <f aca="false">IF(K266="","",K266-IF(L266="",0,L266)+IF(M266="",0,M266)+IF(N266="",0,N266))</f>
        <v/>
      </c>
    </row>
    <row r="267" customFormat="false" ht="15.75" hidden="false" customHeight="true" outlineLevel="0" collapsed="false">
      <c r="A267" s="72"/>
      <c r="B267" s="70"/>
      <c r="C267" s="72"/>
      <c r="D267" s="72"/>
      <c r="E267" s="72"/>
      <c r="F267" s="72"/>
      <c r="G267" s="72"/>
      <c r="H267" s="73"/>
      <c r="I267" s="72"/>
      <c r="J267" s="74"/>
      <c r="K267" s="75" t="str">
        <f aca="false">IF(OR(H267="",J267=""),"",H267*J267)</f>
        <v/>
      </c>
      <c r="L267" s="87"/>
      <c r="M267" s="87"/>
      <c r="N267" s="87"/>
      <c r="O267" s="75" t="str">
        <f aca="false">IF(K267="","",K267-IF(L267="",0,L267)+IF(M267="",0,M267)+IF(N267="",0,N267))</f>
        <v/>
      </c>
    </row>
    <row r="268" customFormat="false" ht="15.75" hidden="false" customHeight="true" outlineLevel="0" collapsed="false">
      <c r="A268" s="80"/>
      <c r="B268" s="78"/>
      <c r="C268" s="80"/>
      <c r="D268" s="80"/>
      <c r="E268" s="80"/>
      <c r="F268" s="80"/>
      <c r="G268" s="80"/>
      <c r="H268" s="81"/>
      <c r="I268" s="80"/>
      <c r="J268" s="82"/>
      <c r="K268" s="83" t="str">
        <f aca="false">IF(OR(H268="",J268=""),"",H268*J268)</f>
        <v/>
      </c>
      <c r="L268" s="88"/>
      <c r="M268" s="88"/>
      <c r="N268" s="88"/>
      <c r="O268" s="83" t="str">
        <f aca="false">IF(K268="","",K268-IF(L268="",0,L268)+IF(M268="",0,M268)+IF(N268="",0,N268))</f>
        <v/>
      </c>
    </row>
    <row r="269" customFormat="false" ht="15.75" hidden="false" customHeight="true" outlineLevel="0" collapsed="false">
      <c r="A269" s="72"/>
      <c r="B269" s="70"/>
      <c r="C269" s="72"/>
      <c r="D269" s="72"/>
      <c r="E269" s="72"/>
      <c r="F269" s="72"/>
      <c r="G269" s="72"/>
      <c r="H269" s="73"/>
      <c r="I269" s="72"/>
      <c r="J269" s="74"/>
      <c r="K269" s="75" t="str">
        <f aca="false">IF(OR(H269="",J269=""),"",H269*J269)</f>
        <v/>
      </c>
      <c r="L269" s="87"/>
      <c r="M269" s="87"/>
      <c r="N269" s="87"/>
      <c r="O269" s="75" t="str">
        <f aca="false">IF(K269="","",K269-IF(L269="",0,L269)+IF(M269="",0,M269)+IF(N269="",0,N269))</f>
        <v/>
      </c>
    </row>
    <row r="270" customFormat="false" ht="15.75" hidden="false" customHeight="true" outlineLevel="0" collapsed="false">
      <c r="A270" s="80"/>
      <c r="B270" s="78"/>
      <c r="C270" s="80"/>
      <c r="D270" s="80"/>
      <c r="E270" s="80"/>
      <c r="F270" s="80"/>
      <c r="G270" s="80"/>
      <c r="H270" s="81"/>
      <c r="I270" s="80"/>
      <c r="J270" s="82"/>
      <c r="K270" s="83" t="str">
        <f aca="false">IF(OR(H270="",J270=""),"",H270*J270)</f>
        <v/>
      </c>
      <c r="L270" s="88"/>
      <c r="M270" s="88"/>
      <c r="N270" s="88"/>
      <c r="O270" s="83" t="str">
        <f aca="false">IF(K270="","",K270-IF(L270="",0,L270)+IF(M270="",0,M270)+IF(N270="",0,N270))</f>
        <v/>
      </c>
    </row>
    <row r="271" customFormat="false" ht="15.75" hidden="false" customHeight="true" outlineLevel="0" collapsed="false">
      <c r="A271" s="72"/>
      <c r="B271" s="70"/>
      <c r="C271" s="72"/>
      <c r="D271" s="72"/>
      <c r="E271" s="72"/>
      <c r="F271" s="72"/>
      <c r="G271" s="72"/>
      <c r="H271" s="73"/>
      <c r="I271" s="72"/>
      <c r="J271" s="74"/>
      <c r="K271" s="75" t="str">
        <f aca="false">IF(OR(H271="",J271=""),"",H271*J271)</f>
        <v/>
      </c>
      <c r="L271" s="87"/>
      <c r="M271" s="87"/>
      <c r="N271" s="87"/>
      <c r="O271" s="75" t="str">
        <f aca="false">IF(K271="","",K271-IF(L271="",0,L271)+IF(M271="",0,M271)+IF(N271="",0,N271))</f>
        <v/>
      </c>
    </row>
    <row r="272" customFormat="false" ht="15.75" hidden="false" customHeight="true" outlineLevel="0" collapsed="false">
      <c r="A272" s="80"/>
      <c r="B272" s="78"/>
      <c r="C272" s="80"/>
      <c r="D272" s="80"/>
      <c r="E272" s="80"/>
      <c r="F272" s="80"/>
      <c r="G272" s="80"/>
      <c r="H272" s="81"/>
      <c r="I272" s="80"/>
      <c r="J272" s="82"/>
      <c r="K272" s="83" t="str">
        <f aca="false">IF(OR(H272="",J272=""),"",H272*J272)</f>
        <v/>
      </c>
      <c r="L272" s="88"/>
      <c r="M272" s="88"/>
      <c r="N272" s="88"/>
      <c r="O272" s="83" t="str">
        <f aca="false">IF(K272="","",K272-IF(L272="",0,L272)+IF(M272="",0,M272)+IF(N272="",0,N272))</f>
        <v/>
      </c>
    </row>
    <row r="273" customFormat="false" ht="15.75" hidden="false" customHeight="true" outlineLevel="0" collapsed="false">
      <c r="A273" s="72"/>
      <c r="B273" s="70"/>
      <c r="C273" s="72"/>
      <c r="D273" s="72"/>
      <c r="E273" s="72"/>
      <c r="F273" s="72"/>
      <c r="G273" s="72"/>
      <c r="H273" s="73"/>
      <c r="I273" s="72"/>
      <c r="J273" s="74"/>
      <c r="K273" s="75" t="str">
        <f aca="false">IF(OR(H273="",J273=""),"",H273*J273)</f>
        <v/>
      </c>
      <c r="L273" s="87"/>
      <c r="M273" s="87"/>
      <c r="N273" s="87"/>
      <c r="O273" s="75" t="str">
        <f aca="false">IF(K273="","",K273-IF(L273="",0,L273)+IF(M273="",0,M273)+IF(N273="",0,N273))</f>
        <v/>
      </c>
    </row>
    <row r="274" customFormat="false" ht="15.75" hidden="false" customHeight="true" outlineLevel="0" collapsed="false">
      <c r="A274" s="80"/>
      <c r="B274" s="78"/>
      <c r="C274" s="80"/>
      <c r="D274" s="80"/>
      <c r="E274" s="80"/>
      <c r="F274" s="80"/>
      <c r="G274" s="80"/>
      <c r="H274" s="81"/>
      <c r="I274" s="80"/>
      <c r="J274" s="82"/>
      <c r="K274" s="83" t="str">
        <f aca="false">IF(OR(H274="",J274=""),"",H274*J274)</f>
        <v/>
      </c>
      <c r="L274" s="88"/>
      <c r="M274" s="88"/>
      <c r="N274" s="88"/>
      <c r="O274" s="83" t="str">
        <f aca="false">IF(K274="","",K274-IF(L274="",0,L274)+IF(M274="",0,M274)+IF(N274="",0,N274))</f>
        <v/>
      </c>
    </row>
    <row r="275" customFormat="false" ht="15.75" hidden="false" customHeight="true" outlineLevel="0" collapsed="false">
      <c r="A275" s="72"/>
      <c r="B275" s="70"/>
      <c r="C275" s="72"/>
      <c r="D275" s="72"/>
      <c r="E275" s="72"/>
      <c r="F275" s="72"/>
      <c r="G275" s="72"/>
      <c r="H275" s="73"/>
      <c r="I275" s="72"/>
      <c r="J275" s="74"/>
      <c r="K275" s="75" t="str">
        <f aca="false">IF(OR(H275="",J275=""),"",H275*J275)</f>
        <v/>
      </c>
      <c r="L275" s="87"/>
      <c r="M275" s="87"/>
      <c r="N275" s="87"/>
      <c r="O275" s="75" t="str">
        <f aca="false">IF(K275="","",K275-IF(L275="",0,L275)+IF(M275="",0,M275)+IF(N275="",0,N275))</f>
        <v/>
      </c>
    </row>
    <row r="276" customFormat="false" ht="15.75" hidden="false" customHeight="true" outlineLevel="0" collapsed="false">
      <c r="A276" s="80"/>
      <c r="B276" s="78"/>
      <c r="C276" s="80"/>
      <c r="D276" s="80"/>
      <c r="E276" s="80"/>
      <c r="F276" s="80"/>
      <c r="G276" s="80"/>
      <c r="H276" s="81"/>
      <c r="I276" s="80"/>
      <c r="J276" s="82"/>
      <c r="K276" s="83" t="str">
        <f aca="false">IF(OR(H276="",J276=""),"",H276*J276)</f>
        <v/>
      </c>
      <c r="L276" s="88"/>
      <c r="M276" s="88"/>
      <c r="N276" s="88"/>
      <c r="O276" s="83" t="str">
        <f aca="false">IF(K276="","",K276-IF(L276="",0,L276)+IF(M276="",0,M276)+IF(N276="",0,N276))</f>
        <v/>
      </c>
    </row>
    <row r="277" customFormat="false" ht="15.75" hidden="false" customHeight="true" outlineLevel="0" collapsed="false">
      <c r="A277" s="72"/>
      <c r="B277" s="70"/>
      <c r="C277" s="72"/>
      <c r="D277" s="72"/>
      <c r="E277" s="72"/>
      <c r="F277" s="72"/>
      <c r="G277" s="72"/>
      <c r="H277" s="73"/>
      <c r="I277" s="72"/>
      <c r="J277" s="74"/>
      <c r="K277" s="75" t="str">
        <f aca="false">IF(OR(H277="",J277=""),"",H277*J277)</f>
        <v/>
      </c>
      <c r="L277" s="87"/>
      <c r="M277" s="87"/>
      <c r="N277" s="87"/>
      <c r="O277" s="75" t="str">
        <f aca="false">IF(K277="","",K277-IF(L277="",0,L277)+IF(M277="",0,M277)+IF(N277="",0,N277))</f>
        <v/>
      </c>
    </row>
    <row r="278" customFormat="false" ht="15.75" hidden="false" customHeight="true" outlineLevel="0" collapsed="false">
      <c r="A278" s="80"/>
      <c r="B278" s="78"/>
      <c r="C278" s="80"/>
      <c r="D278" s="80"/>
      <c r="E278" s="80"/>
      <c r="F278" s="80"/>
      <c r="G278" s="80"/>
      <c r="H278" s="81"/>
      <c r="I278" s="80"/>
      <c r="J278" s="82"/>
      <c r="K278" s="83" t="str">
        <f aca="false">IF(OR(H278="",J278=""),"",H278*J278)</f>
        <v/>
      </c>
      <c r="L278" s="88"/>
      <c r="M278" s="88"/>
      <c r="N278" s="88"/>
      <c r="O278" s="83" t="str">
        <f aca="false">IF(K278="","",K278-IF(L278="",0,L278)+IF(M278="",0,M278)+IF(N278="",0,N278))</f>
        <v/>
      </c>
    </row>
    <row r="279" customFormat="false" ht="15.75" hidden="false" customHeight="true" outlineLevel="0" collapsed="false">
      <c r="A279" s="72"/>
      <c r="B279" s="70"/>
      <c r="C279" s="72"/>
      <c r="D279" s="72"/>
      <c r="E279" s="72"/>
      <c r="F279" s="72"/>
      <c r="G279" s="72"/>
      <c r="H279" s="73"/>
      <c r="I279" s="72"/>
      <c r="J279" s="74"/>
      <c r="K279" s="75" t="str">
        <f aca="false">IF(OR(H279="",J279=""),"",H279*J279)</f>
        <v/>
      </c>
      <c r="L279" s="87"/>
      <c r="M279" s="87"/>
      <c r="N279" s="87"/>
      <c r="O279" s="75" t="str">
        <f aca="false">IF(K279="","",K279-IF(L279="",0,L279)+IF(M279="",0,M279)+IF(N279="",0,N279))</f>
        <v/>
      </c>
    </row>
    <row r="280" customFormat="false" ht="15.75" hidden="false" customHeight="true" outlineLevel="0" collapsed="false">
      <c r="A280" s="80"/>
      <c r="B280" s="78"/>
      <c r="C280" s="80"/>
      <c r="D280" s="80"/>
      <c r="E280" s="80"/>
      <c r="F280" s="80"/>
      <c r="G280" s="80"/>
      <c r="H280" s="81"/>
      <c r="I280" s="80"/>
      <c r="J280" s="82"/>
      <c r="K280" s="83" t="str">
        <f aca="false">IF(OR(H280="",J280=""),"",H280*J280)</f>
        <v/>
      </c>
      <c r="L280" s="88"/>
      <c r="M280" s="88"/>
      <c r="N280" s="88"/>
      <c r="O280" s="83" t="str">
        <f aca="false">IF(K280="","",K280-IF(L280="",0,L280)+IF(M280="",0,M280)+IF(N280="",0,N280))</f>
        <v/>
      </c>
    </row>
    <row r="281" customFormat="false" ht="15.75" hidden="false" customHeight="true" outlineLevel="0" collapsed="false">
      <c r="A281" s="72"/>
      <c r="B281" s="70"/>
      <c r="C281" s="72"/>
      <c r="D281" s="72"/>
      <c r="E281" s="72"/>
      <c r="F281" s="72"/>
      <c r="G281" s="72"/>
      <c r="H281" s="73"/>
      <c r="I281" s="72"/>
      <c r="J281" s="74"/>
      <c r="K281" s="75" t="str">
        <f aca="false">IF(OR(H281="",J281=""),"",H281*J281)</f>
        <v/>
      </c>
      <c r="L281" s="87"/>
      <c r="M281" s="87"/>
      <c r="N281" s="87"/>
      <c r="O281" s="75" t="str">
        <f aca="false">IF(K281="","",K281-IF(L281="",0,L281)+IF(M281="",0,M281)+IF(N281="",0,N281))</f>
        <v/>
      </c>
    </row>
    <row r="282" customFormat="false" ht="15.75" hidden="false" customHeight="true" outlineLevel="0" collapsed="false">
      <c r="A282" s="80"/>
      <c r="B282" s="78"/>
      <c r="C282" s="80"/>
      <c r="D282" s="80"/>
      <c r="E282" s="80"/>
      <c r="F282" s="80"/>
      <c r="G282" s="80"/>
      <c r="H282" s="81"/>
      <c r="I282" s="80"/>
      <c r="J282" s="82"/>
      <c r="K282" s="83" t="str">
        <f aca="false">IF(OR(H282="",J282=""),"",H282*J282)</f>
        <v/>
      </c>
      <c r="L282" s="88"/>
      <c r="M282" s="88"/>
      <c r="N282" s="88"/>
      <c r="O282" s="83" t="str">
        <f aca="false">IF(K282="","",K282-IF(L282="",0,L282)+IF(M282="",0,M282)+IF(N282="",0,N282))</f>
        <v/>
      </c>
    </row>
    <row r="283" customFormat="false" ht="15.75" hidden="false" customHeight="true" outlineLevel="0" collapsed="false">
      <c r="A283" s="72"/>
      <c r="B283" s="70"/>
      <c r="C283" s="72"/>
      <c r="D283" s="72"/>
      <c r="E283" s="72"/>
      <c r="F283" s="72"/>
      <c r="G283" s="72"/>
      <c r="H283" s="73"/>
      <c r="I283" s="72"/>
      <c r="J283" s="74"/>
      <c r="K283" s="75" t="str">
        <f aca="false">IF(OR(H283="",J283=""),"",H283*J283)</f>
        <v/>
      </c>
      <c r="L283" s="87"/>
      <c r="M283" s="87"/>
      <c r="N283" s="87"/>
      <c r="O283" s="75" t="str">
        <f aca="false">IF(K283="","",K283-IF(L283="",0,L283)+IF(M283="",0,M283)+IF(N283="",0,N283))</f>
        <v/>
      </c>
    </row>
    <row r="284" customFormat="false" ht="15.75" hidden="false" customHeight="true" outlineLevel="0" collapsed="false">
      <c r="A284" s="80"/>
      <c r="B284" s="78"/>
      <c r="C284" s="80"/>
      <c r="D284" s="80"/>
      <c r="E284" s="80"/>
      <c r="F284" s="80"/>
      <c r="G284" s="80"/>
      <c r="H284" s="81"/>
      <c r="I284" s="80"/>
      <c r="J284" s="82"/>
      <c r="K284" s="83" t="str">
        <f aca="false">IF(OR(H284="",J284=""),"",H284*J284)</f>
        <v/>
      </c>
      <c r="L284" s="88"/>
      <c r="M284" s="88"/>
      <c r="N284" s="88"/>
      <c r="O284" s="83" t="str">
        <f aca="false">IF(K284="","",K284-IF(L284="",0,L284)+IF(M284="",0,M284)+IF(N284="",0,N284))</f>
        <v/>
      </c>
    </row>
    <row r="285" customFormat="false" ht="15.75" hidden="false" customHeight="true" outlineLevel="0" collapsed="false">
      <c r="A285" s="72"/>
      <c r="B285" s="70"/>
      <c r="C285" s="72"/>
      <c r="D285" s="72"/>
      <c r="E285" s="72"/>
      <c r="F285" s="72"/>
      <c r="G285" s="72"/>
      <c r="H285" s="73"/>
      <c r="I285" s="72"/>
      <c r="J285" s="74"/>
      <c r="K285" s="75" t="str">
        <f aca="false">IF(OR(H285="",J285=""),"",H285*J285)</f>
        <v/>
      </c>
      <c r="L285" s="87"/>
      <c r="M285" s="87"/>
      <c r="N285" s="87"/>
      <c r="O285" s="75" t="str">
        <f aca="false">IF(K285="","",K285-IF(L285="",0,L285)+IF(M285="",0,M285)+IF(N285="",0,N285))</f>
        <v/>
      </c>
    </row>
    <row r="286" customFormat="false" ht="15.75" hidden="false" customHeight="true" outlineLevel="0" collapsed="false">
      <c r="A286" s="80"/>
      <c r="B286" s="78"/>
      <c r="C286" s="80"/>
      <c r="D286" s="80"/>
      <c r="E286" s="80"/>
      <c r="F286" s="80"/>
      <c r="G286" s="80"/>
      <c r="H286" s="81"/>
      <c r="I286" s="80"/>
      <c r="J286" s="82"/>
      <c r="K286" s="83" t="str">
        <f aca="false">IF(OR(H286="",J286=""),"",H286*J286)</f>
        <v/>
      </c>
      <c r="L286" s="88"/>
      <c r="M286" s="88"/>
      <c r="N286" s="88"/>
      <c r="O286" s="83" t="str">
        <f aca="false">IF(K286="","",K286-IF(L286="",0,L286)+IF(M286="",0,M286)+IF(N286="",0,N286))</f>
        <v/>
      </c>
    </row>
    <row r="287" customFormat="false" ht="15.75" hidden="false" customHeight="true" outlineLevel="0" collapsed="false">
      <c r="A287" s="72"/>
      <c r="B287" s="70"/>
      <c r="C287" s="72"/>
      <c r="D287" s="72"/>
      <c r="E287" s="72"/>
      <c r="F287" s="72"/>
      <c r="G287" s="72"/>
      <c r="H287" s="73"/>
      <c r="I287" s="72"/>
      <c r="J287" s="74"/>
      <c r="K287" s="75" t="str">
        <f aca="false">IF(OR(H287="",J287=""),"",H287*J287)</f>
        <v/>
      </c>
      <c r="L287" s="87"/>
      <c r="M287" s="87"/>
      <c r="N287" s="87"/>
      <c r="O287" s="75" t="str">
        <f aca="false">IF(K287="","",K287-IF(L287="",0,L287)+IF(M287="",0,M287)+IF(N287="",0,N287))</f>
        <v/>
      </c>
    </row>
    <row r="288" customFormat="false" ht="15.75" hidden="false" customHeight="true" outlineLevel="0" collapsed="false">
      <c r="A288" s="80"/>
      <c r="B288" s="78"/>
      <c r="C288" s="80"/>
      <c r="D288" s="80"/>
      <c r="E288" s="80"/>
      <c r="F288" s="80"/>
      <c r="G288" s="80"/>
      <c r="H288" s="81"/>
      <c r="I288" s="80"/>
      <c r="J288" s="82"/>
      <c r="K288" s="83" t="str">
        <f aca="false">IF(OR(H288="",J288=""),"",H288*J288)</f>
        <v/>
      </c>
      <c r="L288" s="88"/>
      <c r="M288" s="88"/>
      <c r="N288" s="88"/>
      <c r="O288" s="83" t="str">
        <f aca="false">IF(K288="","",K288-IF(L288="",0,L288)+IF(M288="",0,M288)+IF(N288="",0,N288))</f>
        <v/>
      </c>
    </row>
    <row r="289" customFormat="false" ht="15.75" hidden="false" customHeight="true" outlineLevel="0" collapsed="false">
      <c r="A289" s="72"/>
      <c r="B289" s="70"/>
      <c r="C289" s="72"/>
      <c r="D289" s="72"/>
      <c r="E289" s="72"/>
      <c r="F289" s="72"/>
      <c r="G289" s="72"/>
      <c r="H289" s="73"/>
      <c r="I289" s="72"/>
      <c r="J289" s="74"/>
      <c r="K289" s="75" t="str">
        <f aca="false">IF(OR(H289="",J289=""),"",H289*J289)</f>
        <v/>
      </c>
      <c r="L289" s="87"/>
      <c r="M289" s="87"/>
      <c r="N289" s="87"/>
      <c r="O289" s="75" t="str">
        <f aca="false">IF(K289="","",K289-IF(L289="",0,L289)+IF(M289="",0,M289)+IF(N289="",0,N289))</f>
        <v/>
      </c>
    </row>
    <row r="290" customFormat="false" ht="15.75" hidden="false" customHeight="true" outlineLevel="0" collapsed="false">
      <c r="A290" s="80"/>
      <c r="B290" s="78"/>
      <c r="C290" s="80"/>
      <c r="D290" s="80"/>
      <c r="E290" s="80"/>
      <c r="F290" s="80"/>
      <c r="G290" s="80"/>
      <c r="H290" s="81"/>
      <c r="I290" s="80"/>
      <c r="J290" s="82"/>
      <c r="K290" s="83" t="str">
        <f aca="false">IF(OR(H290="",J290=""),"",H290*J290)</f>
        <v/>
      </c>
      <c r="L290" s="88"/>
      <c r="M290" s="88"/>
      <c r="N290" s="88"/>
      <c r="O290" s="83" t="str">
        <f aca="false">IF(K290="","",K290-IF(L290="",0,L290)+IF(M290="",0,M290)+IF(N290="",0,N290))</f>
        <v/>
      </c>
    </row>
    <row r="291" customFormat="false" ht="15.75" hidden="false" customHeight="true" outlineLevel="0" collapsed="false">
      <c r="A291" s="72"/>
      <c r="B291" s="70"/>
      <c r="C291" s="72"/>
      <c r="D291" s="72"/>
      <c r="E291" s="72"/>
      <c r="F291" s="72"/>
      <c r="G291" s="72"/>
      <c r="H291" s="73"/>
      <c r="I291" s="72"/>
      <c r="J291" s="74"/>
      <c r="K291" s="75" t="str">
        <f aca="false">IF(OR(H291="",J291=""),"",H291*J291)</f>
        <v/>
      </c>
      <c r="L291" s="87"/>
      <c r="M291" s="87"/>
      <c r="N291" s="87"/>
      <c r="O291" s="75" t="str">
        <f aca="false">IF(K291="","",K291-IF(L291="",0,L291)+IF(M291="",0,M291)+IF(N291="",0,N291))</f>
        <v/>
      </c>
    </row>
    <row r="292" customFormat="false" ht="15.75" hidden="false" customHeight="true" outlineLevel="0" collapsed="false">
      <c r="A292" s="80"/>
      <c r="B292" s="78"/>
      <c r="C292" s="80"/>
      <c r="D292" s="80"/>
      <c r="E292" s="80"/>
      <c r="F292" s="80"/>
      <c r="G292" s="80"/>
      <c r="H292" s="81"/>
      <c r="I292" s="80"/>
      <c r="J292" s="82"/>
      <c r="K292" s="83" t="str">
        <f aca="false">IF(OR(H292="",J292=""),"",H292*J292)</f>
        <v/>
      </c>
      <c r="L292" s="88"/>
      <c r="M292" s="88"/>
      <c r="N292" s="88"/>
      <c r="O292" s="83" t="str">
        <f aca="false">IF(K292="","",K292-IF(L292="",0,L292)+IF(M292="",0,M292)+IF(N292="",0,N292))</f>
        <v/>
      </c>
    </row>
    <row r="293" customFormat="false" ht="15.75" hidden="false" customHeight="true" outlineLevel="0" collapsed="false">
      <c r="A293" s="72"/>
      <c r="B293" s="70"/>
      <c r="C293" s="72"/>
      <c r="D293" s="72"/>
      <c r="E293" s="72"/>
      <c r="F293" s="72"/>
      <c r="G293" s="72"/>
      <c r="H293" s="73"/>
      <c r="I293" s="72"/>
      <c r="J293" s="74"/>
      <c r="K293" s="75" t="str">
        <f aca="false">IF(OR(H293="",J293=""),"",H293*J293)</f>
        <v/>
      </c>
      <c r="L293" s="87"/>
      <c r="M293" s="87"/>
      <c r="N293" s="87"/>
      <c r="O293" s="75" t="str">
        <f aca="false">IF(K293="","",K293-IF(L293="",0,L293)+IF(M293="",0,M293)+IF(N293="",0,N293))</f>
        <v/>
      </c>
    </row>
    <row r="294" customFormat="false" ht="15.75" hidden="false" customHeight="true" outlineLevel="0" collapsed="false">
      <c r="A294" s="80"/>
      <c r="B294" s="78"/>
      <c r="C294" s="80"/>
      <c r="D294" s="80"/>
      <c r="E294" s="80"/>
      <c r="F294" s="80"/>
      <c r="G294" s="80"/>
      <c r="H294" s="81"/>
      <c r="I294" s="80"/>
      <c r="J294" s="82"/>
      <c r="K294" s="83" t="str">
        <f aca="false">IF(OR(H294="",J294=""),"",H294*J294)</f>
        <v/>
      </c>
      <c r="L294" s="88"/>
      <c r="M294" s="88"/>
      <c r="N294" s="88"/>
      <c r="O294" s="83" t="str">
        <f aca="false">IF(K294="","",K294-IF(L294="",0,L294)+IF(M294="",0,M294)+IF(N294="",0,N294))</f>
        <v/>
      </c>
    </row>
    <row r="295" customFormat="false" ht="15.75" hidden="false" customHeight="true" outlineLevel="0" collapsed="false">
      <c r="A295" s="72"/>
      <c r="B295" s="70"/>
      <c r="C295" s="72"/>
      <c r="D295" s="72"/>
      <c r="E295" s="72"/>
      <c r="F295" s="72"/>
      <c r="G295" s="72"/>
      <c r="H295" s="73"/>
      <c r="I295" s="72"/>
      <c r="J295" s="74"/>
      <c r="K295" s="75" t="str">
        <f aca="false">IF(OR(H295="",J295=""),"",H295*J295)</f>
        <v/>
      </c>
      <c r="L295" s="87"/>
      <c r="M295" s="87"/>
      <c r="N295" s="87"/>
      <c r="O295" s="75" t="str">
        <f aca="false">IF(K295="","",K295-IF(L295="",0,L295)+IF(M295="",0,M295)+IF(N295="",0,N295))</f>
        <v/>
      </c>
    </row>
    <row r="296" customFormat="false" ht="15.75" hidden="false" customHeight="true" outlineLevel="0" collapsed="false">
      <c r="A296" s="80"/>
      <c r="B296" s="78"/>
      <c r="C296" s="80"/>
      <c r="D296" s="80"/>
      <c r="E296" s="80"/>
      <c r="F296" s="80"/>
      <c r="G296" s="80"/>
      <c r="H296" s="81"/>
      <c r="I296" s="80"/>
      <c r="J296" s="82"/>
      <c r="K296" s="83" t="str">
        <f aca="false">IF(OR(H296="",J296=""),"",H296*J296)</f>
        <v/>
      </c>
      <c r="L296" s="88"/>
      <c r="M296" s="88"/>
      <c r="N296" s="88"/>
      <c r="O296" s="83" t="str">
        <f aca="false">IF(K296="","",K296-IF(L296="",0,L296)+IF(M296="",0,M296)+IF(N296="",0,N296))</f>
        <v/>
      </c>
    </row>
    <row r="297" customFormat="false" ht="15.75" hidden="false" customHeight="true" outlineLevel="0" collapsed="false">
      <c r="A297" s="72"/>
      <c r="B297" s="70"/>
      <c r="C297" s="72"/>
      <c r="D297" s="72"/>
      <c r="E297" s="72"/>
      <c r="F297" s="72"/>
      <c r="G297" s="72"/>
      <c r="H297" s="73"/>
      <c r="I297" s="72"/>
      <c r="J297" s="74"/>
      <c r="K297" s="75" t="str">
        <f aca="false">IF(OR(H297="",J297=""),"",H297*J297)</f>
        <v/>
      </c>
      <c r="L297" s="87"/>
      <c r="M297" s="87"/>
      <c r="N297" s="87"/>
      <c r="O297" s="75" t="str">
        <f aca="false">IF(K297="","",K297-IF(L297="",0,L297)+IF(M297="",0,M297)+IF(N297="",0,N297))</f>
        <v/>
      </c>
    </row>
    <row r="298" customFormat="false" ht="15.75" hidden="false" customHeight="true" outlineLevel="0" collapsed="false">
      <c r="A298" s="80"/>
      <c r="B298" s="78"/>
      <c r="C298" s="80"/>
      <c r="D298" s="80"/>
      <c r="E298" s="80"/>
      <c r="F298" s="80"/>
      <c r="G298" s="80"/>
      <c r="H298" s="81"/>
      <c r="I298" s="80"/>
      <c r="J298" s="82"/>
      <c r="K298" s="83" t="str">
        <f aca="false">IF(OR(H298="",J298=""),"",H298*J298)</f>
        <v/>
      </c>
      <c r="L298" s="88"/>
      <c r="M298" s="88"/>
      <c r="N298" s="88"/>
      <c r="O298" s="83" t="str">
        <f aca="false">IF(K298="","",K298-IF(L298="",0,L298)+IF(M298="",0,M298)+IF(N298="",0,N298))</f>
        <v/>
      </c>
    </row>
    <row r="299" customFormat="false" ht="15.75" hidden="false" customHeight="true" outlineLevel="0" collapsed="false">
      <c r="A299" s="72"/>
      <c r="B299" s="70"/>
      <c r="C299" s="72"/>
      <c r="D299" s="72"/>
      <c r="E299" s="72"/>
      <c r="F299" s="72"/>
      <c r="G299" s="72"/>
      <c r="H299" s="73"/>
      <c r="I299" s="72"/>
      <c r="J299" s="74"/>
      <c r="K299" s="75" t="str">
        <f aca="false">IF(OR(H299="",J299=""),"",H299*J299)</f>
        <v/>
      </c>
      <c r="L299" s="87"/>
      <c r="M299" s="87"/>
      <c r="N299" s="87"/>
      <c r="O299" s="75" t="str">
        <f aca="false">IF(K299="","",K299-IF(L299="",0,L299)+IF(M299="",0,M299)+IF(N299="",0,N299))</f>
        <v/>
      </c>
    </row>
    <row r="300" customFormat="false" ht="15.75" hidden="false" customHeight="true" outlineLevel="0" collapsed="false">
      <c r="A300" s="80"/>
      <c r="B300" s="78"/>
      <c r="C300" s="80"/>
      <c r="D300" s="80"/>
      <c r="E300" s="80"/>
      <c r="F300" s="80"/>
      <c r="G300" s="80"/>
      <c r="H300" s="81"/>
      <c r="I300" s="80"/>
      <c r="J300" s="82"/>
      <c r="K300" s="83" t="str">
        <f aca="false">IF(OR(H300="",J300=""),"",H300*J300)</f>
        <v/>
      </c>
      <c r="L300" s="88"/>
      <c r="M300" s="88"/>
      <c r="N300" s="88"/>
      <c r="O300" s="83" t="str">
        <f aca="false">IF(K300="","",K300-IF(L300="",0,L300)+IF(M300="",0,M300)+IF(N300="",0,N300))</f>
        <v/>
      </c>
    </row>
    <row r="301" customFormat="false" ht="15.75" hidden="false" customHeight="true" outlineLevel="0" collapsed="false">
      <c r="A301" s="72"/>
      <c r="B301" s="70"/>
      <c r="C301" s="72"/>
      <c r="D301" s="72"/>
      <c r="E301" s="72"/>
      <c r="F301" s="72"/>
      <c r="G301" s="72"/>
      <c r="H301" s="73"/>
      <c r="I301" s="72"/>
      <c r="J301" s="74"/>
      <c r="K301" s="75" t="str">
        <f aca="false">IF(OR(H301="",J301=""),"",H301*J301)</f>
        <v/>
      </c>
      <c r="L301" s="87"/>
      <c r="M301" s="87"/>
      <c r="N301" s="87"/>
      <c r="O301" s="75" t="str">
        <f aca="false">IF(K301="","",K301-IF(L301="",0,L301)+IF(M301="",0,M301)+IF(N301="",0,N301))</f>
        <v/>
      </c>
    </row>
    <row r="302" customFormat="false" ht="15.75" hidden="false" customHeight="true" outlineLevel="0" collapsed="false">
      <c r="A302" s="80"/>
      <c r="B302" s="78"/>
      <c r="C302" s="80"/>
      <c r="D302" s="80"/>
      <c r="E302" s="80"/>
      <c r="F302" s="80"/>
      <c r="G302" s="80"/>
      <c r="H302" s="81"/>
      <c r="I302" s="80"/>
      <c r="J302" s="82"/>
      <c r="K302" s="83" t="str">
        <f aca="false">IF(OR(H302="",J302=""),"",H302*J302)</f>
        <v/>
      </c>
      <c r="L302" s="88"/>
      <c r="M302" s="88"/>
      <c r="N302" s="88"/>
      <c r="O302" s="83" t="str">
        <f aca="false">IF(K302="","",K302-IF(L302="",0,L302)+IF(M302="",0,M302)+IF(N302="",0,N302))</f>
        <v/>
      </c>
    </row>
    <row r="303" customFormat="false" ht="15.75" hidden="false" customHeight="true" outlineLevel="0" collapsed="false">
      <c r="A303" s="72"/>
      <c r="B303" s="70"/>
      <c r="C303" s="72"/>
      <c r="D303" s="72"/>
      <c r="E303" s="72"/>
      <c r="F303" s="72"/>
      <c r="G303" s="72"/>
      <c r="H303" s="73"/>
      <c r="I303" s="72"/>
      <c r="J303" s="74"/>
      <c r="K303" s="75" t="str">
        <f aca="false">IF(OR(H303="",J303=""),"",H303*J303)</f>
        <v/>
      </c>
      <c r="L303" s="87"/>
      <c r="M303" s="87"/>
      <c r="N303" s="87"/>
      <c r="O303" s="75" t="str">
        <f aca="false">IF(K303="","",K303-IF(L303="",0,L303)+IF(M303="",0,M303)+IF(N303="",0,N303))</f>
        <v/>
      </c>
    </row>
    <row r="304" customFormat="false" ht="15.75" hidden="false" customHeight="true" outlineLevel="0" collapsed="false">
      <c r="A304" s="80"/>
      <c r="B304" s="78"/>
      <c r="C304" s="80"/>
      <c r="D304" s="80"/>
      <c r="E304" s="80"/>
      <c r="F304" s="80"/>
      <c r="G304" s="80"/>
      <c r="H304" s="81"/>
      <c r="I304" s="80"/>
      <c r="J304" s="82"/>
      <c r="K304" s="83" t="str">
        <f aca="false">IF(OR(H304="",J304=""),"",H304*J304)</f>
        <v/>
      </c>
      <c r="L304" s="88"/>
      <c r="M304" s="88"/>
      <c r="N304" s="88"/>
      <c r="O304" s="83" t="str">
        <f aca="false">IF(K304="","",K304-IF(L304="",0,L304)+IF(M304="",0,M304)+IF(N304="",0,N304))</f>
        <v/>
      </c>
    </row>
    <row r="305" customFormat="false" ht="15.75" hidden="false" customHeight="true" outlineLevel="0" collapsed="false">
      <c r="A305" s="72"/>
      <c r="B305" s="70"/>
      <c r="C305" s="72"/>
      <c r="D305" s="72"/>
      <c r="E305" s="72"/>
      <c r="F305" s="72"/>
      <c r="G305" s="72"/>
      <c r="H305" s="73"/>
      <c r="I305" s="72"/>
      <c r="J305" s="74"/>
      <c r="K305" s="75" t="str">
        <f aca="false">IF(OR(H305="",J305=""),"",H305*J305)</f>
        <v/>
      </c>
      <c r="L305" s="87"/>
      <c r="M305" s="87"/>
      <c r="N305" s="87"/>
      <c r="O305" s="75" t="str">
        <f aca="false">IF(K305="","",K305-IF(L305="",0,L305)+IF(M305="",0,M305)+IF(N305="",0,N305))</f>
        <v/>
      </c>
    </row>
    <row r="306" customFormat="false" ht="15.75" hidden="false" customHeight="true" outlineLevel="0" collapsed="false">
      <c r="A306" s="80"/>
      <c r="B306" s="78"/>
      <c r="C306" s="80"/>
      <c r="D306" s="80"/>
      <c r="E306" s="80"/>
      <c r="F306" s="80"/>
      <c r="G306" s="80"/>
      <c r="H306" s="81"/>
      <c r="I306" s="80"/>
      <c r="J306" s="82"/>
      <c r="K306" s="83" t="str">
        <f aca="false">IF(OR(H306="",J306=""),"",H306*J306)</f>
        <v/>
      </c>
      <c r="L306" s="88"/>
      <c r="M306" s="88"/>
      <c r="N306" s="88"/>
      <c r="O306" s="83" t="str">
        <f aca="false">IF(K306="","",K306-IF(L306="",0,L306)+IF(M306="",0,M306)+IF(N306="",0,N306))</f>
        <v/>
      </c>
    </row>
    <row r="307" customFormat="false" ht="15.75" hidden="false" customHeight="true" outlineLevel="0" collapsed="false">
      <c r="A307" s="72"/>
      <c r="B307" s="70"/>
      <c r="C307" s="72"/>
      <c r="D307" s="72"/>
      <c r="E307" s="72"/>
      <c r="F307" s="72"/>
      <c r="G307" s="72"/>
      <c r="H307" s="73"/>
      <c r="I307" s="72"/>
      <c r="J307" s="74"/>
      <c r="K307" s="75" t="str">
        <f aca="false">IF(OR(H307="",J307=""),"",H307*J307)</f>
        <v/>
      </c>
      <c r="L307" s="87"/>
      <c r="M307" s="87"/>
      <c r="N307" s="87"/>
      <c r="O307" s="75" t="str">
        <f aca="false">IF(K307="","",K307-IF(L307="",0,L307)+IF(M307="",0,M307)+IF(N307="",0,N307))</f>
        <v/>
      </c>
    </row>
    <row r="308" customFormat="false" ht="15.75" hidden="false" customHeight="true" outlineLevel="0" collapsed="false">
      <c r="A308" s="80"/>
      <c r="B308" s="78"/>
      <c r="C308" s="80"/>
      <c r="D308" s="80"/>
      <c r="E308" s="80"/>
      <c r="F308" s="80"/>
      <c r="G308" s="80"/>
      <c r="H308" s="81"/>
      <c r="I308" s="80"/>
      <c r="J308" s="82"/>
      <c r="K308" s="83" t="str">
        <f aca="false">IF(OR(H308="",J308=""),"",H308*J308)</f>
        <v/>
      </c>
      <c r="L308" s="88"/>
      <c r="M308" s="88"/>
      <c r="N308" s="88"/>
      <c r="O308" s="83" t="str">
        <f aca="false">IF(K308="","",K308-IF(L308="",0,L308)+IF(M308="",0,M308)+IF(N308="",0,N308))</f>
        <v/>
      </c>
    </row>
    <row r="309" customFormat="false" ht="15.75" hidden="false" customHeight="true" outlineLevel="0" collapsed="false">
      <c r="A309" s="72"/>
      <c r="B309" s="70"/>
      <c r="C309" s="72"/>
      <c r="D309" s="72"/>
      <c r="E309" s="72"/>
      <c r="F309" s="72"/>
      <c r="G309" s="72"/>
      <c r="H309" s="73"/>
      <c r="I309" s="72"/>
      <c r="J309" s="74"/>
      <c r="K309" s="75" t="str">
        <f aca="false">IF(OR(H309="",J309=""),"",H309*J309)</f>
        <v/>
      </c>
      <c r="L309" s="87"/>
      <c r="M309" s="87"/>
      <c r="N309" s="87"/>
      <c r="O309" s="75" t="str">
        <f aca="false">IF(K309="","",K309-IF(L309="",0,L309)+IF(M309="",0,M309)+IF(N309="",0,N309))</f>
        <v/>
      </c>
    </row>
    <row r="310" customFormat="false" ht="15.75" hidden="false" customHeight="true" outlineLevel="0" collapsed="false">
      <c r="A310" s="80"/>
      <c r="B310" s="78"/>
      <c r="C310" s="80"/>
      <c r="D310" s="80"/>
      <c r="E310" s="80"/>
      <c r="F310" s="80"/>
      <c r="G310" s="80"/>
      <c r="H310" s="81"/>
      <c r="I310" s="80"/>
      <c r="J310" s="82"/>
      <c r="K310" s="83" t="str">
        <f aca="false">IF(OR(H310="",J310=""),"",H310*J310)</f>
        <v/>
      </c>
      <c r="L310" s="88"/>
      <c r="M310" s="88"/>
      <c r="N310" s="88"/>
      <c r="O310" s="83" t="str">
        <f aca="false">IF(K310="","",K310-IF(L310="",0,L310)+IF(M310="",0,M310)+IF(N310="",0,N310))</f>
        <v/>
      </c>
    </row>
    <row r="311" customFormat="false" ht="15.75" hidden="false" customHeight="true" outlineLevel="0" collapsed="false">
      <c r="A311" s="72"/>
      <c r="B311" s="70"/>
      <c r="C311" s="72"/>
      <c r="D311" s="72"/>
      <c r="E311" s="72"/>
      <c r="F311" s="72"/>
      <c r="G311" s="72"/>
      <c r="H311" s="73"/>
      <c r="I311" s="72"/>
      <c r="J311" s="74"/>
      <c r="K311" s="75" t="str">
        <f aca="false">IF(OR(H311="",J311=""),"",H311*J311)</f>
        <v/>
      </c>
      <c r="L311" s="87"/>
      <c r="M311" s="87"/>
      <c r="N311" s="87"/>
      <c r="O311" s="75" t="str">
        <f aca="false">IF(K311="","",K311-IF(L311="",0,L311)+IF(M311="",0,M311)+IF(N311="",0,N311))</f>
        <v/>
      </c>
    </row>
    <row r="312" customFormat="false" ht="15.75" hidden="false" customHeight="true" outlineLevel="0" collapsed="false">
      <c r="A312" s="80"/>
      <c r="B312" s="78"/>
      <c r="C312" s="80"/>
      <c r="D312" s="80"/>
      <c r="E312" s="80"/>
      <c r="F312" s="80"/>
      <c r="G312" s="80"/>
      <c r="H312" s="81"/>
      <c r="I312" s="80"/>
      <c r="J312" s="82"/>
      <c r="K312" s="83" t="str">
        <f aca="false">IF(OR(H312="",J312=""),"",H312*J312)</f>
        <v/>
      </c>
      <c r="L312" s="88"/>
      <c r="M312" s="88"/>
      <c r="N312" s="88"/>
      <c r="O312" s="83" t="str">
        <f aca="false">IF(K312="","",K312-IF(L312="",0,L312)+IF(M312="",0,M312)+IF(N312="",0,N312))</f>
        <v/>
      </c>
    </row>
    <row r="313" customFormat="false" ht="15.75" hidden="false" customHeight="true" outlineLevel="0" collapsed="false">
      <c r="A313" s="72"/>
      <c r="B313" s="70"/>
      <c r="C313" s="72"/>
      <c r="D313" s="72"/>
      <c r="E313" s="72"/>
      <c r="F313" s="72"/>
      <c r="G313" s="72"/>
      <c r="H313" s="73"/>
      <c r="I313" s="72"/>
      <c r="J313" s="74"/>
      <c r="K313" s="75" t="str">
        <f aca="false">IF(OR(H313="",J313=""),"",H313*J313)</f>
        <v/>
      </c>
      <c r="L313" s="87"/>
      <c r="M313" s="87"/>
      <c r="N313" s="87"/>
      <c r="O313" s="75" t="str">
        <f aca="false">IF(K313="","",K313-IF(L313="",0,L313)+IF(M313="",0,M313)+IF(N313="",0,N313))</f>
        <v/>
      </c>
    </row>
    <row r="314" customFormat="false" ht="15.75" hidden="false" customHeight="true" outlineLevel="0" collapsed="false">
      <c r="A314" s="80"/>
      <c r="B314" s="78"/>
      <c r="C314" s="80"/>
      <c r="D314" s="80"/>
      <c r="E314" s="80"/>
      <c r="F314" s="80"/>
      <c r="G314" s="80"/>
      <c r="H314" s="81"/>
      <c r="I314" s="80"/>
      <c r="J314" s="82"/>
      <c r="K314" s="83" t="str">
        <f aca="false">IF(OR(H314="",J314=""),"",H314*J314)</f>
        <v/>
      </c>
      <c r="L314" s="88"/>
      <c r="M314" s="88"/>
      <c r="N314" s="88"/>
      <c r="O314" s="83" t="str">
        <f aca="false">IF(K314="","",K314-IF(L314="",0,L314)+IF(M314="",0,M314)+IF(N314="",0,N314))</f>
        <v/>
      </c>
    </row>
    <row r="315" customFormat="false" ht="15.75" hidden="false" customHeight="true" outlineLevel="0" collapsed="false">
      <c r="A315" s="72"/>
      <c r="B315" s="70"/>
      <c r="C315" s="72"/>
      <c r="D315" s="72"/>
      <c r="E315" s="72"/>
      <c r="F315" s="72"/>
      <c r="G315" s="72"/>
      <c r="H315" s="73"/>
      <c r="I315" s="72"/>
      <c r="J315" s="74"/>
      <c r="K315" s="75" t="str">
        <f aca="false">IF(OR(H315="",J315=""),"",H315*J315)</f>
        <v/>
      </c>
      <c r="L315" s="87"/>
      <c r="M315" s="87"/>
      <c r="N315" s="87"/>
      <c r="O315" s="75" t="str">
        <f aca="false">IF(K315="","",K315-IF(L315="",0,L315)+IF(M315="",0,M315)+IF(N315="",0,N315))</f>
        <v/>
      </c>
    </row>
    <row r="316" customFormat="false" ht="15.75" hidden="false" customHeight="true" outlineLevel="0" collapsed="false">
      <c r="A316" s="80"/>
      <c r="B316" s="78"/>
      <c r="C316" s="80"/>
      <c r="D316" s="80"/>
      <c r="E316" s="80"/>
      <c r="F316" s="80"/>
      <c r="G316" s="80"/>
      <c r="H316" s="81"/>
      <c r="I316" s="80"/>
      <c r="J316" s="82"/>
      <c r="K316" s="83" t="str">
        <f aca="false">IF(OR(H316="",J316=""),"",H316*J316)</f>
        <v/>
      </c>
      <c r="L316" s="88"/>
      <c r="M316" s="88"/>
      <c r="N316" s="88"/>
      <c r="O316" s="83" t="str">
        <f aca="false">IF(K316="","",K316-IF(L316="",0,L316)+IF(M316="",0,M316)+IF(N316="",0,N316))</f>
        <v/>
      </c>
    </row>
    <row r="317" customFormat="false" ht="15.75" hidden="false" customHeight="true" outlineLevel="0" collapsed="false">
      <c r="A317" s="72"/>
      <c r="B317" s="70"/>
      <c r="C317" s="72"/>
      <c r="D317" s="72"/>
      <c r="E317" s="72"/>
      <c r="F317" s="72"/>
      <c r="G317" s="72"/>
      <c r="H317" s="73"/>
      <c r="I317" s="72"/>
      <c r="J317" s="74"/>
      <c r="K317" s="75" t="str">
        <f aca="false">IF(OR(H317="",J317=""),"",H317*J317)</f>
        <v/>
      </c>
      <c r="L317" s="87"/>
      <c r="M317" s="87"/>
      <c r="N317" s="87"/>
      <c r="O317" s="75" t="str">
        <f aca="false">IF(K317="","",K317-IF(L317="",0,L317)+IF(M317="",0,M317)+IF(N317="",0,N317))</f>
        <v/>
      </c>
    </row>
    <row r="318" customFormat="false" ht="15.75" hidden="false" customHeight="true" outlineLevel="0" collapsed="false">
      <c r="A318" s="80"/>
      <c r="B318" s="78"/>
      <c r="C318" s="80"/>
      <c r="D318" s="80"/>
      <c r="E318" s="80"/>
      <c r="F318" s="80"/>
      <c r="G318" s="80"/>
      <c r="H318" s="81"/>
      <c r="I318" s="80"/>
      <c r="J318" s="82"/>
      <c r="K318" s="83" t="str">
        <f aca="false">IF(OR(H318="",J318=""),"",H318*J318)</f>
        <v/>
      </c>
      <c r="L318" s="88"/>
      <c r="M318" s="88"/>
      <c r="N318" s="88"/>
      <c r="O318" s="83" t="str">
        <f aca="false">IF(K318="","",K318-IF(L318="",0,L318)+IF(M318="",0,M318)+IF(N318="",0,N318))</f>
        <v/>
      </c>
    </row>
    <row r="319" customFormat="false" ht="15.75" hidden="false" customHeight="true" outlineLevel="0" collapsed="false">
      <c r="A319" s="72"/>
      <c r="B319" s="70"/>
      <c r="C319" s="72"/>
      <c r="D319" s="72"/>
      <c r="E319" s="72"/>
      <c r="F319" s="72"/>
      <c r="G319" s="72"/>
      <c r="H319" s="73"/>
      <c r="I319" s="72"/>
      <c r="J319" s="74"/>
      <c r="K319" s="75" t="str">
        <f aca="false">IF(OR(H319="",J319=""),"",H319*J319)</f>
        <v/>
      </c>
      <c r="L319" s="87"/>
      <c r="M319" s="87"/>
      <c r="N319" s="87"/>
      <c r="O319" s="75" t="str">
        <f aca="false">IF(K319="","",K319-IF(L319="",0,L319)+IF(M319="",0,M319)+IF(N319="",0,N319))</f>
        <v/>
      </c>
    </row>
    <row r="320" customFormat="false" ht="15.75" hidden="false" customHeight="true" outlineLevel="0" collapsed="false">
      <c r="A320" s="80"/>
      <c r="B320" s="78"/>
      <c r="C320" s="80"/>
      <c r="D320" s="80"/>
      <c r="E320" s="80"/>
      <c r="F320" s="80"/>
      <c r="G320" s="80"/>
      <c r="H320" s="81"/>
      <c r="I320" s="80"/>
      <c r="J320" s="82"/>
      <c r="K320" s="83" t="str">
        <f aca="false">IF(OR(H320="",J320=""),"",H320*J320)</f>
        <v/>
      </c>
      <c r="L320" s="88"/>
      <c r="M320" s="88"/>
      <c r="N320" s="88"/>
      <c r="O320" s="83" t="str">
        <f aca="false">IF(K320="","",K320-IF(L320="",0,L320)+IF(M320="",0,M320)+IF(N320="",0,N320))</f>
        <v/>
      </c>
    </row>
    <row r="321" customFormat="false" ht="15.75" hidden="false" customHeight="true" outlineLevel="0" collapsed="false">
      <c r="A321" s="72"/>
      <c r="B321" s="70"/>
      <c r="C321" s="72"/>
      <c r="D321" s="72"/>
      <c r="E321" s="72"/>
      <c r="F321" s="72"/>
      <c r="G321" s="72"/>
      <c r="H321" s="73"/>
      <c r="I321" s="72"/>
      <c r="J321" s="74"/>
      <c r="K321" s="75" t="str">
        <f aca="false">IF(OR(H321="",J321=""),"",H321*J321)</f>
        <v/>
      </c>
      <c r="L321" s="87"/>
      <c r="M321" s="87"/>
      <c r="N321" s="87"/>
      <c r="O321" s="75" t="str">
        <f aca="false">IF(K321="","",K321-IF(L321="",0,L321)+IF(M321="",0,M321)+IF(N321="",0,N321))</f>
        <v/>
      </c>
    </row>
    <row r="322" customFormat="false" ht="15.75" hidden="false" customHeight="true" outlineLevel="0" collapsed="false">
      <c r="A322" s="80"/>
      <c r="B322" s="78"/>
      <c r="C322" s="80"/>
      <c r="D322" s="80"/>
      <c r="E322" s="80"/>
      <c r="F322" s="80"/>
      <c r="G322" s="80"/>
      <c r="H322" s="81"/>
      <c r="I322" s="80"/>
      <c r="J322" s="82"/>
      <c r="K322" s="83" t="str">
        <f aca="false">IF(OR(H322="",J322=""),"",H322*J322)</f>
        <v/>
      </c>
      <c r="L322" s="88"/>
      <c r="M322" s="88"/>
      <c r="N322" s="88"/>
      <c r="O322" s="83" t="str">
        <f aca="false">IF(K322="","",K322-IF(L322="",0,L322)+IF(M322="",0,M322)+IF(N322="",0,N322))</f>
        <v/>
      </c>
    </row>
    <row r="323" customFormat="false" ht="15.75" hidden="false" customHeight="true" outlineLevel="0" collapsed="false">
      <c r="A323" s="72"/>
      <c r="B323" s="70"/>
      <c r="C323" s="72"/>
      <c r="D323" s="72"/>
      <c r="E323" s="72"/>
      <c r="F323" s="72"/>
      <c r="G323" s="72"/>
      <c r="H323" s="73"/>
      <c r="I323" s="72"/>
      <c r="J323" s="74"/>
      <c r="K323" s="75" t="str">
        <f aca="false">IF(OR(H323="",J323=""),"",H323*J323)</f>
        <v/>
      </c>
      <c r="L323" s="87"/>
      <c r="M323" s="87"/>
      <c r="N323" s="87"/>
      <c r="O323" s="75" t="str">
        <f aca="false">IF(K323="","",K323-IF(L323="",0,L323)+IF(M323="",0,M323)+IF(N323="",0,N323))</f>
        <v/>
      </c>
    </row>
    <row r="324" customFormat="false" ht="15.75" hidden="false" customHeight="true" outlineLevel="0" collapsed="false">
      <c r="A324" s="80"/>
      <c r="B324" s="78"/>
      <c r="C324" s="80"/>
      <c r="D324" s="80"/>
      <c r="E324" s="80"/>
      <c r="F324" s="80"/>
      <c r="G324" s="80"/>
      <c r="H324" s="81"/>
      <c r="I324" s="80"/>
      <c r="J324" s="82"/>
      <c r="K324" s="83" t="str">
        <f aca="false">IF(OR(H324="",J324=""),"",H324*J324)</f>
        <v/>
      </c>
      <c r="L324" s="88"/>
      <c r="M324" s="88"/>
      <c r="N324" s="88"/>
      <c r="O324" s="83" t="str">
        <f aca="false">IF(K324="","",K324-IF(L324="",0,L324)+IF(M324="",0,M324)+IF(N324="",0,N324))</f>
        <v/>
      </c>
    </row>
    <row r="325" customFormat="false" ht="15.75" hidden="false" customHeight="true" outlineLevel="0" collapsed="false">
      <c r="A325" s="72"/>
      <c r="B325" s="70"/>
      <c r="C325" s="72"/>
      <c r="D325" s="72"/>
      <c r="E325" s="72"/>
      <c r="F325" s="72"/>
      <c r="G325" s="72"/>
      <c r="H325" s="73"/>
      <c r="I325" s="72"/>
      <c r="J325" s="74"/>
      <c r="K325" s="75" t="str">
        <f aca="false">IF(OR(H325="",J325=""),"",H325*J325)</f>
        <v/>
      </c>
      <c r="L325" s="87"/>
      <c r="M325" s="87"/>
      <c r="N325" s="87"/>
      <c r="O325" s="75" t="str">
        <f aca="false">IF(K325="","",K325-IF(L325="",0,L325)+IF(M325="",0,M325)+IF(N325="",0,N325))</f>
        <v/>
      </c>
    </row>
    <row r="326" customFormat="false" ht="15.75" hidden="false" customHeight="true" outlineLevel="0" collapsed="false">
      <c r="A326" s="80"/>
      <c r="B326" s="78"/>
      <c r="C326" s="80"/>
      <c r="D326" s="80"/>
      <c r="E326" s="80"/>
      <c r="F326" s="80"/>
      <c r="G326" s="80"/>
      <c r="H326" s="81"/>
      <c r="I326" s="80"/>
      <c r="J326" s="82"/>
      <c r="K326" s="83" t="str">
        <f aca="false">IF(OR(H326="",J326=""),"",H326*J326)</f>
        <v/>
      </c>
      <c r="L326" s="88"/>
      <c r="M326" s="88"/>
      <c r="N326" s="88"/>
      <c r="O326" s="83" t="str">
        <f aca="false">IF(K326="","",K326-IF(L326="",0,L326)+IF(M326="",0,M326)+IF(N326="",0,N326))</f>
        <v/>
      </c>
    </row>
    <row r="327" customFormat="false" ht="15.75" hidden="false" customHeight="true" outlineLevel="0" collapsed="false">
      <c r="A327" s="72"/>
      <c r="B327" s="70"/>
      <c r="C327" s="72"/>
      <c r="D327" s="72"/>
      <c r="E327" s="72"/>
      <c r="F327" s="72"/>
      <c r="G327" s="72"/>
      <c r="H327" s="73"/>
      <c r="I327" s="72"/>
      <c r="J327" s="74"/>
      <c r="K327" s="75" t="str">
        <f aca="false">IF(OR(H327="",J327=""),"",H327*J327)</f>
        <v/>
      </c>
      <c r="L327" s="87"/>
      <c r="M327" s="87"/>
      <c r="N327" s="87"/>
      <c r="O327" s="75" t="str">
        <f aca="false">IF(K327="","",K327-IF(L327="",0,L327)+IF(M327="",0,M327)+IF(N327="",0,N327))</f>
        <v/>
      </c>
    </row>
    <row r="328" customFormat="false" ht="15.75" hidden="false" customHeight="true" outlineLevel="0" collapsed="false">
      <c r="A328" s="80"/>
      <c r="B328" s="78"/>
      <c r="C328" s="80"/>
      <c r="D328" s="80"/>
      <c r="E328" s="80"/>
      <c r="F328" s="80"/>
      <c r="G328" s="80"/>
      <c r="H328" s="81"/>
      <c r="I328" s="80"/>
      <c r="J328" s="82"/>
      <c r="K328" s="83" t="str">
        <f aca="false">IF(OR(H328="",J328=""),"",H328*J328)</f>
        <v/>
      </c>
      <c r="L328" s="88"/>
      <c r="M328" s="88"/>
      <c r="N328" s="88"/>
      <c r="O328" s="83" t="str">
        <f aca="false">IF(K328="","",K328-IF(L328="",0,L328)+IF(M328="",0,M328)+IF(N328="",0,N328))</f>
        <v/>
      </c>
    </row>
    <row r="329" customFormat="false" ht="15.75" hidden="false" customHeight="true" outlineLevel="0" collapsed="false">
      <c r="A329" s="72"/>
      <c r="B329" s="70"/>
      <c r="C329" s="72"/>
      <c r="D329" s="72"/>
      <c r="E329" s="72"/>
      <c r="F329" s="72"/>
      <c r="G329" s="72"/>
      <c r="H329" s="73"/>
      <c r="I329" s="72"/>
      <c r="J329" s="74"/>
      <c r="K329" s="75" t="str">
        <f aca="false">IF(OR(H329="",J329=""),"",H329*J329)</f>
        <v/>
      </c>
      <c r="L329" s="87"/>
      <c r="M329" s="87"/>
      <c r="N329" s="87"/>
      <c r="O329" s="75" t="str">
        <f aca="false">IF(K329="","",K329-IF(L329="",0,L329)+IF(M329="",0,M329)+IF(N329="",0,N329))</f>
        <v/>
      </c>
    </row>
    <row r="330" customFormat="false" ht="15.75" hidden="false" customHeight="true" outlineLevel="0" collapsed="false">
      <c r="A330" s="80"/>
      <c r="B330" s="78"/>
      <c r="C330" s="80"/>
      <c r="D330" s="80"/>
      <c r="E330" s="80"/>
      <c r="F330" s="80"/>
      <c r="G330" s="80"/>
      <c r="H330" s="81"/>
      <c r="I330" s="80"/>
      <c r="J330" s="82"/>
      <c r="K330" s="83" t="str">
        <f aca="false">IF(OR(H330="",J330=""),"",H330*J330)</f>
        <v/>
      </c>
      <c r="L330" s="88"/>
      <c r="M330" s="88"/>
      <c r="N330" s="88"/>
      <c r="O330" s="83" t="str">
        <f aca="false">IF(K330="","",K330-IF(L330="",0,L330)+IF(M330="",0,M330)+IF(N330="",0,N330))</f>
        <v/>
      </c>
    </row>
    <row r="331" customFormat="false" ht="15.75" hidden="false" customHeight="true" outlineLevel="0" collapsed="false">
      <c r="A331" s="72"/>
      <c r="B331" s="70"/>
      <c r="C331" s="72"/>
      <c r="D331" s="72"/>
      <c r="E331" s="72"/>
      <c r="F331" s="72"/>
      <c r="G331" s="72"/>
      <c r="H331" s="73"/>
      <c r="I331" s="72"/>
      <c r="J331" s="74"/>
      <c r="K331" s="75" t="str">
        <f aca="false">IF(OR(H331="",J331=""),"",H331*J331)</f>
        <v/>
      </c>
      <c r="L331" s="87"/>
      <c r="M331" s="87"/>
      <c r="N331" s="87"/>
      <c r="O331" s="75" t="str">
        <f aca="false">IF(K331="","",K331-IF(L331="",0,L331)+IF(M331="",0,M331)+IF(N331="",0,N331))</f>
        <v/>
      </c>
    </row>
    <row r="332" customFormat="false" ht="15.75" hidden="false" customHeight="true" outlineLevel="0" collapsed="false">
      <c r="A332" s="80"/>
      <c r="B332" s="78"/>
      <c r="C332" s="80"/>
      <c r="D332" s="80"/>
      <c r="E332" s="80"/>
      <c r="F332" s="80"/>
      <c r="G332" s="80"/>
      <c r="H332" s="81"/>
      <c r="I332" s="80"/>
      <c r="J332" s="82"/>
      <c r="K332" s="83" t="str">
        <f aca="false">IF(OR(H332="",J332=""),"",H332*J332)</f>
        <v/>
      </c>
      <c r="L332" s="88"/>
      <c r="M332" s="88"/>
      <c r="N332" s="88"/>
      <c r="O332" s="83" t="str">
        <f aca="false">IF(K332="","",K332-IF(L332="",0,L332)+IF(M332="",0,M332)+IF(N332="",0,N332))</f>
        <v/>
      </c>
    </row>
    <row r="333" customFormat="false" ht="15.75" hidden="false" customHeight="true" outlineLevel="0" collapsed="false">
      <c r="A333" s="72"/>
      <c r="B333" s="70"/>
      <c r="C333" s="72"/>
      <c r="D333" s="72"/>
      <c r="E333" s="72"/>
      <c r="F333" s="72"/>
      <c r="G333" s="72"/>
      <c r="H333" s="73"/>
      <c r="I333" s="72"/>
      <c r="J333" s="74"/>
      <c r="K333" s="75" t="str">
        <f aca="false">IF(OR(H333="",J333=""),"",H333*J333)</f>
        <v/>
      </c>
      <c r="L333" s="87"/>
      <c r="M333" s="87"/>
      <c r="N333" s="87"/>
      <c r="O333" s="75" t="str">
        <f aca="false">IF(K333="","",K333-IF(L333="",0,L333)+IF(M333="",0,M333)+IF(N333="",0,N333))</f>
        <v/>
      </c>
    </row>
    <row r="334" customFormat="false" ht="15.75" hidden="false" customHeight="true" outlineLevel="0" collapsed="false">
      <c r="A334" s="80"/>
      <c r="B334" s="78"/>
      <c r="C334" s="80"/>
      <c r="D334" s="80"/>
      <c r="E334" s="80"/>
      <c r="F334" s="80"/>
      <c r="G334" s="80"/>
      <c r="H334" s="81"/>
      <c r="I334" s="80"/>
      <c r="J334" s="82"/>
      <c r="K334" s="83" t="str">
        <f aca="false">IF(OR(H334="",J334=""),"",H334*J334)</f>
        <v/>
      </c>
      <c r="L334" s="88"/>
      <c r="M334" s="88"/>
      <c r="N334" s="88"/>
      <c r="O334" s="83" t="str">
        <f aca="false">IF(K334="","",K334-IF(L334="",0,L334)+IF(M334="",0,M334)+IF(N334="",0,N334))</f>
        <v/>
      </c>
    </row>
    <row r="335" customFormat="false" ht="15.75" hidden="false" customHeight="true" outlineLevel="0" collapsed="false">
      <c r="A335" s="72"/>
      <c r="B335" s="70"/>
      <c r="C335" s="72"/>
      <c r="D335" s="72"/>
      <c r="E335" s="72"/>
      <c r="F335" s="72"/>
      <c r="G335" s="72"/>
      <c r="H335" s="73"/>
      <c r="I335" s="72"/>
      <c r="J335" s="74"/>
      <c r="K335" s="75" t="str">
        <f aca="false">IF(OR(H335="",J335=""),"",H335*J335)</f>
        <v/>
      </c>
      <c r="L335" s="87"/>
      <c r="M335" s="87"/>
      <c r="N335" s="87"/>
      <c r="O335" s="75" t="str">
        <f aca="false">IF(K335="","",K335-IF(L335="",0,L335)+IF(M335="",0,M335)+IF(N335="",0,N335))</f>
        <v/>
      </c>
    </row>
    <row r="336" customFormat="false" ht="15.75" hidden="false" customHeight="true" outlineLevel="0" collapsed="false">
      <c r="A336" s="80"/>
      <c r="B336" s="78"/>
      <c r="C336" s="80"/>
      <c r="D336" s="80"/>
      <c r="E336" s="80"/>
      <c r="F336" s="80"/>
      <c r="G336" s="80"/>
      <c r="H336" s="81"/>
      <c r="I336" s="80"/>
      <c r="J336" s="82"/>
      <c r="K336" s="83" t="str">
        <f aca="false">IF(OR(H336="",J336=""),"",H336*J336)</f>
        <v/>
      </c>
      <c r="L336" s="88"/>
      <c r="M336" s="88"/>
      <c r="N336" s="88"/>
      <c r="O336" s="83" t="str">
        <f aca="false">IF(K336="","",K336-IF(L336="",0,L336)+IF(M336="",0,M336)+IF(N336="",0,N336))</f>
        <v/>
      </c>
    </row>
    <row r="337" customFormat="false" ht="15.75" hidden="false" customHeight="true" outlineLevel="0" collapsed="false">
      <c r="A337" s="72"/>
      <c r="B337" s="70"/>
      <c r="C337" s="72"/>
      <c r="D337" s="72"/>
      <c r="E337" s="72"/>
      <c r="F337" s="72"/>
      <c r="G337" s="72"/>
      <c r="H337" s="73"/>
      <c r="I337" s="72"/>
      <c r="J337" s="74"/>
      <c r="K337" s="75" t="str">
        <f aca="false">IF(OR(H337="",J337=""),"",H337*J337)</f>
        <v/>
      </c>
      <c r="L337" s="87"/>
      <c r="M337" s="87"/>
      <c r="N337" s="87"/>
      <c r="O337" s="75" t="str">
        <f aca="false">IF(K337="","",K337-IF(L337="",0,L337)+IF(M337="",0,M337)+IF(N337="",0,N337))</f>
        <v/>
      </c>
    </row>
    <row r="338" customFormat="false" ht="15.75" hidden="false" customHeight="true" outlineLevel="0" collapsed="false">
      <c r="A338" s="80"/>
      <c r="B338" s="78"/>
      <c r="C338" s="80"/>
      <c r="D338" s="80"/>
      <c r="E338" s="80"/>
      <c r="F338" s="80"/>
      <c r="G338" s="80"/>
      <c r="H338" s="81"/>
      <c r="I338" s="80"/>
      <c r="J338" s="82"/>
      <c r="K338" s="83" t="str">
        <f aca="false">IF(OR(H338="",J338=""),"",H338*J338)</f>
        <v/>
      </c>
      <c r="L338" s="88"/>
      <c r="M338" s="88"/>
      <c r="N338" s="88"/>
      <c r="O338" s="83" t="str">
        <f aca="false">IF(K338="","",K338-IF(L338="",0,L338)+IF(M338="",0,M338)+IF(N338="",0,N338))</f>
        <v/>
      </c>
    </row>
    <row r="339" customFormat="false" ht="15.75" hidden="false" customHeight="true" outlineLevel="0" collapsed="false">
      <c r="A339" s="72"/>
      <c r="B339" s="70"/>
      <c r="C339" s="72"/>
      <c r="D339" s="72"/>
      <c r="E339" s="72"/>
      <c r="F339" s="72"/>
      <c r="G339" s="72"/>
      <c r="H339" s="73"/>
      <c r="I339" s="72"/>
      <c r="J339" s="74"/>
      <c r="K339" s="75" t="str">
        <f aca="false">IF(OR(H339="",J339=""),"",H339*J339)</f>
        <v/>
      </c>
      <c r="L339" s="87"/>
      <c r="M339" s="87"/>
      <c r="N339" s="87"/>
      <c r="O339" s="75" t="str">
        <f aca="false">IF(K339="","",K339-IF(L339="",0,L339)+IF(M339="",0,M339)+IF(N339="",0,N339))</f>
        <v/>
      </c>
    </row>
    <row r="340" customFormat="false" ht="15.75" hidden="false" customHeight="true" outlineLevel="0" collapsed="false">
      <c r="A340" s="80"/>
      <c r="B340" s="78"/>
      <c r="C340" s="80"/>
      <c r="D340" s="80"/>
      <c r="E340" s="80"/>
      <c r="F340" s="80"/>
      <c r="G340" s="80"/>
      <c r="H340" s="81"/>
      <c r="I340" s="80"/>
      <c r="J340" s="82"/>
      <c r="K340" s="83" t="str">
        <f aca="false">IF(OR(H340="",J340=""),"",H340*J340)</f>
        <v/>
      </c>
      <c r="L340" s="88"/>
      <c r="M340" s="88"/>
      <c r="N340" s="88"/>
      <c r="O340" s="83" t="str">
        <f aca="false">IF(K340="","",K340-IF(L340="",0,L340)+IF(M340="",0,M340)+IF(N340="",0,N340))</f>
        <v/>
      </c>
    </row>
    <row r="341" customFormat="false" ht="15.75" hidden="false" customHeight="true" outlineLevel="0" collapsed="false">
      <c r="A341" s="72"/>
      <c r="B341" s="70"/>
      <c r="C341" s="72"/>
      <c r="D341" s="72"/>
      <c r="E341" s="72"/>
      <c r="F341" s="72"/>
      <c r="G341" s="72"/>
      <c r="H341" s="73"/>
      <c r="I341" s="72"/>
      <c r="J341" s="74"/>
      <c r="K341" s="75" t="str">
        <f aca="false">IF(OR(H341="",J341=""),"",H341*J341)</f>
        <v/>
      </c>
      <c r="L341" s="87"/>
      <c r="M341" s="87"/>
      <c r="N341" s="87"/>
      <c r="O341" s="75" t="str">
        <f aca="false">IF(K341="","",K341-IF(L341="",0,L341)+IF(M341="",0,M341)+IF(N341="",0,N341))</f>
        <v/>
      </c>
    </row>
    <row r="342" customFormat="false" ht="15.75" hidden="false" customHeight="true" outlineLevel="0" collapsed="false">
      <c r="A342" s="80"/>
      <c r="B342" s="78"/>
      <c r="C342" s="80"/>
      <c r="D342" s="80"/>
      <c r="E342" s="80"/>
      <c r="F342" s="80"/>
      <c r="G342" s="80"/>
      <c r="H342" s="81"/>
      <c r="I342" s="80"/>
      <c r="J342" s="82"/>
      <c r="K342" s="83" t="str">
        <f aca="false">IF(OR(H342="",J342=""),"",H342*J342)</f>
        <v/>
      </c>
      <c r="L342" s="88"/>
      <c r="M342" s="88"/>
      <c r="N342" s="88"/>
      <c r="O342" s="83" t="str">
        <f aca="false">IF(K342="","",K342-IF(L342="",0,L342)+IF(M342="",0,M342)+IF(N342="",0,N342))</f>
        <v/>
      </c>
    </row>
    <row r="343" customFormat="false" ht="15.75" hidden="false" customHeight="true" outlineLevel="0" collapsed="false">
      <c r="A343" s="72"/>
      <c r="B343" s="70"/>
      <c r="C343" s="72"/>
      <c r="D343" s="72"/>
      <c r="E343" s="72"/>
      <c r="F343" s="72"/>
      <c r="G343" s="72"/>
      <c r="H343" s="73"/>
      <c r="I343" s="72"/>
      <c r="J343" s="74"/>
      <c r="K343" s="75" t="str">
        <f aca="false">IF(OR(H343="",J343=""),"",H343*J343)</f>
        <v/>
      </c>
      <c r="L343" s="87"/>
      <c r="M343" s="87"/>
      <c r="N343" s="87"/>
      <c r="O343" s="75" t="str">
        <f aca="false">IF(K343="","",K343-IF(L343="",0,L343)+IF(M343="",0,M343)+IF(N343="",0,N343))</f>
        <v/>
      </c>
    </row>
    <row r="344" customFormat="false" ht="15.75" hidden="false" customHeight="true" outlineLevel="0" collapsed="false">
      <c r="A344" s="80"/>
      <c r="B344" s="78"/>
      <c r="C344" s="80"/>
      <c r="D344" s="80"/>
      <c r="E344" s="80"/>
      <c r="F344" s="80"/>
      <c r="G344" s="80"/>
      <c r="H344" s="81"/>
      <c r="I344" s="80"/>
      <c r="J344" s="82"/>
      <c r="K344" s="83" t="str">
        <f aca="false">IF(OR(H344="",J344=""),"",H344*J344)</f>
        <v/>
      </c>
      <c r="L344" s="88"/>
      <c r="M344" s="88"/>
      <c r="N344" s="88"/>
      <c r="O344" s="83" t="str">
        <f aca="false">IF(K344="","",K344-IF(L344="",0,L344)+IF(M344="",0,M344)+IF(N344="",0,N344))</f>
        <v/>
      </c>
    </row>
    <row r="345" customFormat="false" ht="15.75" hidden="false" customHeight="true" outlineLevel="0" collapsed="false">
      <c r="A345" s="72"/>
      <c r="B345" s="70"/>
      <c r="C345" s="72"/>
      <c r="D345" s="72"/>
      <c r="E345" s="72"/>
      <c r="F345" s="72"/>
      <c r="G345" s="72"/>
      <c r="H345" s="73"/>
      <c r="I345" s="72"/>
      <c r="J345" s="74"/>
      <c r="K345" s="75" t="str">
        <f aca="false">IF(OR(H345="",J345=""),"",H345*J345)</f>
        <v/>
      </c>
      <c r="L345" s="87"/>
      <c r="M345" s="87"/>
      <c r="N345" s="87"/>
      <c r="O345" s="75" t="str">
        <f aca="false">IF(K345="","",K345-IF(L345="",0,L345)+IF(M345="",0,M345)+IF(N345="",0,N345))</f>
        <v/>
      </c>
    </row>
    <row r="346" customFormat="false" ht="15.75" hidden="false" customHeight="true" outlineLevel="0" collapsed="false">
      <c r="A346" s="80"/>
      <c r="B346" s="78"/>
      <c r="C346" s="80"/>
      <c r="D346" s="80"/>
      <c r="E346" s="80"/>
      <c r="F346" s="80"/>
      <c r="G346" s="80"/>
      <c r="H346" s="81"/>
      <c r="I346" s="80"/>
      <c r="J346" s="82"/>
      <c r="K346" s="83" t="str">
        <f aca="false">IF(OR(H346="",J346=""),"",H346*J346)</f>
        <v/>
      </c>
      <c r="L346" s="88"/>
      <c r="M346" s="88"/>
      <c r="N346" s="88"/>
      <c r="O346" s="83" t="str">
        <f aca="false">IF(K346="","",K346-IF(L346="",0,L346)+IF(M346="",0,M346)+IF(N346="",0,N346))</f>
        <v/>
      </c>
    </row>
    <row r="347" customFormat="false" ht="15.75" hidden="false" customHeight="true" outlineLevel="0" collapsed="false">
      <c r="A347" s="72"/>
      <c r="B347" s="70"/>
      <c r="C347" s="72"/>
      <c r="D347" s="72"/>
      <c r="E347" s="72"/>
      <c r="F347" s="72"/>
      <c r="G347" s="72"/>
      <c r="H347" s="73"/>
      <c r="I347" s="72"/>
      <c r="J347" s="74"/>
      <c r="K347" s="75" t="str">
        <f aca="false">IF(OR(H347="",J347=""),"",H347*J347)</f>
        <v/>
      </c>
      <c r="L347" s="87"/>
      <c r="M347" s="87"/>
      <c r="N347" s="87"/>
      <c r="O347" s="75" t="str">
        <f aca="false">IF(K347="","",K347-IF(L347="",0,L347)+IF(M347="",0,M347)+IF(N347="",0,N347))</f>
        <v/>
      </c>
    </row>
    <row r="348" customFormat="false" ht="15.75" hidden="false" customHeight="true" outlineLevel="0" collapsed="false">
      <c r="A348" s="80"/>
      <c r="B348" s="78"/>
      <c r="C348" s="80"/>
      <c r="D348" s="80"/>
      <c r="E348" s="80"/>
      <c r="F348" s="80"/>
      <c r="G348" s="80"/>
      <c r="H348" s="81"/>
      <c r="I348" s="80"/>
      <c r="J348" s="82"/>
      <c r="K348" s="83" t="str">
        <f aca="false">IF(OR(H348="",J348=""),"",H348*J348)</f>
        <v/>
      </c>
      <c r="L348" s="88"/>
      <c r="M348" s="88"/>
      <c r="N348" s="88"/>
      <c r="O348" s="83" t="str">
        <f aca="false">IF(K348="","",K348-IF(L348="",0,L348)+IF(M348="",0,M348)+IF(N348="",0,N348))</f>
        <v/>
      </c>
    </row>
    <row r="349" customFormat="false" ht="15.75" hidden="false" customHeight="true" outlineLevel="0" collapsed="false">
      <c r="A349" s="72"/>
      <c r="B349" s="70"/>
      <c r="C349" s="72"/>
      <c r="D349" s="72"/>
      <c r="E349" s="72"/>
      <c r="F349" s="72"/>
      <c r="G349" s="72"/>
      <c r="H349" s="73"/>
      <c r="I349" s="72"/>
      <c r="J349" s="74"/>
      <c r="K349" s="75" t="str">
        <f aca="false">IF(OR(H349="",J349=""),"",H349*J349)</f>
        <v/>
      </c>
      <c r="L349" s="87"/>
      <c r="M349" s="87"/>
      <c r="N349" s="87"/>
      <c r="O349" s="75" t="str">
        <f aca="false">IF(K349="","",K349-IF(L349="",0,L349)+IF(M349="",0,M349)+IF(N349="",0,N349))</f>
        <v/>
      </c>
    </row>
    <row r="350" customFormat="false" ht="15.75" hidden="false" customHeight="true" outlineLevel="0" collapsed="false">
      <c r="A350" s="80"/>
      <c r="B350" s="78"/>
      <c r="C350" s="80"/>
      <c r="D350" s="80"/>
      <c r="E350" s="80"/>
      <c r="F350" s="80"/>
      <c r="G350" s="80"/>
      <c r="H350" s="81"/>
      <c r="I350" s="80"/>
      <c r="J350" s="82"/>
      <c r="K350" s="83" t="str">
        <f aca="false">IF(OR(H350="",J350=""),"",H350*J350)</f>
        <v/>
      </c>
      <c r="L350" s="88"/>
      <c r="M350" s="88"/>
      <c r="N350" s="88"/>
      <c r="O350" s="83" t="str">
        <f aca="false">IF(K350="","",K350-IF(L350="",0,L350)+IF(M350="",0,M350)+IF(N350="",0,N350))</f>
        <v/>
      </c>
    </row>
    <row r="351" customFormat="false" ht="15.75" hidden="false" customHeight="true" outlineLevel="0" collapsed="false">
      <c r="A351" s="72"/>
      <c r="B351" s="70"/>
      <c r="C351" s="72"/>
      <c r="D351" s="72"/>
      <c r="E351" s="72"/>
      <c r="F351" s="72"/>
      <c r="G351" s="72"/>
      <c r="H351" s="73"/>
      <c r="I351" s="72"/>
      <c r="J351" s="74"/>
      <c r="K351" s="75" t="str">
        <f aca="false">IF(OR(H351="",J351=""),"",H351*J351)</f>
        <v/>
      </c>
      <c r="L351" s="87"/>
      <c r="M351" s="87"/>
      <c r="N351" s="87"/>
      <c r="O351" s="75" t="str">
        <f aca="false">IF(K351="","",K351-IF(L351="",0,L351)+IF(M351="",0,M351)+IF(N351="",0,N351))</f>
        <v/>
      </c>
    </row>
    <row r="352" customFormat="false" ht="15.75" hidden="false" customHeight="true" outlineLevel="0" collapsed="false">
      <c r="A352" s="80"/>
      <c r="B352" s="78"/>
      <c r="C352" s="80"/>
      <c r="D352" s="80"/>
      <c r="E352" s="80"/>
      <c r="F352" s="80"/>
      <c r="G352" s="80"/>
      <c r="H352" s="81"/>
      <c r="I352" s="80"/>
      <c r="J352" s="82"/>
      <c r="K352" s="83" t="str">
        <f aca="false">IF(OR(H352="",J352=""),"",H352*J352)</f>
        <v/>
      </c>
      <c r="L352" s="88"/>
      <c r="M352" s="88"/>
      <c r="N352" s="88"/>
      <c r="O352" s="83" t="str">
        <f aca="false">IF(K352="","",K352-IF(L352="",0,L352)+IF(M352="",0,M352)+IF(N352="",0,N352))</f>
        <v/>
      </c>
    </row>
    <row r="353" customFormat="false" ht="15.75" hidden="false" customHeight="true" outlineLevel="0" collapsed="false">
      <c r="A353" s="72"/>
      <c r="B353" s="70"/>
      <c r="C353" s="72"/>
      <c r="D353" s="72"/>
      <c r="E353" s="72"/>
      <c r="F353" s="72"/>
      <c r="G353" s="72"/>
      <c r="H353" s="73"/>
      <c r="I353" s="72"/>
      <c r="J353" s="74"/>
      <c r="K353" s="75" t="str">
        <f aca="false">IF(OR(H353="",J353=""),"",H353*J353)</f>
        <v/>
      </c>
      <c r="L353" s="87"/>
      <c r="M353" s="87"/>
      <c r="N353" s="87"/>
      <c r="O353" s="75" t="str">
        <f aca="false">IF(K353="","",K353-IF(L353="",0,L353)+IF(M353="",0,M353)+IF(N353="",0,N353))</f>
        <v/>
      </c>
    </row>
    <row r="354" customFormat="false" ht="15.75" hidden="false" customHeight="true" outlineLevel="0" collapsed="false">
      <c r="A354" s="80"/>
      <c r="B354" s="78"/>
      <c r="C354" s="80"/>
      <c r="D354" s="80"/>
      <c r="E354" s="80"/>
      <c r="F354" s="80"/>
      <c r="G354" s="80"/>
      <c r="H354" s="81"/>
      <c r="I354" s="80"/>
      <c r="J354" s="82"/>
      <c r="K354" s="83" t="str">
        <f aca="false">IF(OR(H354="",J354=""),"",H354*J354)</f>
        <v/>
      </c>
      <c r="L354" s="88"/>
      <c r="M354" s="88"/>
      <c r="N354" s="88"/>
      <c r="O354" s="83" t="str">
        <f aca="false">IF(K354="","",K354-IF(L354="",0,L354)+IF(M354="",0,M354)+IF(N354="",0,N354))</f>
        <v/>
      </c>
    </row>
    <row r="355" customFormat="false" ht="15.75" hidden="false" customHeight="true" outlineLevel="0" collapsed="false">
      <c r="A355" s="72"/>
      <c r="B355" s="70"/>
      <c r="C355" s="72"/>
      <c r="D355" s="72"/>
      <c r="E355" s="72"/>
      <c r="F355" s="72"/>
      <c r="G355" s="72"/>
      <c r="H355" s="73"/>
      <c r="I355" s="72"/>
      <c r="J355" s="74"/>
      <c r="K355" s="75" t="str">
        <f aca="false">IF(OR(H355="",J355=""),"",H355*J355)</f>
        <v/>
      </c>
      <c r="L355" s="87"/>
      <c r="M355" s="87"/>
      <c r="N355" s="87"/>
      <c r="O355" s="75" t="str">
        <f aca="false">IF(K355="","",K355-IF(L355="",0,L355)+IF(M355="",0,M355)+IF(N355="",0,N355))</f>
        <v/>
      </c>
    </row>
    <row r="356" customFormat="false" ht="15.75" hidden="false" customHeight="true" outlineLevel="0" collapsed="false">
      <c r="A356" s="80"/>
      <c r="B356" s="78"/>
      <c r="C356" s="80"/>
      <c r="D356" s="80"/>
      <c r="E356" s="80"/>
      <c r="F356" s="80"/>
      <c r="G356" s="80"/>
      <c r="H356" s="81"/>
      <c r="I356" s="80"/>
      <c r="J356" s="82"/>
      <c r="K356" s="83" t="str">
        <f aca="false">IF(OR(H356="",J356=""),"",H356*J356)</f>
        <v/>
      </c>
      <c r="L356" s="88"/>
      <c r="M356" s="88"/>
      <c r="N356" s="88"/>
      <c r="O356" s="83" t="str">
        <f aca="false">IF(K356="","",K356-IF(L356="",0,L356)+IF(M356="",0,M356)+IF(N356="",0,N356))</f>
        <v/>
      </c>
    </row>
    <row r="357" customFormat="false" ht="15.75" hidden="false" customHeight="true" outlineLevel="0" collapsed="false">
      <c r="A357" s="72"/>
      <c r="B357" s="70"/>
      <c r="C357" s="72"/>
      <c r="D357" s="72"/>
      <c r="E357" s="72"/>
      <c r="F357" s="72"/>
      <c r="G357" s="72"/>
      <c r="H357" s="73"/>
      <c r="I357" s="72"/>
      <c r="J357" s="74"/>
      <c r="K357" s="75" t="str">
        <f aca="false">IF(OR(H357="",J357=""),"",H357*J357)</f>
        <v/>
      </c>
      <c r="L357" s="87"/>
      <c r="M357" s="87"/>
      <c r="N357" s="87"/>
      <c r="O357" s="75" t="str">
        <f aca="false">IF(K357="","",K357-IF(L357="",0,L357)+IF(M357="",0,M357)+IF(N357="",0,N357))</f>
        <v/>
      </c>
    </row>
    <row r="358" customFormat="false" ht="15.75" hidden="false" customHeight="true" outlineLevel="0" collapsed="false">
      <c r="A358" s="80"/>
      <c r="B358" s="78"/>
      <c r="C358" s="80"/>
      <c r="D358" s="80"/>
      <c r="E358" s="80"/>
      <c r="F358" s="80"/>
      <c r="G358" s="80"/>
      <c r="H358" s="81"/>
      <c r="I358" s="80"/>
      <c r="J358" s="82"/>
      <c r="K358" s="83" t="str">
        <f aca="false">IF(OR(H358="",J358=""),"",H358*J358)</f>
        <v/>
      </c>
      <c r="L358" s="88"/>
      <c r="M358" s="88"/>
      <c r="N358" s="88"/>
      <c r="O358" s="83" t="str">
        <f aca="false">IF(K358="","",K358-IF(L358="",0,L358)+IF(M358="",0,M358)+IF(N358="",0,N358))</f>
        <v/>
      </c>
    </row>
    <row r="359" customFormat="false" ht="15.75" hidden="false" customHeight="true" outlineLevel="0" collapsed="false">
      <c r="A359" s="72"/>
      <c r="B359" s="70"/>
      <c r="C359" s="72"/>
      <c r="D359" s="72"/>
      <c r="E359" s="72"/>
      <c r="F359" s="72"/>
      <c r="G359" s="72"/>
      <c r="H359" s="73"/>
      <c r="I359" s="72"/>
      <c r="J359" s="74"/>
      <c r="K359" s="75" t="str">
        <f aca="false">IF(OR(H359="",J359=""),"",H359*J359)</f>
        <v/>
      </c>
      <c r="L359" s="87"/>
      <c r="M359" s="87"/>
      <c r="N359" s="87"/>
      <c r="O359" s="75" t="str">
        <f aca="false">IF(K359="","",K359-IF(L359="",0,L359)+IF(M359="",0,M359)+IF(N359="",0,N359))</f>
        <v/>
      </c>
    </row>
    <row r="360" customFormat="false" ht="15.75" hidden="false" customHeight="true" outlineLevel="0" collapsed="false">
      <c r="A360" s="80"/>
      <c r="B360" s="78"/>
      <c r="C360" s="80"/>
      <c r="D360" s="80"/>
      <c r="E360" s="80"/>
      <c r="F360" s="80"/>
      <c r="G360" s="80"/>
      <c r="H360" s="81"/>
      <c r="I360" s="80"/>
      <c r="J360" s="82"/>
      <c r="K360" s="83" t="str">
        <f aca="false">IF(OR(H360="",J360=""),"",H360*J360)</f>
        <v/>
      </c>
      <c r="L360" s="88"/>
      <c r="M360" s="88"/>
      <c r="N360" s="88"/>
      <c r="O360" s="83" t="str">
        <f aca="false">IF(K360="","",K360-IF(L360="",0,L360)+IF(M360="",0,M360)+IF(N360="",0,N360))</f>
        <v/>
      </c>
    </row>
    <row r="361" customFormat="false" ht="15.75" hidden="false" customHeight="true" outlineLevel="0" collapsed="false">
      <c r="A361" s="72"/>
      <c r="B361" s="70"/>
      <c r="C361" s="72"/>
      <c r="D361" s="72"/>
      <c r="E361" s="72"/>
      <c r="F361" s="72"/>
      <c r="G361" s="72"/>
      <c r="H361" s="73"/>
      <c r="I361" s="72"/>
      <c r="J361" s="74"/>
      <c r="K361" s="75" t="str">
        <f aca="false">IF(OR(H361="",J361=""),"",H361*J361)</f>
        <v/>
      </c>
      <c r="L361" s="87"/>
      <c r="M361" s="87"/>
      <c r="N361" s="87"/>
      <c r="O361" s="75" t="str">
        <f aca="false">IF(K361="","",K361-IF(L361="",0,L361)+IF(M361="",0,M361)+IF(N361="",0,N361))</f>
        <v/>
      </c>
    </row>
    <row r="362" customFormat="false" ht="15.75" hidden="false" customHeight="true" outlineLevel="0" collapsed="false">
      <c r="A362" s="80"/>
      <c r="B362" s="78"/>
      <c r="C362" s="80"/>
      <c r="D362" s="80"/>
      <c r="E362" s="80"/>
      <c r="F362" s="80"/>
      <c r="G362" s="80"/>
      <c r="H362" s="81"/>
      <c r="I362" s="80"/>
      <c r="J362" s="82"/>
      <c r="K362" s="83" t="str">
        <f aca="false">IF(OR(H362="",J362=""),"",H362*J362)</f>
        <v/>
      </c>
      <c r="L362" s="88"/>
      <c r="M362" s="88"/>
      <c r="N362" s="88"/>
      <c r="O362" s="83" t="str">
        <f aca="false">IF(K362="","",K362-IF(L362="",0,L362)+IF(M362="",0,M362)+IF(N362="",0,N362))</f>
        <v/>
      </c>
    </row>
    <row r="363" customFormat="false" ht="15.75" hidden="false" customHeight="true" outlineLevel="0" collapsed="false">
      <c r="A363" s="72"/>
      <c r="B363" s="70"/>
      <c r="C363" s="72"/>
      <c r="D363" s="72"/>
      <c r="E363" s="72"/>
      <c r="F363" s="72"/>
      <c r="G363" s="72"/>
      <c r="H363" s="73"/>
      <c r="I363" s="72"/>
      <c r="J363" s="74"/>
      <c r="K363" s="75" t="str">
        <f aca="false">IF(OR(H363="",J363=""),"",H363*J363)</f>
        <v/>
      </c>
      <c r="L363" s="87"/>
      <c r="M363" s="87"/>
      <c r="N363" s="87"/>
      <c r="O363" s="75" t="str">
        <f aca="false">IF(K363="","",K363-IF(L363="",0,L363)+IF(M363="",0,M363)+IF(N363="",0,N363))</f>
        <v/>
      </c>
    </row>
    <row r="364" customFormat="false" ht="15.75" hidden="false" customHeight="true" outlineLevel="0" collapsed="false">
      <c r="A364" s="80"/>
      <c r="B364" s="78"/>
      <c r="C364" s="80"/>
      <c r="D364" s="80"/>
      <c r="E364" s="80"/>
      <c r="F364" s="80"/>
      <c r="G364" s="80"/>
      <c r="H364" s="81"/>
      <c r="I364" s="80"/>
      <c r="J364" s="82"/>
      <c r="K364" s="83" t="str">
        <f aca="false">IF(OR(H364="",J364=""),"",H364*J364)</f>
        <v/>
      </c>
      <c r="L364" s="88"/>
      <c r="M364" s="88"/>
      <c r="N364" s="88"/>
      <c r="O364" s="83" t="str">
        <f aca="false">IF(K364="","",K364-IF(L364="",0,L364)+IF(M364="",0,M364)+IF(N364="",0,N364))</f>
        <v/>
      </c>
    </row>
    <row r="365" customFormat="false" ht="15.75" hidden="false" customHeight="true" outlineLevel="0" collapsed="false">
      <c r="A365" s="72"/>
      <c r="B365" s="70"/>
      <c r="C365" s="72"/>
      <c r="D365" s="72"/>
      <c r="E365" s="72"/>
      <c r="F365" s="72"/>
      <c r="G365" s="72"/>
      <c r="H365" s="73"/>
      <c r="I365" s="72"/>
      <c r="J365" s="74"/>
      <c r="K365" s="75" t="str">
        <f aca="false">IF(OR(H365="",J365=""),"",H365*J365)</f>
        <v/>
      </c>
      <c r="L365" s="87"/>
      <c r="M365" s="87"/>
      <c r="N365" s="87"/>
      <c r="O365" s="75" t="str">
        <f aca="false">IF(K365="","",K365-IF(L365="",0,L365)+IF(M365="",0,M365)+IF(N365="",0,N365))</f>
        <v/>
      </c>
    </row>
    <row r="366" customFormat="false" ht="15.75" hidden="false" customHeight="true" outlineLevel="0" collapsed="false">
      <c r="A366" s="80"/>
      <c r="B366" s="78"/>
      <c r="C366" s="80"/>
      <c r="D366" s="80"/>
      <c r="E366" s="80"/>
      <c r="F366" s="80"/>
      <c r="G366" s="80"/>
      <c r="H366" s="81"/>
      <c r="I366" s="80"/>
      <c r="J366" s="82"/>
      <c r="K366" s="83" t="str">
        <f aca="false">IF(OR(H366="",J366=""),"",H366*J366)</f>
        <v/>
      </c>
      <c r="L366" s="88"/>
      <c r="M366" s="88"/>
      <c r="N366" s="88"/>
      <c r="O366" s="83" t="str">
        <f aca="false">IF(K366="","",K366-IF(L366="",0,L366)+IF(M366="",0,M366)+IF(N366="",0,N366))</f>
        <v/>
      </c>
    </row>
    <row r="367" customFormat="false" ht="15.75" hidden="false" customHeight="true" outlineLevel="0" collapsed="false">
      <c r="A367" s="72"/>
      <c r="B367" s="70"/>
      <c r="C367" s="72"/>
      <c r="D367" s="72"/>
      <c r="E367" s="72"/>
      <c r="F367" s="72"/>
      <c r="G367" s="72"/>
      <c r="H367" s="73"/>
      <c r="I367" s="72"/>
      <c r="J367" s="74"/>
      <c r="K367" s="75" t="str">
        <f aca="false">IF(OR(H367="",J367=""),"",H367*J367)</f>
        <v/>
      </c>
      <c r="L367" s="87"/>
      <c r="M367" s="87"/>
      <c r="N367" s="87"/>
      <c r="O367" s="75" t="str">
        <f aca="false">IF(K367="","",K367-IF(L367="",0,L367)+IF(M367="",0,M367)+IF(N367="",0,N367))</f>
        <v/>
      </c>
    </row>
    <row r="368" customFormat="false" ht="15.75" hidden="false" customHeight="true" outlineLevel="0" collapsed="false">
      <c r="A368" s="80"/>
      <c r="B368" s="78"/>
      <c r="C368" s="80"/>
      <c r="D368" s="80"/>
      <c r="E368" s="80"/>
      <c r="F368" s="80"/>
      <c r="G368" s="80"/>
      <c r="H368" s="81"/>
      <c r="I368" s="80"/>
      <c r="J368" s="82"/>
      <c r="K368" s="83" t="str">
        <f aca="false">IF(OR(H368="",J368=""),"",H368*J368)</f>
        <v/>
      </c>
      <c r="L368" s="88"/>
      <c r="M368" s="88"/>
      <c r="N368" s="88"/>
      <c r="O368" s="83" t="str">
        <f aca="false">IF(K368="","",K368-IF(L368="",0,L368)+IF(M368="",0,M368)+IF(N368="",0,N368))</f>
        <v/>
      </c>
    </row>
    <row r="369" customFormat="false" ht="15.75" hidden="false" customHeight="true" outlineLevel="0" collapsed="false">
      <c r="A369" s="72"/>
      <c r="B369" s="70"/>
      <c r="C369" s="72"/>
      <c r="D369" s="72"/>
      <c r="E369" s="72"/>
      <c r="F369" s="72"/>
      <c r="G369" s="72"/>
      <c r="H369" s="73"/>
      <c r="I369" s="72"/>
      <c r="J369" s="74"/>
      <c r="K369" s="75" t="str">
        <f aca="false">IF(OR(H369="",J369=""),"",H369*J369)</f>
        <v/>
      </c>
      <c r="L369" s="87"/>
      <c r="M369" s="87"/>
      <c r="N369" s="87"/>
      <c r="O369" s="75" t="str">
        <f aca="false">IF(K369="","",K369-IF(L369="",0,L369)+IF(M369="",0,M369)+IF(N369="",0,N369))</f>
        <v/>
      </c>
    </row>
    <row r="370" customFormat="false" ht="15.75" hidden="false" customHeight="true" outlineLevel="0" collapsed="false">
      <c r="A370" s="80"/>
      <c r="B370" s="78"/>
      <c r="C370" s="80"/>
      <c r="D370" s="80"/>
      <c r="E370" s="80"/>
      <c r="F370" s="80"/>
      <c r="G370" s="80"/>
      <c r="H370" s="81"/>
      <c r="I370" s="80"/>
      <c r="J370" s="82"/>
      <c r="K370" s="83" t="str">
        <f aca="false">IF(OR(H370="",J370=""),"",H370*J370)</f>
        <v/>
      </c>
      <c r="L370" s="88"/>
      <c r="M370" s="88"/>
      <c r="N370" s="88"/>
      <c r="O370" s="83" t="str">
        <f aca="false">IF(K370="","",K370-IF(L370="",0,L370)+IF(M370="",0,M370)+IF(N370="",0,N370))</f>
        <v/>
      </c>
    </row>
    <row r="371" customFormat="false" ht="15.75" hidden="false" customHeight="true" outlineLevel="0" collapsed="false">
      <c r="A371" s="72"/>
      <c r="B371" s="70"/>
      <c r="C371" s="72"/>
      <c r="D371" s="72"/>
      <c r="E371" s="72"/>
      <c r="F371" s="72"/>
      <c r="G371" s="72"/>
      <c r="H371" s="73"/>
      <c r="I371" s="72"/>
      <c r="J371" s="74"/>
      <c r="K371" s="75" t="str">
        <f aca="false">IF(OR(H371="",J371=""),"",H371*J371)</f>
        <v/>
      </c>
      <c r="L371" s="87"/>
      <c r="M371" s="87"/>
      <c r="N371" s="87"/>
      <c r="O371" s="75" t="str">
        <f aca="false">IF(K371="","",K371-IF(L371="",0,L371)+IF(M371="",0,M371)+IF(N371="",0,N371))</f>
        <v/>
      </c>
    </row>
    <row r="372" customFormat="false" ht="15.75" hidden="false" customHeight="true" outlineLevel="0" collapsed="false">
      <c r="A372" s="80"/>
      <c r="B372" s="78"/>
      <c r="C372" s="80"/>
      <c r="D372" s="80"/>
      <c r="E372" s="80"/>
      <c r="F372" s="80"/>
      <c r="G372" s="80"/>
      <c r="H372" s="81"/>
      <c r="I372" s="80"/>
      <c r="J372" s="82"/>
      <c r="K372" s="83" t="str">
        <f aca="false">IF(OR(H372="",J372=""),"",H372*J372)</f>
        <v/>
      </c>
      <c r="L372" s="88"/>
      <c r="M372" s="88"/>
      <c r="N372" s="88"/>
      <c r="O372" s="83" t="str">
        <f aca="false">IF(K372="","",K372-IF(L372="",0,L372)+IF(M372="",0,M372)+IF(N372="",0,N372))</f>
        <v/>
      </c>
    </row>
    <row r="373" customFormat="false" ht="15.75" hidden="false" customHeight="true" outlineLevel="0" collapsed="false">
      <c r="A373" s="72"/>
      <c r="B373" s="70"/>
      <c r="C373" s="72"/>
      <c r="D373" s="72"/>
      <c r="E373" s="72"/>
      <c r="F373" s="72"/>
      <c r="G373" s="72"/>
      <c r="H373" s="73"/>
      <c r="I373" s="72"/>
      <c r="J373" s="74"/>
      <c r="K373" s="75" t="str">
        <f aca="false">IF(OR(H373="",J373=""),"",H373*J373)</f>
        <v/>
      </c>
      <c r="L373" s="87"/>
      <c r="M373" s="87"/>
      <c r="N373" s="87"/>
      <c r="O373" s="75" t="str">
        <f aca="false">IF(K373="","",K373-IF(L373="",0,L373)+IF(M373="",0,M373)+IF(N373="",0,N373))</f>
        <v/>
      </c>
    </row>
    <row r="374" customFormat="false" ht="15.75" hidden="false" customHeight="true" outlineLevel="0" collapsed="false">
      <c r="A374" s="80"/>
      <c r="B374" s="78"/>
      <c r="C374" s="80"/>
      <c r="D374" s="80"/>
      <c r="E374" s="80"/>
      <c r="F374" s="80"/>
      <c r="G374" s="80"/>
      <c r="H374" s="81"/>
      <c r="I374" s="80"/>
      <c r="J374" s="82"/>
      <c r="K374" s="83" t="str">
        <f aca="false">IF(OR(H374="",J374=""),"",H374*J374)</f>
        <v/>
      </c>
      <c r="L374" s="88"/>
      <c r="M374" s="88"/>
      <c r="N374" s="88"/>
      <c r="O374" s="83" t="str">
        <f aca="false">IF(K374="","",K374-IF(L374="",0,L374)+IF(M374="",0,M374)+IF(N374="",0,N374))</f>
        <v/>
      </c>
    </row>
    <row r="375" customFormat="false" ht="15.75" hidden="false" customHeight="true" outlineLevel="0" collapsed="false">
      <c r="A375" s="72"/>
      <c r="B375" s="70"/>
      <c r="C375" s="72"/>
      <c r="D375" s="72"/>
      <c r="E375" s="72"/>
      <c r="F375" s="72"/>
      <c r="G375" s="72"/>
      <c r="H375" s="73"/>
      <c r="I375" s="72"/>
      <c r="J375" s="74"/>
      <c r="K375" s="75" t="str">
        <f aca="false">IF(OR(H375="",J375=""),"",H375*J375)</f>
        <v/>
      </c>
      <c r="L375" s="87"/>
      <c r="M375" s="87"/>
      <c r="N375" s="87"/>
      <c r="O375" s="75" t="str">
        <f aca="false">IF(K375="","",K375-IF(L375="",0,L375)+IF(M375="",0,M375)+IF(N375="",0,N375))</f>
        <v/>
      </c>
    </row>
    <row r="376" customFormat="false" ht="15.75" hidden="false" customHeight="true" outlineLevel="0" collapsed="false">
      <c r="A376" s="80"/>
      <c r="B376" s="78"/>
      <c r="C376" s="80"/>
      <c r="D376" s="80"/>
      <c r="E376" s="80"/>
      <c r="F376" s="80"/>
      <c r="G376" s="80"/>
      <c r="H376" s="81"/>
      <c r="I376" s="80"/>
      <c r="J376" s="82"/>
      <c r="K376" s="83" t="str">
        <f aca="false">IF(OR(H376="",J376=""),"",H376*J376)</f>
        <v/>
      </c>
      <c r="L376" s="88"/>
      <c r="M376" s="88"/>
      <c r="N376" s="88"/>
      <c r="O376" s="83" t="str">
        <f aca="false">IF(K376="","",K376-IF(L376="",0,L376)+IF(M376="",0,M376)+IF(N376="",0,N376))</f>
        <v/>
      </c>
    </row>
    <row r="377" customFormat="false" ht="15.75" hidden="false" customHeight="true" outlineLevel="0" collapsed="false">
      <c r="A377" s="72"/>
      <c r="B377" s="70"/>
      <c r="C377" s="72"/>
      <c r="D377" s="72"/>
      <c r="E377" s="72"/>
      <c r="F377" s="72"/>
      <c r="G377" s="72"/>
      <c r="H377" s="73"/>
      <c r="I377" s="72"/>
      <c r="J377" s="74"/>
      <c r="K377" s="75" t="str">
        <f aca="false">IF(OR(H377="",J377=""),"",H377*J377)</f>
        <v/>
      </c>
      <c r="L377" s="87"/>
      <c r="M377" s="87"/>
      <c r="N377" s="87"/>
      <c r="O377" s="75" t="str">
        <f aca="false">IF(K377="","",K377-IF(L377="",0,L377)+IF(M377="",0,M377)+IF(N377="",0,N377))</f>
        <v/>
      </c>
    </row>
    <row r="378" customFormat="false" ht="15.75" hidden="false" customHeight="true" outlineLevel="0" collapsed="false">
      <c r="A378" s="80"/>
      <c r="B378" s="78"/>
      <c r="C378" s="80"/>
      <c r="D378" s="80"/>
      <c r="E378" s="80"/>
      <c r="F378" s="80"/>
      <c r="G378" s="80"/>
      <c r="H378" s="81"/>
      <c r="I378" s="80"/>
      <c r="J378" s="82"/>
      <c r="K378" s="83" t="str">
        <f aca="false">IF(OR(H378="",J378=""),"",H378*J378)</f>
        <v/>
      </c>
      <c r="L378" s="88"/>
      <c r="M378" s="88"/>
      <c r="N378" s="88"/>
      <c r="O378" s="83" t="str">
        <f aca="false">IF(K378="","",K378-IF(L378="",0,L378)+IF(M378="",0,M378)+IF(N378="",0,N378))</f>
        <v/>
      </c>
    </row>
    <row r="379" customFormat="false" ht="15.75" hidden="false" customHeight="true" outlineLevel="0" collapsed="false">
      <c r="A379" s="72"/>
      <c r="B379" s="70"/>
      <c r="C379" s="72"/>
      <c r="D379" s="72"/>
      <c r="E379" s="72"/>
      <c r="F379" s="72"/>
      <c r="G379" s="72"/>
      <c r="H379" s="73"/>
      <c r="I379" s="72"/>
      <c r="J379" s="74"/>
      <c r="K379" s="75" t="str">
        <f aca="false">IF(OR(H379="",J379=""),"",H379*J379)</f>
        <v/>
      </c>
      <c r="L379" s="87"/>
      <c r="M379" s="87"/>
      <c r="N379" s="87"/>
      <c r="O379" s="75" t="str">
        <f aca="false">IF(K379="","",K379-IF(L379="",0,L379)+IF(M379="",0,M379)+IF(N379="",0,N379))</f>
        <v/>
      </c>
    </row>
    <row r="380" customFormat="false" ht="15.75" hidden="false" customHeight="true" outlineLevel="0" collapsed="false">
      <c r="A380" s="80"/>
      <c r="B380" s="78"/>
      <c r="C380" s="80"/>
      <c r="D380" s="80"/>
      <c r="E380" s="80"/>
      <c r="F380" s="80"/>
      <c r="G380" s="80"/>
      <c r="H380" s="81"/>
      <c r="I380" s="80"/>
      <c r="J380" s="82"/>
      <c r="K380" s="83" t="str">
        <f aca="false">IF(OR(H380="",J380=""),"",H380*J380)</f>
        <v/>
      </c>
      <c r="L380" s="88"/>
      <c r="M380" s="88"/>
      <c r="N380" s="88"/>
      <c r="O380" s="83" t="str">
        <f aca="false">IF(K380="","",K380-IF(L380="",0,L380)+IF(M380="",0,M380)+IF(N380="",0,N380))</f>
        <v/>
      </c>
    </row>
    <row r="381" customFormat="false" ht="15.75" hidden="false" customHeight="true" outlineLevel="0" collapsed="false">
      <c r="A381" s="72"/>
      <c r="B381" s="70"/>
      <c r="C381" s="72"/>
      <c r="D381" s="72"/>
      <c r="E381" s="72"/>
      <c r="F381" s="72"/>
      <c r="G381" s="72"/>
      <c r="H381" s="73"/>
      <c r="I381" s="72"/>
      <c r="J381" s="74"/>
      <c r="K381" s="75" t="str">
        <f aca="false">IF(OR(H381="",J381=""),"",H381*J381)</f>
        <v/>
      </c>
      <c r="L381" s="87"/>
      <c r="M381" s="87"/>
      <c r="N381" s="87"/>
      <c r="O381" s="75" t="str">
        <f aca="false">IF(K381="","",K381-IF(L381="",0,L381)+IF(M381="",0,M381)+IF(N381="",0,N381))</f>
        <v/>
      </c>
    </row>
    <row r="382" customFormat="false" ht="15.75" hidden="false" customHeight="true" outlineLevel="0" collapsed="false">
      <c r="A382" s="80"/>
      <c r="B382" s="78"/>
      <c r="C382" s="80"/>
      <c r="D382" s="80"/>
      <c r="E382" s="80"/>
      <c r="F382" s="80"/>
      <c r="G382" s="80"/>
      <c r="H382" s="81"/>
      <c r="I382" s="80"/>
      <c r="J382" s="82"/>
      <c r="K382" s="83" t="str">
        <f aca="false">IF(OR(H382="",J382=""),"",H382*J382)</f>
        <v/>
      </c>
      <c r="L382" s="88"/>
      <c r="M382" s="88"/>
      <c r="N382" s="88"/>
      <c r="O382" s="83" t="str">
        <f aca="false">IF(K382="","",K382-IF(L382="",0,L382)+IF(M382="",0,M382)+IF(N382="",0,N382))</f>
        <v/>
      </c>
    </row>
    <row r="383" customFormat="false" ht="15.75" hidden="false" customHeight="true" outlineLevel="0" collapsed="false">
      <c r="A383" s="72"/>
      <c r="B383" s="70"/>
      <c r="C383" s="72"/>
      <c r="D383" s="72"/>
      <c r="E383" s="72"/>
      <c r="F383" s="72"/>
      <c r="G383" s="72"/>
      <c r="H383" s="73"/>
      <c r="I383" s="72"/>
      <c r="J383" s="74"/>
      <c r="K383" s="75" t="str">
        <f aca="false">IF(OR(H383="",J383=""),"",H383*J383)</f>
        <v/>
      </c>
      <c r="L383" s="87"/>
      <c r="M383" s="87"/>
      <c r="N383" s="87"/>
      <c r="O383" s="75" t="str">
        <f aca="false">IF(K383="","",K383-IF(L383="",0,L383)+IF(M383="",0,M383)+IF(N383="",0,N383))</f>
        <v/>
      </c>
    </row>
    <row r="384" customFormat="false" ht="15.75" hidden="false" customHeight="true" outlineLevel="0" collapsed="false">
      <c r="A384" s="80"/>
      <c r="B384" s="78"/>
      <c r="C384" s="80"/>
      <c r="D384" s="80"/>
      <c r="E384" s="80"/>
      <c r="F384" s="80"/>
      <c r="G384" s="80"/>
      <c r="H384" s="81"/>
      <c r="I384" s="80"/>
      <c r="J384" s="82"/>
      <c r="K384" s="83" t="str">
        <f aca="false">IF(OR(H384="",J384=""),"",H384*J384)</f>
        <v/>
      </c>
      <c r="L384" s="88"/>
      <c r="M384" s="88"/>
      <c r="N384" s="88"/>
      <c r="O384" s="83" t="str">
        <f aca="false">IF(K384="","",K384-IF(L384="",0,L384)+IF(M384="",0,M384)+IF(N384="",0,N384))</f>
        <v/>
      </c>
    </row>
    <row r="385" customFormat="false" ht="15.75" hidden="false" customHeight="true" outlineLevel="0" collapsed="false">
      <c r="A385" s="72"/>
      <c r="B385" s="70"/>
      <c r="C385" s="72"/>
      <c r="D385" s="72"/>
      <c r="E385" s="72"/>
      <c r="F385" s="72"/>
      <c r="G385" s="72"/>
      <c r="H385" s="73"/>
      <c r="I385" s="72"/>
      <c r="J385" s="74"/>
      <c r="K385" s="75" t="str">
        <f aca="false">IF(OR(H385="",J385=""),"",H385*J385)</f>
        <v/>
      </c>
      <c r="L385" s="87"/>
      <c r="M385" s="87"/>
      <c r="N385" s="87"/>
      <c r="O385" s="75" t="str">
        <f aca="false">IF(K385="","",K385-IF(L385="",0,L385)+IF(M385="",0,M385)+IF(N385="",0,N385))</f>
        <v/>
      </c>
    </row>
    <row r="386" customFormat="false" ht="15.75" hidden="false" customHeight="true" outlineLevel="0" collapsed="false">
      <c r="A386" s="80"/>
      <c r="B386" s="78"/>
      <c r="C386" s="80"/>
      <c r="D386" s="80"/>
      <c r="E386" s="80"/>
      <c r="F386" s="80"/>
      <c r="G386" s="80"/>
      <c r="H386" s="81"/>
      <c r="I386" s="80"/>
      <c r="J386" s="82"/>
      <c r="K386" s="83" t="str">
        <f aca="false">IF(OR(H386="",J386=""),"",H386*J386)</f>
        <v/>
      </c>
      <c r="L386" s="88"/>
      <c r="M386" s="88"/>
      <c r="N386" s="88"/>
      <c r="O386" s="83" t="str">
        <f aca="false">IF(K386="","",K386-IF(L386="",0,L386)+IF(M386="",0,M386)+IF(N386="",0,N386))</f>
        <v/>
      </c>
    </row>
    <row r="387" customFormat="false" ht="15.75" hidden="false" customHeight="true" outlineLevel="0" collapsed="false">
      <c r="A387" s="72"/>
      <c r="B387" s="70"/>
      <c r="C387" s="72"/>
      <c r="D387" s="72"/>
      <c r="E387" s="72"/>
      <c r="F387" s="72"/>
      <c r="G387" s="72"/>
      <c r="H387" s="73"/>
      <c r="I387" s="72"/>
      <c r="J387" s="74"/>
      <c r="K387" s="75" t="str">
        <f aca="false">IF(OR(H387="",J387=""),"",H387*J387)</f>
        <v/>
      </c>
      <c r="L387" s="87"/>
      <c r="M387" s="87"/>
      <c r="N387" s="87"/>
      <c r="O387" s="75" t="str">
        <f aca="false">IF(K387="","",K387-IF(L387="",0,L387)+IF(M387="",0,M387)+IF(N387="",0,N387))</f>
        <v/>
      </c>
    </row>
    <row r="388" customFormat="false" ht="15.75" hidden="false" customHeight="true" outlineLevel="0" collapsed="false">
      <c r="A388" s="80"/>
      <c r="B388" s="78"/>
      <c r="C388" s="80"/>
      <c r="D388" s="80"/>
      <c r="E388" s="80"/>
      <c r="F388" s="80"/>
      <c r="G388" s="80"/>
      <c r="H388" s="81"/>
      <c r="I388" s="80"/>
      <c r="J388" s="82"/>
      <c r="K388" s="83" t="str">
        <f aca="false">IF(OR(H388="",J388=""),"",H388*J388)</f>
        <v/>
      </c>
      <c r="L388" s="88"/>
      <c r="M388" s="88"/>
      <c r="N388" s="88"/>
      <c r="O388" s="83" t="str">
        <f aca="false">IF(K388="","",K388-IF(L388="",0,L388)+IF(M388="",0,M388)+IF(N388="",0,N388))</f>
        <v/>
      </c>
    </row>
    <row r="389" customFormat="false" ht="15.75" hidden="false" customHeight="true" outlineLevel="0" collapsed="false">
      <c r="A389" s="72"/>
      <c r="B389" s="70"/>
      <c r="C389" s="72"/>
      <c r="D389" s="72"/>
      <c r="E389" s="72"/>
      <c r="F389" s="72"/>
      <c r="G389" s="72"/>
      <c r="H389" s="73"/>
      <c r="I389" s="72"/>
      <c r="J389" s="74"/>
      <c r="K389" s="75" t="str">
        <f aca="false">IF(OR(H389="",J389=""),"",H389*J389)</f>
        <v/>
      </c>
      <c r="L389" s="87"/>
      <c r="M389" s="87"/>
      <c r="N389" s="87"/>
      <c r="O389" s="75" t="str">
        <f aca="false">IF(K389="","",K389-IF(L389="",0,L389)+IF(M389="",0,M389)+IF(N389="",0,N389))</f>
        <v/>
      </c>
    </row>
    <row r="390" customFormat="false" ht="15.75" hidden="false" customHeight="true" outlineLevel="0" collapsed="false">
      <c r="A390" s="80"/>
      <c r="B390" s="78"/>
      <c r="C390" s="80"/>
      <c r="D390" s="80"/>
      <c r="E390" s="80"/>
      <c r="F390" s="80"/>
      <c r="G390" s="80"/>
      <c r="H390" s="81"/>
      <c r="I390" s="80"/>
      <c r="J390" s="82"/>
      <c r="K390" s="83" t="str">
        <f aca="false">IF(OR(H390="",J390=""),"",H390*J390)</f>
        <v/>
      </c>
      <c r="L390" s="88"/>
      <c r="M390" s="88"/>
      <c r="N390" s="88"/>
      <c r="O390" s="83" t="str">
        <f aca="false">IF(K390="","",K390-IF(L390="",0,L390)+IF(M390="",0,M390)+IF(N390="",0,N390))</f>
        <v/>
      </c>
    </row>
    <row r="391" customFormat="false" ht="15.75" hidden="false" customHeight="true" outlineLevel="0" collapsed="false">
      <c r="A391" s="72"/>
      <c r="B391" s="70"/>
      <c r="C391" s="72"/>
      <c r="D391" s="72"/>
      <c r="E391" s="72"/>
      <c r="F391" s="72"/>
      <c r="G391" s="72"/>
      <c r="H391" s="73"/>
      <c r="I391" s="72"/>
      <c r="J391" s="74"/>
      <c r="K391" s="75" t="str">
        <f aca="false">IF(OR(H391="",J391=""),"",H391*J391)</f>
        <v/>
      </c>
      <c r="L391" s="87"/>
      <c r="M391" s="87"/>
      <c r="N391" s="87"/>
      <c r="O391" s="75" t="str">
        <f aca="false">IF(K391="","",K391-IF(L391="",0,L391)+IF(M391="",0,M391)+IF(N391="",0,N391))</f>
        <v/>
      </c>
    </row>
    <row r="392" customFormat="false" ht="15.75" hidden="false" customHeight="true" outlineLevel="0" collapsed="false">
      <c r="A392" s="80"/>
      <c r="B392" s="78"/>
      <c r="C392" s="80"/>
      <c r="D392" s="80"/>
      <c r="E392" s="80"/>
      <c r="F392" s="80"/>
      <c r="G392" s="80"/>
      <c r="H392" s="81"/>
      <c r="I392" s="80"/>
      <c r="J392" s="82"/>
      <c r="K392" s="83" t="str">
        <f aca="false">IF(OR(H392="",J392=""),"",H392*J392)</f>
        <v/>
      </c>
      <c r="L392" s="88"/>
      <c r="M392" s="88"/>
      <c r="N392" s="88"/>
      <c r="O392" s="83" t="str">
        <f aca="false">IF(K392="","",K392-IF(L392="",0,L392)+IF(M392="",0,M392)+IF(N392="",0,N392))</f>
        <v/>
      </c>
    </row>
    <row r="393" customFormat="false" ht="15.75" hidden="false" customHeight="true" outlineLevel="0" collapsed="false">
      <c r="A393" s="72"/>
      <c r="B393" s="70"/>
      <c r="C393" s="72"/>
      <c r="D393" s="72"/>
      <c r="E393" s="72"/>
      <c r="F393" s="72"/>
      <c r="G393" s="72"/>
      <c r="H393" s="73"/>
      <c r="I393" s="72"/>
      <c r="J393" s="74"/>
      <c r="K393" s="75" t="str">
        <f aca="false">IF(OR(H393="",J393=""),"",H393*J393)</f>
        <v/>
      </c>
      <c r="L393" s="87"/>
      <c r="M393" s="87"/>
      <c r="N393" s="87"/>
      <c r="O393" s="75" t="str">
        <f aca="false">IF(K393="","",K393-IF(L393="",0,L393)+IF(M393="",0,M393)+IF(N393="",0,N393))</f>
        <v/>
      </c>
    </row>
    <row r="394" customFormat="false" ht="15.75" hidden="false" customHeight="true" outlineLevel="0" collapsed="false">
      <c r="A394" s="80"/>
      <c r="B394" s="78"/>
      <c r="C394" s="80"/>
      <c r="D394" s="80"/>
      <c r="E394" s="80"/>
      <c r="F394" s="80"/>
      <c r="G394" s="80"/>
      <c r="H394" s="81"/>
      <c r="I394" s="80"/>
      <c r="J394" s="82"/>
      <c r="K394" s="83" t="str">
        <f aca="false">IF(OR(H394="",J394=""),"",H394*J394)</f>
        <v/>
      </c>
      <c r="L394" s="88"/>
      <c r="M394" s="88"/>
      <c r="N394" s="88"/>
      <c r="O394" s="83" t="str">
        <f aca="false">IF(K394="","",K394-IF(L394="",0,L394)+IF(M394="",0,M394)+IF(N394="",0,N394))</f>
        <v/>
      </c>
    </row>
    <row r="395" customFormat="false" ht="15.75" hidden="false" customHeight="true" outlineLevel="0" collapsed="false">
      <c r="A395" s="72"/>
      <c r="B395" s="70"/>
      <c r="C395" s="72"/>
      <c r="D395" s="72"/>
      <c r="E395" s="72"/>
      <c r="F395" s="72"/>
      <c r="G395" s="72"/>
      <c r="H395" s="73"/>
      <c r="I395" s="72"/>
      <c r="J395" s="74"/>
      <c r="K395" s="75" t="str">
        <f aca="false">IF(OR(H395="",J395=""),"",H395*J395)</f>
        <v/>
      </c>
      <c r="L395" s="87"/>
      <c r="M395" s="87"/>
      <c r="N395" s="87"/>
      <c r="O395" s="75" t="str">
        <f aca="false">IF(K395="","",K395-IF(L395="",0,L395)+IF(M395="",0,M395)+IF(N395="",0,N395))</f>
        <v/>
      </c>
    </row>
    <row r="396" customFormat="false" ht="15.75" hidden="false" customHeight="true" outlineLevel="0" collapsed="false">
      <c r="A396" s="80"/>
      <c r="B396" s="78"/>
      <c r="C396" s="80"/>
      <c r="D396" s="80"/>
      <c r="E396" s="80"/>
      <c r="F396" s="80"/>
      <c r="G396" s="80"/>
      <c r="H396" s="81"/>
      <c r="I396" s="80"/>
      <c r="J396" s="82"/>
      <c r="K396" s="83" t="str">
        <f aca="false">IF(OR(H396="",J396=""),"",H396*J396)</f>
        <v/>
      </c>
      <c r="L396" s="88"/>
      <c r="M396" s="88"/>
      <c r="N396" s="88"/>
      <c r="O396" s="83" t="str">
        <f aca="false">IF(K396="","",K396-IF(L396="",0,L396)+IF(M396="",0,M396)+IF(N396="",0,N396))</f>
        <v/>
      </c>
    </row>
    <row r="397" customFormat="false" ht="15.75" hidden="false" customHeight="true" outlineLevel="0" collapsed="false">
      <c r="A397" s="72"/>
      <c r="B397" s="70"/>
      <c r="C397" s="72"/>
      <c r="D397" s="72"/>
      <c r="E397" s="72"/>
      <c r="F397" s="72"/>
      <c r="G397" s="72"/>
      <c r="H397" s="73"/>
      <c r="I397" s="72"/>
      <c r="J397" s="74"/>
      <c r="K397" s="75" t="str">
        <f aca="false">IF(OR(H397="",J397=""),"",H397*J397)</f>
        <v/>
      </c>
      <c r="L397" s="87"/>
      <c r="M397" s="87"/>
      <c r="N397" s="87"/>
      <c r="O397" s="75" t="str">
        <f aca="false">IF(K397="","",K397-IF(L397="",0,L397)+IF(M397="",0,M397)+IF(N397="",0,N397))</f>
        <v/>
      </c>
    </row>
    <row r="398" customFormat="false" ht="15.75" hidden="false" customHeight="true" outlineLevel="0" collapsed="false">
      <c r="A398" s="80"/>
      <c r="B398" s="78"/>
      <c r="C398" s="80"/>
      <c r="D398" s="80"/>
      <c r="E398" s="80"/>
      <c r="F398" s="80"/>
      <c r="G398" s="80"/>
      <c r="H398" s="81"/>
      <c r="I398" s="80"/>
      <c r="J398" s="82"/>
      <c r="K398" s="83" t="str">
        <f aca="false">IF(OR(H398="",J398=""),"",H398*J398)</f>
        <v/>
      </c>
      <c r="L398" s="88"/>
      <c r="M398" s="88"/>
      <c r="N398" s="88"/>
      <c r="O398" s="83" t="str">
        <f aca="false">IF(K398="","",K398-IF(L398="",0,L398)+IF(M398="",0,M398)+IF(N398="",0,N398))</f>
        <v/>
      </c>
    </row>
    <row r="399" customFormat="false" ht="15.75" hidden="false" customHeight="true" outlineLevel="0" collapsed="false">
      <c r="A399" s="72"/>
      <c r="B399" s="70"/>
      <c r="C399" s="72"/>
      <c r="D399" s="72"/>
      <c r="E399" s="72"/>
      <c r="F399" s="72"/>
      <c r="G399" s="72"/>
      <c r="H399" s="73"/>
      <c r="I399" s="72"/>
      <c r="J399" s="74"/>
      <c r="K399" s="75" t="str">
        <f aca="false">IF(OR(H399="",J399=""),"",H399*J399)</f>
        <v/>
      </c>
      <c r="L399" s="87"/>
      <c r="M399" s="87"/>
      <c r="N399" s="87"/>
      <c r="O399" s="75" t="str">
        <f aca="false">IF(K399="","",K399-IF(L399="",0,L399)+IF(M399="",0,M399)+IF(N399="",0,N399))</f>
        <v/>
      </c>
    </row>
    <row r="400" customFormat="false" ht="15.75" hidden="false" customHeight="true" outlineLevel="0" collapsed="false">
      <c r="A400" s="80"/>
      <c r="B400" s="78"/>
      <c r="C400" s="80"/>
      <c r="D400" s="80"/>
      <c r="E400" s="80"/>
      <c r="F400" s="80"/>
      <c r="G400" s="80"/>
      <c r="H400" s="81"/>
      <c r="I400" s="80"/>
      <c r="J400" s="82"/>
      <c r="K400" s="83" t="str">
        <f aca="false">IF(OR(H400="",J400=""),"",H400*J400)</f>
        <v/>
      </c>
      <c r="L400" s="88"/>
      <c r="M400" s="88"/>
      <c r="N400" s="88"/>
      <c r="O400" s="83" t="str">
        <f aca="false">IF(K400="","",K400-IF(L400="",0,L400)+IF(M400="",0,M400)+IF(N400="",0,N400))</f>
        <v/>
      </c>
    </row>
    <row r="401" customFormat="false" ht="15.75" hidden="false" customHeight="true" outlineLevel="0" collapsed="false">
      <c r="A401" s="72"/>
      <c r="B401" s="70"/>
      <c r="C401" s="72"/>
      <c r="D401" s="72"/>
      <c r="E401" s="72"/>
      <c r="F401" s="72"/>
      <c r="G401" s="72"/>
      <c r="H401" s="73"/>
      <c r="I401" s="72"/>
      <c r="J401" s="74"/>
      <c r="K401" s="75" t="str">
        <f aca="false">IF(OR(H401="",J401=""),"",H401*J401)</f>
        <v/>
      </c>
      <c r="L401" s="87"/>
      <c r="M401" s="87"/>
      <c r="N401" s="87"/>
      <c r="O401" s="75" t="str">
        <f aca="false">IF(K401="","",K401-IF(L401="",0,L401)+IF(M401="",0,M401)+IF(N401="",0,N401))</f>
        <v/>
      </c>
    </row>
    <row r="402" customFormat="false" ht="15.75" hidden="false" customHeight="true" outlineLevel="0" collapsed="false">
      <c r="A402" s="80"/>
      <c r="B402" s="78"/>
      <c r="C402" s="80"/>
      <c r="D402" s="80"/>
      <c r="E402" s="80"/>
      <c r="F402" s="80"/>
      <c r="G402" s="80"/>
      <c r="H402" s="81"/>
      <c r="I402" s="80"/>
      <c r="J402" s="82"/>
      <c r="K402" s="83" t="str">
        <f aca="false">IF(OR(H402="",J402=""),"",H402*J402)</f>
        <v/>
      </c>
      <c r="L402" s="88"/>
      <c r="M402" s="88"/>
      <c r="N402" s="88"/>
      <c r="O402" s="83" t="str">
        <f aca="false">IF(K402="","",K402-IF(L402="",0,L402)+IF(M402="",0,M402)+IF(N402="",0,N402))</f>
        <v/>
      </c>
    </row>
    <row r="403" customFormat="false" ht="15.75" hidden="false" customHeight="true" outlineLevel="0" collapsed="false">
      <c r="A403" s="72"/>
      <c r="B403" s="70"/>
      <c r="C403" s="72"/>
      <c r="D403" s="72"/>
      <c r="E403" s="72"/>
      <c r="F403" s="72"/>
      <c r="G403" s="72"/>
      <c r="H403" s="73"/>
      <c r="I403" s="72"/>
      <c r="J403" s="74"/>
      <c r="K403" s="75" t="str">
        <f aca="false">IF(OR(H403="",J403=""),"",H403*J403)</f>
        <v/>
      </c>
      <c r="L403" s="87"/>
      <c r="M403" s="87"/>
      <c r="N403" s="87"/>
      <c r="O403" s="75" t="str">
        <f aca="false">IF(K403="","",K403-IF(L403="",0,L403)+IF(M403="",0,M403)+IF(N403="",0,N403))</f>
        <v/>
      </c>
    </row>
    <row r="404" customFormat="false" ht="15.75" hidden="false" customHeight="true" outlineLevel="0" collapsed="false">
      <c r="A404" s="80"/>
      <c r="B404" s="78"/>
      <c r="C404" s="80"/>
      <c r="D404" s="80"/>
      <c r="E404" s="80"/>
      <c r="F404" s="80"/>
      <c r="G404" s="80"/>
      <c r="H404" s="81"/>
      <c r="I404" s="80"/>
      <c r="J404" s="82"/>
      <c r="K404" s="83" t="str">
        <f aca="false">IF(OR(H404="",J404=""),"",H404*J404)</f>
        <v/>
      </c>
      <c r="L404" s="88"/>
      <c r="M404" s="88"/>
      <c r="N404" s="88"/>
      <c r="O404" s="83" t="str">
        <f aca="false">IF(K404="","",K404-IF(L404="",0,L404)+IF(M404="",0,M404)+IF(N404="",0,N404))</f>
        <v/>
      </c>
    </row>
    <row r="405" customFormat="false" ht="15.75" hidden="false" customHeight="true" outlineLevel="0" collapsed="false">
      <c r="A405" s="72"/>
      <c r="B405" s="70"/>
      <c r="C405" s="72"/>
      <c r="D405" s="72"/>
      <c r="E405" s="72"/>
      <c r="F405" s="72"/>
      <c r="G405" s="72"/>
      <c r="H405" s="73"/>
      <c r="I405" s="72"/>
      <c r="J405" s="74"/>
      <c r="K405" s="75" t="str">
        <f aca="false">IF(OR(H405="",J405=""),"",H405*J405)</f>
        <v/>
      </c>
      <c r="L405" s="87"/>
      <c r="M405" s="87"/>
      <c r="N405" s="87"/>
      <c r="O405" s="75" t="str">
        <f aca="false">IF(K405="","",K405-IF(L405="",0,L405)+IF(M405="",0,M405)+IF(N405="",0,N405))</f>
        <v/>
      </c>
    </row>
    <row r="406" customFormat="false" ht="15.75" hidden="false" customHeight="true" outlineLevel="0" collapsed="false">
      <c r="A406" s="80"/>
      <c r="B406" s="78"/>
      <c r="C406" s="80"/>
      <c r="D406" s="80"/>
      <c r="E406" s="80"/>
      <c r="F406" s="80"/>
      <c r="G406" s="80"/>
      <c r="H406" s="81"/>
      <c r="I406" s="80"/>
      <c r="J406" s="82"/>
      <c r="K406" s="83" t="str">
        <f aca="false">IF(OR(H406="",J406=""),"",H406*J406)</f>
        <v/>
      </c>
      <c r="L406" s="88"/>
      <c r="M406" s="88"/>
      <c r="N406" s="88"/>
      <c r="O406" s="83" t="str">
        <f aca="false">IF(K406="","",K406-IF(L406="",0,L406)+IF(M406="",0,M406)+IF(N406="",0,N406))</f>
        <v/>
      </c>
    </row>
    <row r="407" customFormat="false" ht="15.75" hidden="false" customHeight="true" outlineLevel="0" collapsed="false">
      <c r="A407" s="72"/>
      <c r="B407" s="70"/>
      <c r="C407" s="72"/>
      <c r="D407" s="72"/>
      <c r="E407" s="72"/>
      <c r="F407" s="72"/>
      <c r="G407" s="72"/>
      <c r="H407" s="73"/>
      <c r="I407" s="72"/>
      <c r="J407" s="74"/>
      <c r="K407" s="75" t="str">
        <f aca="false">IF(OR(H407="",J407=""),"",H407*J407)</f>
        <v/>
      </c>
      <c r="L407" s="87"/>
      <c r="M407" s="87"/>
      <c r="N407" s="87"/>
      <c r="O407" s="75" t="str">
        <f aca="false">IF(K407="","",K407-IF(L407="",0,L407)+IF(M407="",0,M407)+IF(N407="",0,N407))</f>
        <v/>
      </c>
    </row>
    <row r="408" customFormat="false" ht="15.75" hidden="false" customHeight="true" outlineLevel="0" collapsed="false">
      <c r="A408" s="80"/>
      <c r="B408" s="78"/>
      <c r="C408" s="80"/>
      <c r="D408" s="80"/>
      <c r="E408" s="80"/>
      <c r="F408" s="80"/>
      <c r="G408" s="80"/>
      <c r="H408" s="81"/>
      <c r="I408" s="80"/>
      <c r="J408" s="82"/>
      <c r="K408" s="83" t="str">
        <f aca="false">IF(OR(H408="",J408=""),"",H408*J408)</f>
        <v/>
      </c>
      <c r="L408" s="88"/>
      <c r="M408" s="88"/>
      <c r="N408" s="88"/>
      <c r="O408" s="83" t="str">
        <f aca="false">IF(K408="","",K408-IF(L408="",0,L408)+IF(M408="",0,M408)+IF(N408="",0,N408))</f>
        <v/>
      </c>
    </row>
    <row r="409" customFormat="false" ht="15.75" hidden="false" customHeight="true" outlineLevel="0" collapsed="false">
      <c r="A409" s="72"/>
      <c r="B409" s="70"/>
      <c r="C409" s="72"/>
      <c r="D409" s="72"/>
      <c r="E409" s="72"/>
      <c r="F409" s="72"/>
      <c r="G409" s="72"/>
      <c r="H409" s="73"/>
      <c r="I409" s="72"/>
      <c r="J409" s="74"/>
      <c r="K409" s="75" t="str">
        <f aca="false">IF(OR(H409="",J409=""),"",H409*J409)</f>
        <v/>
      </c>
      <c r="L409" s="87"/>
      <c r="M409" s="87"/>
      <c r="N409" s="87"/>
      <c r="O409" s="75" t="str">
        <f aca="false">IF(K409="","",K409-IF(L409="",0,L409)+IF(M409="",0,M409)+IF(N409="",0,N409))</f>
        <v/>
      </c>
    </row>
    <row r="410" customFormat="false" ht="15.75" hidden="false" customHeight="true" outlineLevel="0" collapsed="false">
      <c r="A410" s="80"/>
      <c r="B410" s="78"/>
      <c r="C410" s="80"/>
      <c r="D410" s="80"/>
      <c r="E410" s="80"/>
      <c r="F410" s="80"/>
      <c r="G410" s="80"/>
      <c r="H410" s="81"/>
      <c r="I410" s="80"/>
      <c r="J410" s="82"/>
      <c r="K410" s="83" t="str">
        <f aca="false">IF(OR(H410="",J410=""),"",H410*J410)</f>
        <v/>
      </c>
      <c r="L410" s="88"/>
      <c r="M410" s="88"/>
      <c r="N410" s="88"/>
      <c r="O410" s="83" t="str">
        <f aca="false">IF(K410="","",K410-IF(L410="",0,L410)+IF(M410="",0,M410)+IF(N410="",0,N410))</f>
        <v/>
      </c>
    </row>
    <row r="411" customFormat="false" ht="15.75" hidden="false" customHeight="true" outlineLevel="0" collapsed="false">
      <c r="A411" s="72"/>
      <c r="B411" s="70"/>
      <c r="C411" s="72"/>
      <c r="D411" s="72"/>
      <c r="E411" s="72"/>
      <c r="F411" s="72"/>
      <c r="G411" s="72"/>
      <c r="H411" s="73"/>
      <c r="I411" s="72"/>
      <c r="J411" s="74"/>
      <c r="K411" s="75" t="str">
        <f aca="false">IF(OR(H411="",J411=""),"",H411*J411)</f>
        <v/>
      </c>
      <c r="L411" s="87"/>
      <c r="M411" s="87"/>
      <c r="N411" s="87"/>
      <c r="O411" s="75" t="str">
        <f aca="false">IF(K411="","",K411-IF(L411="",0,L411)+IF(M411="",0,M411)+IF(N411="",0,N411))</f>
        <v/>
      </c>
    </row>
    <row r="412" customFormat="false" ht="15.75" hidden="false" customHeight="true" outlineLevel="0" collapsed="false">
      <c r="A412" s="80"/>
      <c r="B412" s="78"/>
      <c r="C412" s="80"/>
      <c r="D412" s="80"/>
      <c r="E412" s="80"/>
      <c r="F412" s="80"/>
      <c r="G412" s="80"/>
      <c r="H412" s="81"/>
      <c r="I412" s="80"/>
      <c r="J412" s="82"/>
      <c r="K412" s="83" t="str">
        <f aca="false">IF(OR(H412="",J412=""),"",H412*J412)</f>
        <v/>
      </c>
      <c r="L412" s="88"/>
      <c r="M412" s="88"/>
      <c r="N412" s="88"/>
      <c r="O412" s="83" t="str">
        <f aca="false">IF(K412="","",K412-IF(L412="",0,L412)+IF(M412="",0,M412)+IF(N412="",0,N412))</f>
        <v/>
      </c>
    </row>
    <row r="413" customFormat="false" ht="15.75" hidden="false" customHeight="true" outlineLevel="0" collapsed="false">
      <c r="A413" s="72"/>
      <c r="B413" s="70"/>
      <c r="C413" s="72"/>
      <c r="D413" s="72"/>
      <c r="E413" s="72"/>
      <c r="F413" s="72"/>
      <c r="G413" s="72"/>
      <c r="H413" s="73"/>
      <c r="I413" s="72"/>
      <c r="J413" s="74"/>
      <c r="K413" s="75" t="str">
        <f aca="false">IF(OR(H413="",J413=""),"",H413*J413)</f>
        <v/>
      </c>
      <c r="L413" s="87"/>
      <c r="M413" s="87"/>
      <c r="N413" s="87"/>
      <c r="O413" s="75" t="str">
        <f aca="false">IF(K413="","",K413-IF(L413="",0,L413)+IF(M413="",0,M413)+IF(N413="",0,N413))</f>
        <v/>
      </c>
    </row>
    <row r="414" customFormat="false" ht="15.75" hidden="false" customHeight="true" outlineLevel="0" collapsed="false">
      <c r="A414" s="80"/>
      <c r="B414" s="78"/>
      <c r="C414" s="80"/>
      <c r="D414" s="80"/>
      <c r="E414" s="80"/>
      <c r="F414" s="80"/>
      <c r="G414" s="80"/>
      <c r="H414" s="81"/>
      <c r="I414" s="80"/>
      <c r="J414" s="82"/>
      <c r="K414" s="83" t="str">
        <f aca="false">IF(OR(H414="",J414=""),"",H414*J414)</f>
        <v/>
      </c>
      <c r="L414" s="88"/>
      <c r="M414" s="88"/>
      <c r="N414" s="88"/>
      <c r="O414" s="83" t="str">
        <f aca="false">IF(K414="","",K414-IF(L414="",0,L414)+IF(M414="",0,M414)+IF(N414="",0,N414))</f>
        <v/>
      </c>
    </row>
    <row r="415" customFormat="false" ht="15.75" hidden="false" customHeight="true" outlineLevel="0" collapsed="false">
      <c r="A415" s="72"/>
      <c r="B415" s="70"/>
      <c r="C415" s="72"/>
      <c r="D415" s="72"/>
      <c r="E415" s="72"/>
      <c r="F415" s="72"/>
      <c r="G415" s="72"/>
      <c r="H415" s="73"/>
      <c r="I415" s="72"/>
      <c r="J415" s="74"/>
      <c r="K415" s="75" t="str">
        <f aca="false">IF(OR(H415="",J415=""),"",H415*J415)</f>
        <v/>
      </c>
      <c r="L415" s="87"/>
      <c r="M415" s="87"/>
      <c r="N415" s="87"/>
      <c r="O415" s="75" t="str">
        <f aca="false">IF(K415="","",K415-IF(L415="",0,L415)+IF(M415="",0,M415)+IF(N415="",0,N415))</f>
        <v/>
      </c>
    </row>
    <row r="416" customFormat="false" ht="15.75" hidden="false" customHeight="true" outlineLevel="0" collapsed="false">
      <c r="A416" s="80"/>
      <c r="B416" s="78"/>
      <c r="C416" s="80"/>
      <c r="D416" s="80"/>
      <c r="E416" s="80"/>
      <c r="F416" s="80"/>
      <c r="G416" s="80"/>
      <c r="H416" s="81"/>
      <c r="I416" s="80"/>
      <c r="J416" s="82"/>
      <c r="K416" s="83" t="str">
        <f aca="false">IF(OR(H416="",J416=""),"",H416*J416)</f>
        <v/>
      </c>
      <c r="L416" s="88"/>
      <c r="M416" s="88"/>
      <c r="N416" s="88"/>
      <c r="O416" s="83" t="str">
        <f aca="false">IF(K416="","",K416-IF(L416="",0,L416)+IF(M416="",0,M416)+IF(N416="",0,N416))</f>
        <v/>
      </c>
    </row>
    <row r="417" customFormat="false" ht="15.75" hidden="false" customHeight="true" outlineLevel="0" collapsed="false">
      <c r="A417" s="72"/>
      <c r="B417" s="70"/>
      <c r="C417" s="72"/>
      <c r="D417" s="72"/>
      <c r="E417" s="72"/>
      <c r="F417" s="72"/>
      <c r="G417" s="72"/>
      <c r="H417" s="73"/>
      <c r="I417" s="72"/>
      <c r="J417" s="74"/>
      <c r="K417" s="75" t="str">
        <f aca="false">IF(OR(H417="",J417=""),"",H417*J417)</f>
        <v/>
      </c>
      <c r="L417" s="87"/>
      <c r="M417" s="87"/>
      <c r="N417" s="87"/>
      <c r="O417" s="75" t="str">
        <f aca="false">IF(K417="","",K417-IF(L417="",0,L417)+IF(M417="",0,M417)+IF(N417="",0,N417))</f>
        <v/>
      </c>
    </row>
    <row r="418" customFormat="false" ht="15.75" hidden="false" customHeight="true" outlineLevel="0" collapsed="false">
      <c r="A418" s="80"/>
      <c r="B418" s="78"/>
      <c r="C418" s="80"/>
      <c r="D418" s="80"/>
      <c r="E418" s="80"/>
      <c r="F418" s="80"/>
      <c r="G418" s="80"/>
      <c r="H418" s="81"/>
      <c r="I418" s="80"/>
      <c r="J418" s="82"/>
      <c r="K418" s="83" t="str">
        <f aca="false">IF(OR(H418="",J418=""),"",H418*J418)</f>
        <v/>
      </c>
      <c r="L418" s="88"/>
      <c r="M418" s="88"/>
      <c r="N418" s="88"/>
      <c r="O418" s="83" t="str">
        <f aca="false">IF(K418="","",K418-IF(L418="",0,L418)+IF(M418="",0,M418)+IF(N418="",0,N418))</f>
        <v/>
      </c>
    </row>
    <row r="419" customFormat="false" ht="15.75" hidden="false" customHeight="true" outlineLevel="0" collapsed="false">
      <c r="A419" s="72"/>
      <c r="B419" s="70"/>
      <c r="C419" s="72"/>
      <c r="D419" s="72"/>
      <c r="E419" s="72"/>
      <c r="F419" s="72"/>
      <c r="G419" s="72"/>
      <c r="H419" s="73"/>
      <c r="I419" s="72"/>
      <c r="J419" s="74"/>
      <c r="K419" s="75" t="str">
        <f aca="false">IF(OR(H419="",J419=""),"",H419*J419)</f>
        <v/>
      </c>
      <c r="L419" s="87"/>
      <c r="M419" s="87"/>
      <c r="N419" s="87"/>
      <c r="O419" s="75" t="str">
        <f aca="false">IF(K419="","",K419-IF(L419="",0,L419)+IF(M419="",0,M419)+IF(N419="",0,N419))</f>
        <v/>
      </c>
    </row>
    <row r="420" customFormat="false" ht="15.75" hidden="false" customHeight="true" outlineLevel="0" collapsed="false">
      <c r="A420" s="80"/>
      <c r="B420" s="78"/>
      <c r="C420" s="80"/>
      <c r="D420" s="80"/>
      <c r="E420" s="80"/>
      <c r="F420" s="80"/>
      <c r="G420" s="80"/>
      <c r="H420" s="81"/>
      <c r="I420" s="80"/>
      <c r="J420" s="82"/>
      <c r="K420" s="83" t="str">
        <f aca="false">IF(OR(H420="",J420=""),"",H420*J420)</f>
        <v/>
      </c>
      <c r="L420" s="88"/>
      <c r="M420" s="88"/>
      <c r="N420" s="88"/>
      <c r="O420" s="83" t="str">
        <f aca="false">IF(K420="","",K420-IF(L420="",0,L420)+IF(M420="",0,M420)+IF(N420="",0,N420))</f>
        <v/>
      </c>
    </row>
    <row r="421" customFormat="false" ht="15.75" hidden="false" customHeight="true" outlineLevel="0" collapsed="false">
      <c r="A421" s="72"/>
      <c r="B421" s="70"/>
      <c r="C421" s="72"/>
      <c r="D421" s="72"/>
      <c r="E421" s="72"/>
      <c r="F421" s="72"/>
      <c r="G421" s="72"/>
      <c r="H421" s="73"/>
      <c r="I421" s="72"/>
      <c r="J421" s="74"/>
      <c r="K421" s="75" t="str">
        <f aca="false">IF(OR(H421="",J421=""),"",H421*J421)</f>
        <v/>
      </c>
      <c r="L421" s="87"/>
      <c r="M421" s="87"/>
      <c r="N421" s="87"/>
      <c r="O421" s="75" t="str">
        <f aca="false">IF(K421="","",K421-IF(L421="",0,L421)+IF(M421="",0,M421)+IF(N421="",0,N421))</f>
        <v/>
      </c>
    </row>
    <row r="422" customFormat="false" ht="15.75" hidden="false" customHeight="true" outlineLevel="0" collapsed="false">
      <c r="A422" s="80"/>
      <c r="B422" s="78"/>
      <c r="C422" s="80"/>
      <c r="D422" s="80"/>
      <c r="E422" s="80"/>
      <c r="F422" s="80"/>
      <c r="G422" s="80"/>
      <c r="H422" s="81"/>
      <c r="I422" s="80"/>
      <c r="J422" s="82"/>
      <c r="K422" s="83" t="str">
        <f aca="false">IF(OR(H422="",J422=""),"",H422*J422)</f>
        <v/>
      </c>
      <c r="L422" s="88"/>
      <c r="M422" s="88"/>
      <c r="N422" s="88"/>
      <c r="O422" s="83" t="str">
        <f aca="false">IF(K422="","",K422-IF(L422="",0,L422)+IF(M422="",0,M422)+IF(N422="",0,N422))</f>
        <v/>
      </c>
    </row>
    <row r="423" customFormat="false" ht="15.75" hidden="false" customHeight="true" outlineLevel="0" collapsed="false">
      <c r="A423" s="72"/>
      <c r="B423" s="70"/>
      <c r="C423" s="72"/>
      <c r="D423" s="72"/>
      <c r="E423" s="72"/>
      <c r="F423" s="72"/>
      <c r="G423" s="72"/>
      <c r="H423" s="73"/>
      <c r="I423" s="72"/>
      <c r="J423" s="74"/>
      <c r="K423" s="75" t="str">
        <f aca="false">IF(OR(H423="",J423=""),"",H423*J423)</f>
        <v/>
      </c>
      <c r="L423" s="87"/>
      <c r="M423" s="87"/>
      <c r="N423" s="87"/>
      <c r="O423" s="75" t="str">
        <f aca="false">IF(K423="","",K423-IF(L423="",0,L423)+IF(M423="",0,M423)+IF(N423="",0,N423))</f>
        <v/>
      </c>
    </row>
    <row r="424" customFormat="false" ht="15.75" hidden="false" customHeight="true" outlineLevel="0" collapsed="false">
      <c r="A424" s="80"/>
      <c r="B424" s="78"/>
      <c r="C424" s="80"/>
      <c r="D424" s="80"/>
      <c r="E424" s="80"/>
      <c r="F424" s="80"/>
      <c r="G424" s="80"/>
      <c r="H424" s="81"/>
      <c r="I424" s="80"/>
      <c r="J424" s="82"/>
      <c r="K424" s="83" t="str">
        <f aca="false">IF(OR(H424="",J424=""),"",H424*J424)</f>
        <v/>
      </c>
      <c r="L424" s="88"/>
      <c r="M424" s="88"/>
      <c r="N424" s="88"/>
      <c r="O424" s="83" t="str">
        <f aca="false">IF(K424="","",K424-IF(L424="",0,L424)+IF(M424="",0,M424)+IF(N424="",0,N424))</f>
        <v/>
      </c>
    </row>
    <row r="425" customFormat="false" ht="15.75" hidden="false" customHeight="true" outlineLevel="0" collapsed="false">
      <c r="A425" s="72"/>
      <c r="B425" s="70"/>
      <c r="C425" s="72"/>
      <c r="D425" s="72"/>
      <c r="E425" s="72"/>
      <c r="F425" s="72"/>
      <c r="G425" s="72"/>
      <c r="H425" s="73"/>
      <c r="I425" s="72"/>
      <c r="J425" s="74"/>
      <c r="K425" s="75" t="str">
        <f aca="false">IF(OR(H425="",J425=""),"",H425*J425)</f>
        <v/>
      </c>
      <c r="L425" s="87"/>
      <c r="M425" s="87"/>
      <c r="N425" s="87"/>
      <c r="O425" s="75" t="str">
        <f aca="false">IF(K425="","",K425-IF(L425="",0,L425)+IF(M425="",0,M425)+IF(N425="",0,N425))</f>
        <v/>
      </c>
    </row>
    <row r="426" customFormat="false" ht="15.75" hidden="false" customHeight="true" outlineLevel="0" collapsed="false">
      <c r="A426" s="80"/>
      <c r="B426" s="78"/>
      <c r="C426" s="80"/>
      <c r="D426" s="80"/>
      <c r="E426" s="80"/>
      <c r="F426" s="80"/>
      <c r="G426" s="80"/>
      <c r="H426" s="81"/>
      <c r="I426" s="80"/>
      <c r="J426" s="82"/>
      <c r="K426" s="83" t="str">
        <f aca="false">IF(OR(H426="",J426=""),"",H426*J426)</f>
        <v/>
      </c>
      <c r="L426" s="88"/>
      <c r="M426" s="88"/>
      <c r="N426" s="88"/>
      <c r="O426" s="83" t="str">
        <f aca="false">IF(K426="","",K426-IF(L426="",0,L426)+IF(M426="",0,M426)+IF(N426="",0,N426))</f>
        <v/>
      </c>
    </row>
    <row r="427" customFormat="false" ht="15.75" hidden="false" customHeight="true" outlineLevel="0" collapsed="false">
      <c r="A427" s="72"/>
      <c r="B427" s="70"/>
      <c r="C427" s="72"/>
      <c r="D427" s="72"/>
      <c r="E427" s="72"/>
      <c r="F427" s="72"/>
      <c r="G427" s="72"/>
      <c r="H427" s="73"/>
      <c r="I427" s="72"/>
      <c r="J427" s="74"/>
      <c r="K427" s="75" t="str">
        <f aca="false">IF(OR(H427="",J427=""),"",H427*J427)</f>
        <v/>
      </c>
      <c r="L427" s="87"/>
      <c r="M427" s="87"/>
      <c r="N427" s="87"/>
      <c r="O427" s="75" t="str">
        <f aca="false">IF(K427="","",K427-IF(L427="",0,L427)+IF(M427="",0,M427)+IF(N427="",0,N427))</f>
        <v/>
      </c>
    </row>
    <row r="428" customFormat="false" ht="15.75" hidden="false" customHeight="true" outlineLevel="0" collapsed="false">
      <c r="A428" s="80"/>
      <c r="B428" s="78"/>
      <c r="C428" s="80"/>
      <c r="D428" s="80"/>
      <c r="E428" s="80"/>
      <c r="F428" s="80"/>
      <c r="G428" s="80"/>
      <c r="H428" s="81"/>
      <c r="I428" s="80"/>
      <c r="J428" s="82"/>
      <c r="K428" s="83" t="str">
        <f aca="false">IF(OR(H428="",J428=""),"",H428*J428)</f>
        <v/>
      </c>
      <c r="L428" s="88"/>
      <c r="M428" s="88"/>
      <c r="N428" s="88"/>
      <c r="O428" s="83" t="str">
        <f aca="false">IF(K428="","",K428-IF(L428="",0,L428)+IF(M428="",0,M428)+IF(N428="",0,N428))</f>
        <v/>
      </c>
    </row>
    <row r="429" customFormat="false" ht="15.75" hidden="false" customHeight="true" outlineLevel="0" collapsed="false">
      <c r="A429" s="72"/>
      <c r="B429" s="70"/>
      <c r="C429" s="72"/>
      <c r="D429" s="72"/>
      <c r="E429" s="72"/>
      <c r="F429" s="72"/>
      <c r="G429" s="72"/>
      <c r="H429" s="73"/>
      <c r="I429" s="72"/>
      <c r="J429" s="74"/>
      <c r="K429" s="75" t="str">
        <f aca="false">IF(OR(H429="",J429=""),"",H429*J429)</f>
        <v/>
      </c>
      <c r="L429" s="87"/>
      <c r="M429" s="87"/>
      <c r="N429" s="87"/>
      <c r="O429" s="75" t="str">
        <f aca="false">IF(K429="","",K429-IF(L429="",0,L429)+IF(M429="",0,M429)+IF(N429="",0,N429))</f>
        <v/>
      </c>
    </row>
    <row r="430" customFormat="false" ht="15.75" hidden="false" customHeight="true" outlineLevel="0" collapsed="false">
      <c r="A430" s="80"/>
      <c r="B430" s="78"/>
      <c r="C430" s="80"/>
      <c r="D430" s="80"/>
      <c r="E430" s="80"/>
      <c r="F430" s="80"/>
      <c r="G430" s="80"/>
      <c r="H430" s="81"/>
      <c r="I430" s="80"/>
      <c r="J430" s="82"/>
      <c r="K430" s="83" t="str">
        <f aca="false">IF(OR(H430="",J430=""),"",H430*J430)</f>
        <v/>
      </c>
      <c r="L430" s="88"/>
      <c r="M430" s="88"/>
      <c r="N430" s="88"/>
      <c r="O430" s="83" t="str">
        <f aca="false">IF(K430="","",K430-IF(L430="",0,L430)+IF(M430="",0,M430)+IF(N430="",0,N430))</f>
        <v/>
      </c>
    </row>
    <row r="431" customFormat="false" ht="15.75" hidden="false" customHeight="true" outlineLevel="0" collapsed="false">
      <c r="A431" s="72"/>
      <c r="B431" s="70"/>
      <c r="C431" s="72"/>
      <c r="D431" s="72"/>
      <c r="E431" s="72"/>
      <c r="F431" s="72"/>
      <c r="G431" s="72"/>
      <c r="H431" s="73"/>
      <c r="I431" s="72"/>
      <c r="J431" s="74"/>
      <c r="K431" s="75" t="str">
        <f aca="false">IF(OR(H431="",J431=""),"",H431*J431)</f>
        <v/>
      </c>
      <c r="L431" s="87"/>
      <c r="M431" s="87"/>
      <c r="N431" s="87"/>
      <c r="O431" s="75" t="str">
        <f aca="false">IF(K431="","",K431-IF(L431="",0,L431)+IF(M431="",0,M431)+IF(N431="",0,N431))</f>
        <v/>
      </c>
    </row>
    <row r="432" customFormat="false" ht="15.75" hidden="false" customHeight="true" outlineLevel="0" collapsed="false">
      <c r="A432" s="80"/>
      <c r="B432" s="78"/>
      <c r="C432" s="80"/>
      <c r="D432" s="80"/>
      <c r="E432" s="80"/>
      <c r="F432" s="80"/>
      <c r="G432" s="80"/>
      <c r="H432" s="81"/>
      <c r="I432" s="80"/>
      <c r="J432" s="82"/>
      <c r="K432" s="83" t="str">
        <f aca="false">IF(OR(H432="",J432=""),"",H432*J432)</f>
        <v/>
      </c>
      <c r="L432" s="88"/>
      <c r="M432" s="88"/>
      <c r="N432" s="88"/>
      <c r="O432" s="83" t="str">
        <f aca="false">IF(K432="","",K432-IF(L432="",0,L432)+IF(M432="",0,M432)+IF(N432="",0,N432))</f>
        <v/>
      </c>
    </row>
    <row r="433" customFormat="false" ht="15.75" hidden="false" customHeight="true" outlineLevel="0" collapsed="false">
      <c r="A433" s="72"/>
      <c r="B433" s="70"/>
      <c r="C433" s="72"/>
      <c r="D433" s="72"/>
      <c r="E433" s="72"/>
      <c r="F433" s="72"/>
      <c r="G433" s="72"/>
      <c r="H433" s="73"/>
      <c r="I433" s="72"/>
      <c r="J433" s="74"/>
      <c r="K433" s="75" t="str">
        <f aca="false">IF(OR(H433="",J433=""),"",H433*J433)</f>
        <v/>
      </c>
      <c r="L433" s="87"/>
      <c r="M433" s="87"/>
      <c r="N433" s="87"/>
      <c r="O433" s="75" t="str">
        <f aca="false">IF(K433="","",K433-IF(L433="",0,L433)+IF(M433="",0,M433)+IF(N433="",0,N433))</f>
        <v/>
      </c>
    </row>
    <row r="434" customFormat="false" ht="15.75" hidden="false" customHeight="true" outlineLevel="0" collapsed="false">
      <c r="A434" s="80"/>
      <c r="B434" s="78"/>
      <c r="C434" s="80"/>
      <c r="D434" s="80"/>
      <c r="E434" s="80"/>
      <c r="F434" s="80"/>
      <c r="G434" s="80"/>
      <c r="H434" s="81"/>
      <c r="I434" s="80"/>
      <c r="J434" s="82"/>
      <c r="K434" s="83" t="str">
        <f aca="false">IF(OR(H434="",J434=""),"",H434*J434)</f>
        <v/>
      </c>
      <c r="L434" s="88"/>
      <c r="M434" s="88"/>
      <c r="N434" s="88"/>
      <c r="O434" s="83" t="str">
        <f aca="false">IF(K434="","",K434-IF(L434="",0,L434)+IF(M434="",0,M434)+IF(N434="",0,N434))</f>
        <v/>
      </c>
    </row>
    <row r="435" customFormat="false" ht="15.75" hidden="false" customHeight="true" outlineLevel="0" collapsed="false">
      <c r="A435" s="72"/>
      <c r="B435" s="70"/>
      <c r="C435" s="72"/>
      <c r="D435" s="72"/>
      <c r="E435" s="72"/>
      <c r="F435" s="72"/>
      <c r="G435" s="72"/>
      <c r="H435" s="73"/>
      <c r="I435" s="72"/>
      <c r="J435" s="74"/>
      <c r="K435" s="75" t="str">
        <f aca="false">IF(OR(H435="",J435=""),"",H435*J435)</f>
        <v/>
      </c>
      <c r="L435" s="87"/>
      <c r="M435" s="87"/>
      <c r="N435" s="87"/>
      <c r="O435" s="75" t="str">
        <f aca="false">IF(K435="","",K435-IF(L435="",0,L435)+IF(M435="",0,M435)+IF(N435="",0,N435))</f>
        <v/>
      </c>
    </row>
    <row r="436" customFormat="false" ht="15.75" hidden="false" customHeight="true" outlineLevel="0" collapsed="false">
      <c r="A436" s="80"/>
      <c r="B436" s="78"/>
      <c r="C436" s="80"/>
      <c r="D436" s="80"/>
      <c r="E436" s="80"/>
      <c r="F436" s="80"/>
      <c r="G436" s="80"/>
      <c r="H436" s="81"/>
      <c r="I436" s="80"/>
      <c r="J436" s="82"/>
      <c r="K436" s="83" t="str">
        <f aca="false">IF(OR(H436="",J436=""),"",H436*J436)</f>
        <v/>
      </c>
      <c r="L436" s="88"/>
      <c r="M436" s="88"/>
      <c r="N436" s="88"/>
      <c r="O436" s="83" t="str">
        <f aca="false">IF(K436="","",K436-IF(L436="",0,L436)+IF(M436="",0,M436)+IF(N436="",0,N436))</f>
        <v/>
      </c>
    </row>
    <row r="437" customFormat="false" ht="15.75" hidden="false" customHeight="true" outlineLevel="0" collapsed="false">
      <c r="A437" s="72"/>
      <c r="B437" s="70"/>
      <c r="C437" s="72"/>
      <c r="D437" s="72"/>
      <c r="E437" s="72"/>
      <c r="F437" s="72"/>
      <c r="G437" s="72"/>
      <c r="H437" s="73"/>
      <c r="I437" s="72"/>
      <c r="J437" s="74"/>
      <c r="K437" s="75" t="str">
        <f aca="false">IF(OR(H437="",J437=""),"",H437*J437)</f>
        <v/>
      </c>
      <c r="L437" s="87"/>
      <c r="M437" s="87"/>
      <c r="N437" s="87"/>
      <c r="O437" s="75" t="str">
        <f aca="false">IF(K437="","",K437-IF(L437="",0,L437)+IF(M437="",0,M437)+IF(N437="",0,N437))</f>
        <v/>
      </c>
    </row>
    <row r="438" customFormat="false" ht="15.75" hidden="false" customHeight="true" outlineLevel="0" collapsed="false">
      <c r="A438" s="80"/>
      <c r="B438" s="78"/>
      <c r="C438" s="80"/>
      <c r="D438" s="80"/>
      <c r="E438" s="80"/>
      <c r="F438" s="80"/>
      <c r="G438" s="80"/>
      <c r="H438" s="81"/>
      <c r="I438" s="80"/>
      <c r="J438" s="82"/>
      <c r="K438" s="83" t="str">
        <f aca="false">IF(OR(H438="",J438=""),"",H438*J438)</f>
        <v/>
      </c>
      <c r="L438" s="88"/>
      <c r="M438" s="88"/>
      <c r="N438" s="88"/>
      <c r="O438" s="83" t="str">
        <f aca="false">IF(K438="","",K438-IF(L438="",0,L438)+IF(M438="",0,M438)+IF(N438="",0,N438))</f>
        <v/>
      </c>
    </row>
    <row r="439" customFormat="false" ht="15.75" hidden="false" customHeight="true" outlineLevel="0" collapsed="false">
      <c r="A439" s="72"/>
      <c r="B439" s="70"/>
      <c r="C439" s="72"/>
      <c r="D439" s="72"/>
      <c r="E439" s="72"/>
      <c r="F439" s="72"/>
      <c r="G439" s="72"/>
      <c r="H439" s="73"/>
      <c r="I439" s="72"/>
      <c r="J439" s="74"/>
      <c r="K439" s="75" t="str">
        <f aca="false">IF(OR(H439="",J439=""),"",H439*J439)</f>
        <v/>
      </c>
      <c r="L439" s="87"/>
      <c r="M439" s="87"/>
      <c r="N439" s="87"/>
      <c r="O439" s="75" t="str">
        <f aca="false">IF(K439="","",K439-IF(L439="",0,L439)+IF(M439="",0,M439)+IF(N439="",0,N439))</f>
        <v/>
      </c>
    </row>
    <row r="440" customFormat="false" ht="15.75" hidden="false" customHeight="true" outlineLevel="0" collapsed="false">
      <c r="A440" s="80"/>
      <c r="B440" s="78"/>
      <c r="C440" s="80"/>
      <c r="D440" s="80"/>
      <c r="E440" s="80"/>
      <c r="F440" s="80"/>
      <c r="G440" s="80"/>
      <c r="H440" s="81"/>
      <c r="I440" s="80"/>
      <c r="J440" s="82"/>
      <c r="K440" s="83" t="str">
        <f aca="false">IF(OR(H440="",J440=""),"",H440*J440)</f>
        <v/>
      </c>
      <c r="L440" s="88"/>
      <c r="M440" s="88"/>
      <c r="N440" s="88"/>
      <c r="O440" s="83" t="str">
        <f aca="false">IF(K440="","",K440-IF(L440="",0,L440)+IF(M440="",0,M440)+IF(N440="",0,N440))</f>
        <v/>
      </c>
    </row>
    <row r="441" customFormat="false" ht="15.75" hidden="false" customHeight="true" outlineLevel="0" collapsed="false">
      <c r="A441" s="72"/>
      <c r="B441" s="70"/>
      <c r="C441" s="72"/>
      <c r="D441" s="72"/>
      <c r="E441" s="72"/>
      <c r="F441" s="72"/>
      <c r="G441" s="72"/>
      <c r="H441" s="73"/>
      <c r="I441" s="72"/>
      <c r="J441" s="74"/>
      <c r="K441" s="75" t="str">
        <f aca="false">IF(OR(H441="",J441=""),"",H441*J441)</f>
        <v/>
      </c>
      <c r="L441" s="87"/>
      <c r="M441" s="87"/>
      <c r="N441" s="87"/>
      <c r="O441" s="75" t="str">
        <f aca="false">IF(K441="","",K441-IF(L441="",0,L441)+IF(M441="",0,M441)+IF(N441="",0,N441))</f>
        <v/>
      </c>
    </row>
    <row r="442" customFormat="false" ht="15.75" hidden="false" customHeight="true" outlineLevel="0" collapsed="false">
      <c r="A442" s="80"/>
      <c r="B442" s="78"/>
      <c r="C442" s="80"/>
      <c r="D442" s="80"/>
      <c r="E442" s="80"/>
      <c r="F442" s="80"/>
      <c r="G442" s="80"/>
      <c r="H442" s="81"/>
      <c r="I442" s="80"/>
      <c r="J442" s="82"/>
      <c r="K442" s="83" t="str">
        <f aca="false">IF(OR(H442="",J442=""),"",H442*J442)</f>
        <v/>
      </c>
      <c r="L442" s="88"/>
      <c r="M442" s="88"/>
      <c r="N442" s="88"/>
      <c r="O442" s="83" t="str">
        <f aca="false">IF(K442="","",K442-IF(L442="",0,L442)+IF(M442="",0,M442)+IF(N442="",0,N442))</f>
        <v/>
      </c>
    </row>
    <row r="443" customFormat="false" ht="15.75" hidden="false" customHeight="true" outlineLevel="0" collapsed="false">
      <c r="A443" s="72"/>
      <c r="B443" s="70"/>
      <c r="C443" s="72"/>
      <c r="D443" s="72"/>
      <c r="E443" s="72"/>
      <c r="F443" s="72"/>
      <c r="G443" s="72"/>
      <c r="H443" s="73"/>
      <c r="I443" s="72"/>
      <c r="J443" s="74"/>
      <c r="K443" s="75" t="str">
        <f aca="false">IF(OR(H443="",J443=""),"",H443*J443)</f>
        <v/>
      </c>
      <c r="L443" s="87"/>
      <c r="M443" s="87"/>
      <c r="N443" s="87"/>
      <c r="O443" s="75" t="str">
        <f aca="false">IF(K443="","",K443-IF(L443="",0,L443)+IF(M443="",0,M443)+IF(N443="",0,N443))</f>
        <v/>
      </c>
    </row>
    <row r="444" customFormat="false" ht="15.75" hidden="false" customHeight="true" outlineLevel="0" collapsed="false">
      <c r="A444" s="80"/>
      <c r="B444" s="78"/>
      <c r="C444" s="80"/>
      <c r="D444" s="80"/>
      <c r="E444" s="80"/>
      <c r="F444" s="80"/>
      <c r="G444" s="80"/>
      <c r="H444" s="81"/>
      <c r="I444" s="80"/>
      <c r="J444" s="82"/>
      <c r="K444" s="83" t="str">
        <f aca="false">IF(OR(H444="",J444=""),"",H444*J444)</f>
        <v/>
      </c>
      <c r="L444" s="88"/>
      <c r="M444" s="88"/>
      <c r="N444" s="88"/>
      <c r="O444" s="83" t="str">
        <f aca="false">IF(K444="","",K444-IF(L444="",0,L444)+IF(M444="",0,M444)+IF(N444="",0,N444))</f>
        <v/>
      </c>
    </row>
    <row r="445" customFormat="false" ht="15.75" hidden="false" customHeight="true" outlineLevel="0" collapsed="false">
      <c r="A445" s="72"/>
      <c r="B445" s="70"/>
      <c r="C445" s="72"/>
      <c r="D445" s="72"/>
      <c r="E445" s="72"/>
      <c r="F445" s="72"/>
      <c r="G445" s="72"/>
      <c r="H445" s="73"/>
      <c r="I445" s="72"/>
      <c r="J445" s="74"/>
      <c r="K445" s="75" t="str">
        <f aca="false">IF(OR(H445="",J445=""),"",H445*J445)</f>
        <v/>
      </c>
      <c r="L445" s="87"/>
      <c r="M445" s="87"/>
      <c r="N445" s="87"/>
      <c r="O445" s="75" t="str">
        <f aca="false">IF(K445="","",K445-IF(L445="",0,L445)+IF(M445="",0,M445)+IF(N445="",0,N445))</f>
        <v/>
      </c>
    </row>
    <row r="446" customFormat="false" ht="15.75" hidden="false" customHeight="true" outlineLevel="0" collapsed="false">
      <c r="A446" s="80"/>
      <c r="B446" s="78"/>
      <c r="C446" s="80"/>
      <c r="D446" s="80"/>
      <c r="E446" s="80"/>
      <c r="F446" s="80"/>
      <c r="G446" s="80"/>
      <c r="H446" s="81"/>
      <c r="I446" s="80"/>
      <c r="J446" s="82"/>
      <c r="K446" s="83" t="str">
        <f aca="false">IF(OR(H446="",J446=""),"",H446*J446)</f>
        <v/>
      </c>
      <c r="L446" s="88"/>
      <c r="M446" s="88"/>
      <c r="N446" s="88"/>
      <c r="O446" s="83" t="str">
        <f aca="false">IF(K446="","",K446-IF(L446="",0,L446)+IF(M446="",0,M446)+IF(N446="",0,N446))</f>
        <v/>
      </c>
    </row>
    <row r="447" customFormat="false" ht="15.75" hidden="false" customHeight="true" outlineLevel="0" collapsed="false">
      <c r="A447" s="72"/>
      <c r="B447" s="70"/>
      <c r="C447" s="72"/>
      <c r="D447" s="72"/>
      <c r="E447" s="72"/>
      <c r="F447" s="72"/>
      <c r="G447" s="72"/>
      <c r="H447" s="73"/>
      <c r="I447" s="72"/>
      <c r="J447" s="74"/>
      <c r="K447" s="75" t="str">
        <f aca="false">IF(OR(H447="",J447=""),"",H447*J447)</f>
        <v/>
      </c>
      <c r="L447" s="87"/>
      <c r="M447" s="87"/>
      <c r="N447" s="87"/>
      <c r="O447" s="75" t="str">
        <f aca="false">IF(K447="","",K447-IF(L447="",0,L447)+IF(M447="",0,M447)+IF(N447="",0,N447))</f>
        <v/>
      </c>
    </row>
    <row r="448" customFormat="false" ht="15.75" hidden="false" customHeight="true" outlineLevel="0" collapsed="false">
      <c r="A448" s="80"/>
      <c r="B448" s="78"/>
      <c r="C448" s="80"/>
      <c r="D448" s="80"/>
      <c r="E448" s="80"/>
      <c r="F448" s="80"/>
      <c r="G448" s="80"/>
      <c r="H448" s="81"/>
      <c r="I448" s="80"/>
      <c r="J448" s="82"/>
      <c r="K448" s="83" t="str">
        <f aca="false">IF(OR(H448="",J448=""),"",H448*J448)</f>
        <v/>
      </c>
      <c r="L448" s="88"/>
      <c r="M448" s="88"/>
      <c r="N448" s="88"/>
      <c r="O448" s="83" t="str">
        <f aca="false">IF(K448="","",K448-IF(L448="",0,L448)+IF(M448="",0,M448)+IF(N448="",0,N448))</f>
        <v/>
      </c>
    </row>
    <row r="449" customFormat="false" ht="15.75" hidden="false" customHeight="true" outlineLevel="0" collapsed="false">
      <c r="A449" s="72"/>
      <c r="B449" s="70"/>
      <c r="C449" s="72"/>
      <c r="D449" s="72"/>
      <c r="E449" s="72"/>
      <c r="F449" s="72"/>
      <c r="G449" s="72"/>
      <c r="H449" s="73"/>
      <c r="I449" s="72"/>
      <c r="J449" s="74"/>
      <c r="K449" s="75" t="str">
        <f aca="false">IF(OR(H449="",J449=""),"",H449*J449)</f>
        <v/>
      </c>
      <c r="L449" s="87"/>
      <c r="M449" s="87"/>
      <c r="N449" s="87"/>
      <c r="O449" s="75" t="str">
        <f aca="false">IF(K449="","",K449-IF(L449="",0,L449)+IF(M449="",0,M449)+IF(N449="",0,N449))</f>
        <v/>
      </c>
    </row>
    <row r="450" customFormat="false" ht="15.75" hidden="false" customHeight="true" outlineLevel="0" collapsed="false">
      <c r="A450" s="80"/>
      <c r="B450" s="78"/>
      <c r="C450" s="80"/>
      <c r="D450" s="80"/>
      <c r="E450" s="80"/>
      <c r="F450" s="80"/>
      <c r="G450" s="80"/>
      <c r="H450" s="81"/>
      <c r="I450" s="80"/>
      <c r="J450" s="82"/>
      <c r="K450" s="83" t="str">
        <f aca="false">IF(OR(H450="",J450=""),"",H450*J450)</f>
        <v/>
      </c>
      <c r="L450" s="88"/>
      <c r="M450" s="88"/>
      <c r="N450" s="88"/>
      <c r="O450" s="83" t="str">
        <f aca="false">IF(K450="","",K450-IF(L450="",0,L450)+IF(M450="",0,M450)+IF(N450="",0,N450))</f>
        <v/>
      </c>
    </row>
    <row r="451" customFormat="false" ht="15.75" hidden="false" customHeight="true" outlineLevel="0" collapsed="false">
      <c r="A451" s="72"/>
      <c r="B451" s="70"/>
      <c r="C451" s="72"/>
      <c r="D451" s="72"/>
      <c r="E451" s="72"/>
      <c r="F451" s="72"/>
      <c r="G451" s="72"/>
      <c r="H451" s="73"/>
      <c r="I451" s="72"/>
      <c r="J451" s="74"/>
      <c r="K451" s="75" t="str">
        <f aca="false">IF(OR(H451="",J451=""),"",H451*J451)</f>
        <v/>
      </c>
      <c r="L451" s="87"/>
      <c r="M451" s="87"/>
      <c r="N451" s="87"/>
      <c r="O451" s="75" t="str">
        <f aca="false">IF(K451="","",K451-IF(L451="",0,L451)+IF(M451="",0,M451)+IF(N451="",0,N451))</f>
        <v/>
      </c>
    </row>
    <row r="452" customFormat="false" ht="15.75" hidden="false" customHeight="true" outlineLevel="0" collapsed="false">
      <c r="A452" s="80"/>
      <c r="B452" s="78"/>
      <c r="C452" s="80"/>
      <c r="D452" s="80"/>
      <c r="E452" s="80"/>
      <c r="F452" s="80"/>
      <c r="G452" s="80"/>
      <c r="H452" s="81"/>
      <c r="I452" s="80"/>
      <c r="J452" s="82"/>
      <c r="K452" s="83" t="str">
        <f aca="false">IF(OR(H452="",J452=""),"",H452*J452)</f>
        <v/>
      </c>
      <c r="L452" s="88"/>
      <c r="M452" s="88"/>
      <c r="N452" s="88"/>
      <c r="O452" s="83" t="str">
        <f aca="false">IF(K452="","",K452-IF(L452="",0,L452)+IF(M452="",0,M452)+IF(N452="",0,N452))</f>
        <v/>
      </c>
    </row>
    <row r="453" customFormat="false" ht="15.75" hidden="false" customHeight="true" outlineLevel="0" collapsed="false">
      <c r="A453" s="72"/>
      <c r="B453" s="70"/>
      <c r="C453" s="72"/>
      <c r="D453" s="72"/>
      <c r="E453" s="72"/>
      <c r="F453" s="72"/>
      <c r="G453" s="72"/>
      <c r="H453" s="73"/>
      <c r="I453" s="72"/>
      <c r="J453" s="74"/>
      <c r="K453" s="75" t="str">
        <f aca="false">IF(OR(H453="",J453=""),"",H453*J453)</f>
        <v/>
      </c>
      <c r="L453" s="87"/>
      <c r="M453" s="87"/>
      <c r="N453" s="87"/>
      <c r="O453" s="75" t="str">
        <f aca="false">IF(K453="","",K453-IF(L453="",0,L453)+IF(M453="",0,M453)+IF(N453="",0,N453))</f>
        <v/>
      </c>
    </row>
    <row r="454" customFormat="false" ht="15.75" hidden="false" customHeight="true" outlineLevel="0" collapsed="false">
      <c r="A454" s="80"/>
      <c r="B454" s="78"/>
      <c r="C454" s="80"/>
      <c r="D454" s="80"/>
      <c r="E454" s="80"/>
      <c r="F454" s="80"/>
      <c r="G454" s="80"/>
      <c r="H454" s="81"/>
      <c r="I454" s="80"/>
      <c r="J454" s="82"/>
      <c r="K454" s="83" t="str">
        <f aca="false">IF(OR(H454="",J454=""),"",H454*J454)</f>
        <v/>
      </c>
      <c r="L454" s="88"/>
      <c r="M454" s="88"/>
      <c r="N454" s="88"/>
      <c r="O454" s="83" t="str">
        <f aca="false">IF(K454="","",K454-IF(L454="",0,L454)+IF(M454="",0,M454)+IF(N454="",0,N454))</f>
        <v/>
      </c>
    </row>
    <row r="455" customFormat="false" ht="15.75" hidden="false" customHeight="true" outlineLevel="0" collapsed="false">
      <c r="A455" s="72"/>
      <c r="B455" s="70"/>
      <c r="C455" s="72"/>
      <c r="D455" s="72"/>
      <c r="E455" s="72"/>
      <c r="F455" s="72"/>
      <c r="G455" s="72"/>
      <c r="H455" s="73"/>
      <c r="I455" s="72"/>
      <c r="J455" s="74"/>
      <c r="K455" s="75" t="str">
        <f aca="false">IF(OR(H455="",J455=""),"",H455*J455)</f>
        <v/>
      </c>
      <c r="L455" s="87"/>
      <c r="M455" s="87"/>
      <c r="N455" s="87"/>
      <c r="O455" s="75" t="str">
        <f aca="false">IF(K455="","",K455-IF(L455="",0,L455)+IF(M455="",0,M455)+IF(N455="",0,N455))</f>
        <v/>
      </c>
    </row>
    <row r="456" customFormat="false" ht="15.75" hidden="false" customHeight="true" outlineLevel="0" collapsed="false">
      <c r="A456" s="80"/>
      <c r="B456" s="78"/>
      <c r="C456" s="80"/>
      <c r="D456" s="80"/>
      <c r="E456" s="80"/>
      <c r="F456" s="80"/>
      <c r="G456" s="80"/>
      <c r="H456" s="81"/>
      <c r="I456" s="80"/>
      <c r="J456" s="82"/>
      <c r="K456" s="83" t="str">
        <f aca="false">IF(OR(H456="",J456=""),"",H456*J456)</f>
        <v/>
      </c>
      <c r="L456" s="88"/>
      <c r="M456" s="88"/>
      <c r="N456" s="88"/>
      <c r="O456" s="83" t="str">
        <f aca="false">IF(K456="","",K456-IF(L456="",0,L456)+IF(M456="",0,M456)+IF(N456="",0,N456))</f>
        <v/>
      </c>
    </row>
    <row r="457" customFormat="false" ht="15.75" hidden="false" customHeight="true" outlineLevel="0" collapsed="false">
      <c r="A457" s="72"/>
      <c r="B457" s="70"/>
      <c r="C457" s="72"/>
      <c r="D457" s="72"/>
      <c r="E457" s="72"/>
      <c r="F457" s="72"/>
      <c r="G457" s="72"/>
      <c r="H457" s="73"/>
      <c r="I457" s="72"/>
      <c r="J457" s="74"/>
      <c r="K457" s="75" t="str">
        <f aca="false">IF(OR(H457="",J457=""),"",H457*J457)</f>
        <v/>
      </c>
      <c r="L457" s="87"/>
      <c r="M457" s="87"/>
      <c r="N457" s="87"/>
      <c r="O457" s="75" t="str">
        <f aca="false">IF(K457="","",K457-IF(L457="",0,L457)+IF(M457="",0,M457)+IF(N457="",0,N457))</f>
        <v/>
      </c>
    </row>
    <row r="458" customFormat="false" ht="15.75" hidden="false" customHeight="true" outlineLevel="0" collapsed="false">
      <c r="A458" s="80"/>
      <c r="B458" s="78"/>
      <c r="C458" s="80"/>
      <c r="D458" s="80"/>
      <c r="E458" s="80"/>
      <c r="F458" s="80"/>
      <c r="G458" s="80"/>
      <c r="H458" s="81"/>
      <c r="I458" s="80"/>
      <c r="J458" s="82"/>
      <c r="K458" s="83" t="str">
        <f aca="false">IF(OR(H458="",J458=""),"",H458*J458)</f>
        <v/>
      </c>
      <c r="L458" s="88"/>
      <c r="M458" s="88"/>
      <c r="N458" s="88"/>
      <c r="O458" s="83" t="str">
        <f aca="false">IF(K458="","",K458-IF(L458="",0,L458)+IF(M458="",0,M458)+IF(N458="",0,N458))</f>
        <v/>
      </c>
    </row>
    <row r="459" customFormat="false" ht="15.75" hidden="false" customHeight="true" outlineLevel="0" collapsed="false">
      <c r="A459" s="72"/>
      <c r="B459" s="70"/>
      <c r="C459" s="72"/>
      <c r="D459" s="72"/>
      <c r="E459" s="72"/>
      <c r="F459" s="72"/>
      <c r="G459" s="72"/>
      <c r="H459" s="73"/>
      <c r="I459" s="72"/>
      <c r="J459" s="74"/>
      <c r="K459" s="75" t="str">
        <f aca="false">IF(OR(H459="",J459=""),"",H459*J459)</f>
        <v/>
      </c>
      <c r="L459" s="87"/>
      <c r="M459" s="87"/>
      <c r="N459" s="87"/>
      <c r="O459" s="75" t="str">
        <f aca="false">IF(K459="","",K459-IF(L459="",0,L459)+IF(M459="",0,M459)+IF(N459="",0,N459))</f>
        <v/>
      </c>
    </row>
    <row r="460" customFormat="false" ht="15.75" hidden="false" customHeight="true" outlineLevel="0" collapsed="false">
      <c r="A460" s="80"/>
      <c r="B460" s="78"/>
      <c r="C460" s="80"/>
      <c r="D460" s="80"/>
      <c r="E460" s="80"/>
      <c r="F460" s="80"/>
      <c r="G460" s="80"/>
      <c r="H460" s="81"/>
      <c r="I460" s="80"/>
      <c r="J460" s="82"/>
      <c r="K460" s="83" t="str">
        <f aca="false">IF(OR(H460="",J460=""),"",H460*J460)</f>
        <v/>
      </c>
      <c r="L460" s="88"/>
      <c r="M460" s="88"/>
      <c r="N460" s="88"/>
      <c r="O460" s="83" t="str">
        <f aca="false">IF(K460="","",K460-IF(L460="",0,L460)+IF(M460="",0,M460)+IF(N460="",0,N460))</f>
        <v/>
      </c>
    </row>
    <row r="461" customFormat="false" ht="15.75" hidden="false" customHeight="true" outlineLevel="0" collapsed="false">
      <c r="A461" s="72"/>
      <c r="B461" s="70"/>
      <c r="C461" s="72"/>
      <c r="D461" s="72"/>
      <c r="E461" s="72"/>
      <c r="F461" s="72"/>
      <c r="G461" s="72"/>
      <c r="H461" s="73"/>
      <c r="I461" s="72"/>
      <c r="J461" s="74"/>
      <c r="K461" s="75" t="str">
        <f aca="false">IF(OR(H461="",J461=""),"",H461*J461)</f>
        <v/>
      </c>
      <c r="L461" s="87"/>
      <c r="M461" s="87"/>
      <c r="N461" s="87"/>
      <c r="O461" s="75" t="str">
        <f aca="false">IF(K461="","",K461-IF(L461="",0,L461)+IF(M461="",0,M461)+IF(N461="",0,N461))</f>
        <v/>
      </c>
    </row>
    <row r="462" customFormat="false" ht="15.75" hidden="false" customHeight="true" outlineLevel="0" collapsed="false">
      <c r="A462" s="80"/>
      <c r="B462" s="78"/>
      <c r="C462" s="80"/>
      <c r="D462" s="80"/>
      <c r="E462" s="80"/>
      <c r="F462" s="80"/>
      <c r="G462" s="80"/>
      <c r="H462" s="81"/>
      <c r="I462" s="80"/>
      <c r="J462" s="82"/>
      <c r="K462" s="83" t="str">
        <f aca="false">IF(OR(H462="",J462=""),"",H462*J462)</f>
        <v/>
      </c>
      <c r="L462" s="88"/>
      <c r="M462" s="88"/>
      <c r="N462" s="88"/>
      <c r="O462" s="83" t="str">
        <f aca="false">IF(K462="","",K462-IF(L462="",0,L462)+IF(M462="",0,M462)+IF(N462="",0,N462))</f>
        <v/>
      </c>
    </row>
    <row r="463" customFormat="false" ht="15.75" hidden="false" customHeight="true" outlineLevel="0" collapsed="false">
      <c r="A463" s="72"/>
      <c r="B463" s="70"/>
      <c r="C463" s="72"/>
      <c r="D463" s="72"/>
      <c r="E463" s="72"/>
      <c r="F463" s="72"/>
      <c r="G463" s="72"/>
      <c r="H463" s="73"/>
      <c r="I463" s="72"/>
      <c r="J463" s="74"/>
      <c r="K463" s="75" t="str">
        <f aca="false">IF(OR(H463="",J463=""),"",H463*J463)</f>
        <v/>
      </c>
      <c r="L463" s="87"/>
      <c r="M463" s="87"/>
      <c r="N463" s="87"/>
      <c r="O463" s="75" t="str">
        <f aca="false">IF(K463="","",K463-IF(L463="",0,L463)+IF(M463="",0,M463)+IF(N463="",0,N463))</f>
        <v/>
      </c>
    </row>
    <row r="464" customFormat="false" ht="15.75" hidden="false" customHeight="true" outlineLevel="0" collapsed="false">
      <c r="A464" s="80"/>
      <c r="B464" s="78"/>
      <c r="C464" s="80"/>
      <c r="D464" s="80"/>
      <c r="E464" s="80"/>
      <c r="F464" s="80"/>
      <c r="G464" s="80"/>
      <c r="H464" s="81"/>
      <c r="I464" s="80"/>
      <c r="J464" s="82"/>
      <c r="K464" s="83" t="str">
        <f aca="false">IF(OR(H464="",J464=""),"",H464*J464)</f>
        <v/>
      </c>
      <c r="L464" s="88"/>
      <c r="M464" s="88"/>
      <c r="N464" s="88"/>
      <c r="O464" s="83" t="str">
        <f aca="false">IF(K464="","",K464-IF(L464="",0,L464)+IF(M464="",0,M464)+IF(N464="",0,N464))</f>
        <v/>
      </c>
    </row>
    <row r="465" customFormat="false" ht="15.75" hidden="false" customHeight="true" outlineLevel="0" collapsed="false">
      <c r="A465" s="72"/>
      <c r="B465" s="70"/>
      <c r="C465" s="72"/>
      <c r="D465" s="72"/>
      <c r="E465" s="72"/>
      <c r="F465" s="72"/>
      <c r="G465" s="72"/>
      <c r="H465" s="73"/>
      <c r="I465" s="72"/>
      <c r="J465" s="74"/>
      <c r="K465" s="75" t="str">
        <f aca="false">IF(OR(H465="",J465=""),"",H465*J465)</f>
        <v/>
      </c>
      <c r="L465" s="87"/>
      <c r="M465" s="87"/>
      <c r="N465" s="87"/>
      <c r="O465" s="75" t="str">
        <f aca="false">IF(K465="","",K465-IF(L465="",0,L465)+IF(M465="",0,M465)+IF(N465="",0,N465))</f>
        <v/>
      </c>
    </row>
    <row r="466" customFormat="false" ht="15.75" hidden="false" customHeight="true" outlineLevel="0" collapsed="false">
      <c r="A466" s="80"/>
      <c r="B466" s="78"/>
      <c r="C466" s="80"/>
      <c r="D466" s="80"/>
      <c r="E466" s="80"/>
      <c r="F466" s="80"/>
      <c r="G466" s="80"/>
      <c r="H466" s="81"/>
      <c r="I466" s="80"/>
      <c r="J466" s="82"/>
      <c r="K466" s="83" t="str">
        <f aca="false">IF(OR(H466="",J466=""),"",H466*J466)</f>
        <v/>
      </c>
      <c r="L466" s="88"/>
      <c r="M466" s="88"/>
      <c r="N466" s="88"/>
      <c r="O466" s="83" t="str">
        <f aca="false">IF(K466="","",K466-IF(L466="",0,L466)+IF(M466="",0,M466)+IF(N466="",0,N466))</f>
        <v/>
      </c>
    </row>
    <row r="467" customFormat="false" ht="15.75" hidden="false" customHeight="true" outlineLevel="0" collapsed="false">
      <c r="A467" s="72"/>
      <c r="B467" s="70"/>
      <c r="C467" s="72"/>
      <c r="D467" s="72"/>
      <c r="E467" s="72"/>
      <c r="F467" s="72"/>
      <c r="G467" s="72"/>
      <c r="H467" s="73"/>
      <c r="I467" s="72"/>
      <c r="J467" s="74"/>
      <c r="K467" s="75" t="str">
        <f aca="false">IF(OR(H467="",J467=""),"",H467*J467)</f>
        <v/>
      </c>
      <c r="L467" s="87"/>
      <c r="M467" s="87"/>
      <c r="N467" s="87"/>
      <c r="O467" s="75" t="str">
        <f aca="false">IF(K467="","",K467-IF(L467="",0,L467)+IF(M467="",0,M467)+IF(N467="",0,N467))</f>
        <v/>
      </c>
    </row>
    <row r="468" customFormat="false" ht="15.75" hidden="false" customHeight="true" outlineLevel="0" collapsed="false">
      <c r="A468" s="80"/>
      <c r="B468" s="78"/>
      <c r="C468" s="80"/>
      <c r="D468" s="80"/>
      <c r="E468" s="80"/>
      <c r="F468" s="80"/>
      <c r="G468" s="80"/>
      <c r="H468" s="81"/>
      <c r="I468" s="80"/>
      <c r="J468" s="82"/>
      <c r="K468" s="83" t="str">
        <f aca="false">IF(OR(H468="",J468=""),"",H468*J468)</f>
        <v/>
      </c>
      <c r="L468" s="88"/>
      <c r="M468" s="88"/>
      <c r="N468" s="88"/>
      <c r="O468" s="83" t="str">
        <f aca="false">IF(K468="","",K468-IF(L468="",0,L468)+IF(M468="",0,M468)+IF(N468="",0,N468))</f>
        <v/>
      </c>
    </row>
    <row r="469" customFormat="false" ht="15.75" hidden="false" customHeight="true" outlineLevel="0" collapsed="false">
      <c r="A469" s="72"/>
      <c r="B469" s="70"/>
      <c r="C469" s="72"/>
      <c r="D469" s="72"/>
      <c r="E469" s="72"/>
      <c r="F469" s="72"/>
      <c r="G469" s="72"/>
      <c r="H469" s="73"/>
      <c r="I469" s="72"/>
      <c r="J469" s="74"/>
      <c r="K469" s="75" t="str">
        <f aca="false">IF(OR(H469="",J469=""),"",H469*J469)</f>
        <v/>
      </c>
      <c r="L469" s="87"/>
      <c r="M469" s="87"/>
      <c r="N469" s="87"/>
      <c r="O469" s="75" t="str">
        <f aca="false">IF(K469="","",K469-IF(L469="",0,L469)+IF(M469="",0,M469)+IF(N469="",0,N469))</f>
        <v/>
      </c>
    </row>
    <row r="470" customFormat="false" ht="15.75" hidden="false" customHeight="true" outlineLevel="0" collapsed="false">
      <c r="A470" s="80"/>
      <c r="B470" s="78"/>
      <c r="C470" s="80"/>
      <c r="D470" s="80"/>
      <c r="E470" s="80"/>
      <c r="F470" s="80"/>
      <c r="G470" s="80"/>
      <c r="H470" s="81"/>
      <c r="I470" s="80"/>
      <c r="J470" s="82"/>
      <c r="K470" s="83" t="str">
        <f aca="false">IF(OR(H470="",J470=""),"",H470*J470)</f>
        <v/>
      </c>
      <c r="L470" s="88"/>
      <c r="M470" s="88"/>
      <c r="N470" s="88"/>
      <c r="O470" s="83" t="str">
        <f aca="false">IF(K470="","",K470-IF(L470="",0,L470)+IF(M470="",0,M470)+IF(N470="",0,N470))</f>
        <v/>
      </c>
    </row>
    <row r="471" customFormat="false" ht="15.75" hidden="false" customHeight="true" outlineLevel="0" collapsed="false">
      <c r="A471" s="72"/>
      <c r="B471" s="70"/>
      <c r="C471" s="72"/>
      <c r="D471" s="72"/>
      <c r="E471" s="72"/>
      <c r="F471" s="72"/>
      <c r="G471" s="72"/>
      <c r="H471" s="73"/>
      <c r="I471" s="72"/>
      <c r="J471" s="74"/>
      <c r="K471" s="75" t="str">
        <f aca="false">IF(OR(H471="",J471=""),"",H471*J471)</f>
        <v/>
      </c>
      <c r="L471" s="87"/>
      <c r="M471" s="87"/>
      <c r="N471" s="87"/>
      <c r="O471" s="75" t="str">
        <f aca="false">IF(K471="","",K471-IF(L471="",0,L471)+IF(M471="",0,M471)+IF(N471="",0,N471))</f>
        <v/>
      </c>
    </row>
    <row r="472" customFormat="false" ht="15.75" hidden="false" customHeight="true" outlineLevel="0" collapsed="false">
      <c r="A472" s="80"/>
      <c r="B472" s="78"/>
      <c r="C472" s="80"/>
      <c r="D472" s="80"/>
      <c r="E472" s="80"/>
      <c r="F472" s="80"/>
      <c r="G472" s="80"/>
      <c r="H472" s="81"/>
      <c r="I472" s="80"/>
      <c r="J472" s="82"/>
      <c r="K472" s="83" t="str">
        <f aca="false">IF(OR(H472="",J472=""),"",H472*J472)</f>
        <v/>
      </c>
      <c r="L472" s="88"/>
      <c r="M472" s="88"/>
      <c r="N472" s="88"/>
      <c r="O472" s="83" t="str">
        <f aca="false">IF(K472="","",K472-IF(L472="",0,L472)+IF(M472="",0,M472)+IF(N472="",0,N472))</f>
        <v/>
      </c>
    </row>
    <row r="473" customFormat="false" ht="15.75" hidden="false" customHeight="true" outlineLevel="0" collapsed="false">
      <c r="A473" s="72"/>
      <c r="B473" s="70"/>
      <c r="C473" s="72"/>
      <c r="D473" s="72"/>
      <c r="E473" s="72"/>
      <c r="F473" s="72"/>
      <c r="G473" s="72"/>
      <c r="H473" s="73"/>
      <c r="I473" s="72"/>
      <c r="J473" s="74"/>
      <c r="K473" s="75" t="str">
        <f aca="false">IF(OR(H473="",J473=""),"",H473*J473)</f>
        <v/>
      </c>
      <c r="L473" s="87"/>
      <c r="M473" s="87"/>
      <c r="N473" s="87"/>
      <c r="O473" s="75" t="str">
        <f aca="false">IF(K473="","",K473-IF(L473="",0,L473)+IF(M473="",0,M473)+IF(N473="",0,N473))</f>
        <v/>
      </c>
    </row>
    <row r="474" customFormat="false" ht="15.75" hidden="false" customHeight="true" outlineLevel="0" collapsed="false">
      <c r="A474" s="80"/>
      <c r="B474" s="78"/>
      <c r="C474" s="80"/>
      <c r="D474" s="80"/>
      <c r="E474" s="80"/>
      <c r="F474" s="80"/>
      <c r="G474" s="80"/>
      <c r="H474" s="81"/>
      <c r="I474" s="80"/>
      <c r="J474" s="82"/>
      <c r="K474" s="83" t="str">
        <f aca="false">IF(OR(H474="",J474=""),"",H474*J474)</f>
        <v/>
      </c>
      <c r="L474" s="88"/>
      <c r="M474" s="88"/>
      <c r="N474" s="88"/>
      <c r="O474" s="83" t="str">
        <f aca="false">IF(K474="","",K474-IF(L474="",0,L474)+IF(M474="",0,M474)+IF(N474="",0,N474))</f>
        <v/>
      </c>
    </row>
    <row r="475" customFormat="false" ht="15.75" hidden="false" customHeight="true" outlineLevel="0" collapsed="false">
      <c r="A475" s="72"/>
      <c r="B475" s="70"/>
      <c r="C475" s="72"/>
      <c r="D475" s="72"/>
      <c r="E475" s="72"/>
      <c r="F475" s="72"/>
      <c r="G475" s="72"/>
      <c r="H475" s="73"/>
      <c r="I475" s="72"/>
      <c r="J475" s="74"/>
      <c r="K475" s="75" t="str">
        <f aca="false">IF(OR(H475="",J475=""),"",H475*J475)</f>
        <v/>
      </c>
      <c r="L475" s="87"/>
      <c r="M475" s="87"/>
      <c r="N475" s="87"/>
      <c r="O475" s="75" t="str">
        <f aca="false">IF(K475="","",K475-IF(L475="",0,L475)+IF(M475="",0,M475)+IF(N475="",0,N475))</f>
        <v/>
      </c>
    </row>
    <row r="476" customFormat="false" ht="15.75" hidden="false" customHeight="true" outlineLevel="0" collapsed="false">
      <c r="A476" s="80"/>
      <c r="B476" s="78"/>
      <c r="C476" s="80"/>
      <c r="D476" s="80"/>
      <c r="E476" s="80"/>
      <c r="F476" s="80"/>
      <c r="G476" s="80"/>
      <c r="H476" s="81"/>
      <c r="I476" s="80"/>
      <c r="J476" s="82"/>
      <c r="K476" s="83" t="str">
        <f aca="false">IF(OR(H476="",J476=""),"",H476*J476)</f>
        <v/>
      </c>
      <c r="L476" s="88"/>
      <c r="M476" s="88"/>
      <c r="N476" s="88"/>
      <c r="O476" s="83" t="str">
        <f aca="false">IF(K476="","",K476-IF(L476="",0,L476)+IF(M476="",0,M476)+IF(N476="",0,N476))</f>
        <v/>
      </c>
    </row>
    <row r="477" customFormat="false" ht="15.75" hidden="false" customHeight="true" outlineLevel="0" collapsed="false">
      <c r="A477" s="72"/>
      <c r="B477" s="70"/>
      <c r="C477" s="72"/>
      <c r="D477" s="72"/>
      <c r="E477" s="72"/>
      <c r="F477" s="72"/>
      <c r="G477" s="72"/>
      <c r="H477" s="73"/>
      <c r="I477" s="72"/>
      <c r="J477" s="74"/>
      <c r="K477" s="75" t="str">
        <f aca="false">IF(OR(H477="",J477=""),"",H477*J477)</f>
        <v/>
      </c>
      <c r="L477" s="87"/>
      <c r="M477" s="87"/>
      <c r="N477" s="87"/>
      <c r="O477" s="75" t="str">
        <f aca="false">IF(K477="","",K477-IF(L477="",0,L477)+IF(M477="",0,M477)+IF(N477="",0,N477))</f>
        <v/>
      </c>
    </row>
    <row r="478" customFormat="false" ht="15.75" hidden="false" customHeight="true" outlineLevel="0" collapsed="false">
      <c r="A478" s="80"/>
      <c r="B478" s="78"/>
      <c r="C478" s="80"/>
      <c r="D478" s="80"/>
      <c r="E478" s="80"/>
      <c r="F478" s="80"/>
      <c r="G478" s="80"/>
      <c r="H478" s="81"/>
      <c r="I478" s="80"/>
      <c r="J478" s="82"/>
      <c r="K478" s="83" t="str">
        <f aca="false">IF(OR(H478="",J478=""),"",H478*J478)</f>
        <v/>
      </c>
      <c r="L478" s="88"/>
      <c r="M478" s="88"/>
      <c r="N478" s="88"/>
      <c r="O478" s="83" t="str">
        <f aca="false">IF(K478="","",K478-IF(L478="",0,L478)+IF(M478="",0,M478)+IF(N478="",0,N478))</f>
        <v/>
      </c>
    </row>
    <row r="479" customFormat="false" ht="15.75" hidden="false" customHeight="true" outlineLevel="0" collapsed="false">
      <c r="A479" s="72"/>
      <c r="B479" s="70"/>
      <c r="C479" s="72"/>
      <c r="D479" s="72"/>
      <c r="E479" s="72"/>
      <c r="F479" s="72"/>
      <c r="G479" s="72"/>
      <c r="H479" s="73"/>
      <c r="I479" s="72"/>
      <c r="J479" s="74"/>
      <c r="K479" s="75" t="str">
        <f aca="false">IF(OR(H479="",J479=""),"",H479*J479)</f>
        <v/>
      </c>
      <c r="L479" s="87"/>
      <c r="M479" s="87"/>
      <c r="N479" s="87"/>
      <c r="O479" s="75" t="str">
        <f aca="false">IF(K479="","",K479-IF(L479="",0,L479)+IF(M479="",0,M479)+IF(N479="",0,N479))</f>
        <v/>
      </c>
    </row>
    <row r="480" customFormat="false" ht="15.75" hidden="false" customHeight="true" outlineLevel="0" collapsed="false">
      <c r="A480" s="80"/>
      <c r="B480" s="78"/>
      <c r="C480" s="80"/>
      <c r="D480" s="80"/>
      <c r="E480" s="80"/>
      <c r="F480" s="80"/>
      <c r="G480" s="80"/>
      <c r="H480" s="81"/>
      <c r="I480" s="80"/>
      <c r="J480" s="82"/>
      <c r="K480" s="83" t="str">
        <f aca="false">IF(OR(H480="",J480=""),"",H480*J480)</f>
        <v/>
      </c>
      <c r="L480" s="88"/>
      <c r="M480" s="88"/>
      <c r="N480" s="88"/>
      <c r="O480" s="83" t="str">
        <f aca="false">IF(K480="","",K480-IF(L480="",0,L480)+IF(M480="",0,M480)+IF(N480="",0,N480))</f>
        <v/>
      </c>
    </row>
    <row r="481" customFormat="false" ht="15.75" hidden="false" customHeight="true" outlineLevel="0" collapsed="false">
      <c r="A481" s="72"/>
      <c r="B481" s="70"/>
      <c r="C481" s="72"/>
      <c r="D481" s="72"/>
      <c r="E481" s="72"/>
      <c r="F481" s="72"/>
      <c r="G481" s="72"/>
      <c r="H481" s="73"/>
      <c r="I481" s="72"/>
      <c r="J481" s="74"/>
      <c r="K481" s="75" t="str">
        <f aca="false">IF(OR(H481="",J481=""),"",H481*J481)</f>
        <v/>
      </c>
      <c r="L481" s="87"/>
      <c r="M481" s="87"/>
      <c r="N481" s="87"/>
      <c r="O481" s="75" t="str">
        <f aca="false">IF(K481="","",K481-IF(L481="",0,L481)+IF(M481="",0,M481)+IF(N481="",0,N481))</f>
        <v/>
      </c>
    </row>
    <row r="482" customFormat="false" ht="15.75" hidden="false" customHeight="true" outlineLevel="0" collapsed="false">
      <c r="A482" s="80"/>
      <c r="B482" s="78"/>
      <c r="C482" s="80"/>
      <c r="D482" s="80"/>
      <c r="E482" s="80"/>
      <c r="F482" s="80"/>
      <c r="G482" s="80"/>
      <c r="H482" s="81"/>
      <c r="I482" s="80"/>
      <c r="J482" s="82"/>
      <c r="K482" s="83" t="str">
        <f aca="false">IF(OR(H482="",J482=""),"",H482*J482)</f>
        <v/>
      </c>
      <c r="L482" s="88"/>
      <c r="M482" s="88"/>
      <c r="N482" s="88"/>
      <c r="O482" s="83" t="str">
        <f aca="false">IF(K482="","",K482-IF(L482="",0,L482)+IF(M482="",0,M482)+IF(N482="",0,N482))</f>
        <v/>
      </c>
    </row>
    <row r="483" customFormat="false" ht="15.75" hidden="false" customHeight="true" outlineLevel="0" collapsed="false">
      <c r="A483" s="72"/>
      <c r="B483" s="70"/>
      <c r="C483" s="72"/>
      <c r="D483" s="72"/>
      <c r="E483" s="72"/>
      <c r="F483" s="72"/>
      <c r="G483" s="72"/>
      <c r="H483" s="73"/>
      <c r="I483" s="72"/>
      <c r="J483" s="74"/>
      <c r="K483" s="75" t="str">
        <f aca="false">IF(OR(H483="",J483=""),"",H483*J483)</f>
        <v/>
      </c>
      <c r="L483" s="87"/>
      <c r="M483" s="87"/>
      <c r="N483" s="87"/>
      <c r="O483" s="75" t="str">
        <f aca="false">IF(K483="","",K483-IF(L483="",0,L483)+IF(M483="",0,M483)+IF(N483="",0,N483))</f>
        <v/>
      </c>
    </row>
    <row r="484" customFormat="false" ht="15.75" hidden="false" customHeight="true" outlineLevel="0" collapsed="false">
      <c r="A484" s="80"/>
      <c r="B484" s="78"/>
      <c r="C484" s="80"/>
      <c r="D484" s="80"/>
      <c r="E484" s="80"/>
      <c r="F484" s="80"/>
      <c r="G484" s="80"/>
      <c r="H484" s="81"/>
      <c r="I484" s="80"/>
      <c r="J484" s="82"/>
      <c r="K484" s="83" t="str">
        <f aca="false">IF(OR(H484="",J484=""),"",H484*J484)</f>
        <v/>
      </c>
      <c r="L484" s="88"/>
      <c r="M484" s="88"/>
      <c r="N484" s="88"/>
      <c r="O484" s="83" t="str">
        <f aca="false">IF(K484="","",K484-IF(L484="",0,L484)+IF(M484="",0,M484)+IF(N484="",0,N484))</f>
        <v/>
      </c>
    </row>
    <row r="485" customFormat="false" ht="15.75" hidden="false" customHeight="true" outlineLevel="0" collapsed="false">
      <c r="A485" s="72"/>
      <c r="B485" s="70"/>
      <c r="C485" s="72"/>
      <c r="D485" s="72"/>
      <c r="E485" s="72"/>
      <c r="F485" s="72"/>
      <c r="G485" s="72"/>
      <c r="H485" s="73"/>
      <c r="I485" s="72"/>
      <c r="J485" s="74"/>
      <c r="K485" s="75" t="str">
        <f aca="false">IF(OR(H485="",J485=""),"",H485*J485)</f>
        <v/>
      </c>
      <c r="L485" s="87"/>
      <c r="M485" s="87"/>
      <c r="N485" s="87"/>
      <c r="O485" s="75" t="str">
        <f aca="false">IF(K485="","",K485-IF(L485="",0,L485)+IF(M485="",0,M485)+IF(N485="",0,N485))</f>
        <v/>
      </c>
    </row>
    <row r="486" customFormat="false" ht="15.75" hidden="false" customHeight="true" outlineLevel="0" collapsed="false">
      <c r="A486" s="80"/>
      <c r="B486" s="78"/>
      <c r="C486" s="80"/>
      <c r="D486" s="80"/>
      <c r="E486" s="80"/>
      <c r="F486" s="80"/>
      <c r="G486" s="80"/>
      <c r="H486" s="81"/>
      <c r="I486" s="80"/>
      <c r="J486" s="82"/>
      <c r="K486" s="83" t="str">
        <f aca="false">IF(OR(H486="",J486=""),"",H486*J486)</f>
        <v/>
      </c>
      <c r="L486" s="88"/>
      <c r="M486" s="88"/>
      <c r="N486" s="88"/>
      <c r="O486" s="83" t="str">
        <f aca="false">IF(K486="","",K486-IF(L486="",0,L486)+IF(M486="",0,M486)+IF(N486="",0,N486))</f>
        <v/>
      </c>
    </row>
    <row r="487" customFormat="false" ht="15.75" hidden="false" customHeight="true" outlineLevel="0" collapsed="false">
      <c r="A487" s="72"/>
      <c r="B487" s="70"/>
      <c r="C487" s="72"/>
      <c r="D487" s="72"/>
      <c r="E487" s="72"/>
      <c r="F487" s="72"/>
      <c r="G487" s="72"/>
      <c r="H487" s="73"/>
      <c r="I487" s="72"/>
      <c r="J487" s="74"/>
      <c r="K487" s="75" t="str">
        <f aca="false">IF(OR(H487="",J487=""),"",H487*J487)</f>
        <v/>
      </c>
      <c r="L487" s="87"/>
      <c r="M487" s="87"/>
      <c r="N487" s="87"/>
      <c r="O487" s="75" t="str">
        <f aca="false">IF(K487="","",K487-IF(L487="",0,L487)+IF(M487="",0,M487)+IF(N487="",0,N487))</f>
        <v/>
      </c>
    </row>
    <row r="488" customFormat="false" ht="15.75" hidden="false" customHeight="true" outlineLevel="0" collapsed="false">
      <c r="A488" s="80"/>
      <c r="B488" s="78"/>
      <c r="C488" s="80"/>
      <c r="D488" s="80"/>
      <c r="E488" s="80"/>
      <c r="F488" s="80"/>
      <c r="G488" s="80"/>
      <c r="H488" s="81"/>
      <c r="I488" s="80"/>
      <c r="J488" s="82"/>
      <c r="K488" s="83" t="str">
        <f aca="false">IF(OR(H488="",J488=""),"",H488*J488)</f>
        <v/>
      </c>
      <c r="L488" s="88"/>
      <c r="M488" s="88"/>
      <c r="N488" s="88"/>
      <c r="O488" s="83" t="str">
        <f aca="false">IF(K488="","",K488-IF(L488="",0,L488)+IF(M488="",0,M488)+IF(N488="",0,N488))</f>
        <v/>
      </c>
    </row>
    <row r="489" customFormat="false" ht="15.75" hidden="false" customHeight="true" outlineLevel="0" collapsed="false">
      <c r="A489" s="72"/>
      <c r="B489" s="70"/>
      <c r="C489" s="72"/>
      <c r="D489" s="72"/>
      <c r="E489" s="72"/>
      <c r="F489" s="72"/>
      <c r="G489" s="72"/>
      <c r="H489" s="73"/>
      <c r="I489" s="72"/>
      <c r="J489" s="74"/>
      <c r="K489" s="75" t="str">
        <f aca="false">IF(OR(H489="",J489=""),"",H489*J489)</f>
        <v/>
      </c>
      <c r="L489" s="87"/>
      <c r="M489" s="87"/>
      <c r="N489" s="87"/>
      <c r="O489" s="75" t="str">
        <f aca="false">IF(K489="","",K489-IF(L489="",0,L489)+IF(M489="",0,M489)+IF(N489="",0,N489))</f>
        <v/>
      </c>
    </row>
    <row r="490" customFormat="false" ht="15.75" hidden="false" customHeight="true" outlineLevel="0" collapsed="false">
      <c r="A490" s="80"/>
      <c r="B490" s="78"/>
      <c r="C490" s="80"/>
      <c r="D490" s="80"/>
      <c r="E490" s="80"/>
      <c r="F490" s="80"/>
      <c r="G490" s="80"/>
      <c r="H490" s="81"/>
      <c r="I490" s="80"/>
      <c r="J490" s="82"/>
      <c r="K490" s="83" t="str">
        <f aca="false">IF(OR(H490="",J490=""),"",H490*J490)</f>
        <v/>
      </c>
      <c r="L490" s="88"/>
      <c r="M490" s="88"/>
      <c r="N490" s="88"/>
      <c r="O490" s="83" t="str">
        <f aca="false">IF(K490="","",K490-IF(L490="",0,L490)+IF(M490="",0,M490)+IF(N490="",0,N490))</f>
        <v/>
      </c>
    </row>
    <row r="491" customFormat="false" ht="15.75" hidden="false" customHeight="true" outlineLevel="0" collapsed="false">
      <c r="A491" s="72"/>
      <c r="B491" s="70"/>
      <c r="C491" s="72"/>
      <c r="D491" s="72"/>
      <c r="E491" s="72"/>
      <c r="F491" s="72"/>
      <c r="G491" s="72"/>
      <c r="H491" s="73"/>
      <c r="I491" s="72"/>
      <c r="J491" s="74"/>
      <c r="K491" s="75" t="str">
        <f aca="false">IF(OR(H491="",J491=""),"",H491*J491)</f>
        <v/>
      </c>
      <c r="L491" s="87"/>
      <c r="M491" s="87"/>
      <c r="N491" s="87"/>
      <c r="O491" s="75" t="str">
        <f aca="false">IF(K491="","",K491-IF(L491="",0,L491)+IF(M491="",0,M491)+IF(N491="",0,N491))</f>
        <v/>
      </c>
    </row>
    <row r="492" customFormat="false" ht="15.75" hidden="false" customHeight="true" outlineLevel="0" collapsed="false">
      <c r="A492" s="80"/>
      <c r="B492" s="78"/>
      <c r="C492" s="80"/>
      <c r="D492" s="80"/>
      <c r="E492" s="80"/>
      <c r="F492" s="80"/>
      <c r="G492" s="80"/>
      <c r="H492" s="81"/>
      <c r="I492" s="80"/>
      <c r="J492" s="82"/>
      <c r="K492" s="83" t="str">
        <f aca="false">IF(OR(H492="",J492=""),"",H492*J492)</f>
        <v/>
      </c>
      <c r="L492" s="88"/>
      <c r="M492" s="88"/>
      <c r="N492" s="88"/>
      <c r="O492" s="83" t="str">
        <f aca="false">IF(K492="","",K492-IF(L492="",0,L492)+IF(M492="",0,M492)+IF(N492="",0,N492))</f>
        <v/>
      </c>
    </row>
    <row r="493" customFormat="false" ht="15.75" hidden="false" customHeight="true" outlineLevel="0" collapsed="false">
      <c r="A493" s="72"/>
      <c r="B493" s="70"/>
      <c r="C493" s="72"/>
      <c r="D493" s="72"/>
      <c r="E493" s="72"/>
      <c r="F493" s="72"/>
      <c r="G493" s="72"/>
      <c r="H493" s="73"/>
      <c r="I493" s="72"/>
      <c r="J493" s="74"/>
      <c r="K493" s="75" t="str">
        <f aca="false">IF(OR(H493="",J493=""),"",H493*J493)</f>
        <v/>
      </c>
      <c r="L493" s="87"/>
      <c r="M493" s="87"/>
      <c r="N493" s="87"/>
      <c r="O493" s="75" t="str">
        <f aca="false">IF(K493="","",K493-IF(L493="",0,L493)+IF(M493="",0,M493)+IF(N493="",0,N493))</f>
        <v/>
      </c>
    </row>
    <row r="494" customFormat="false" ht="15.75" hidden="false" customHeight="true" outlineLevel="0" collapsed="false">
      <c r="A494" s="80"/>
      <c r="B494" s="78"/>
      <c r="C494" s="80"/>
      <c r="D494" s="80"/>
      <c r="E494" s="80"/>
      <c r="F494" s="80"/>
      <c r="G494" s="80"/>
      <c r="H494" s="81"/>
      <c r="I494" s="80"/>
      <c r="J494" s="82"/>
      <c r="K494" s="83" t="str">
        <f aca="false">IF(OR(H494="",J494=""),"",H494*J494)</f>
        <v/>
      </c>
      <c r="L494" s="88"/>
      <c r="M494" s="88"/>
      <c r="N494" s="88"/>
      <c r="O494" s="83" t="str">
        <f aca="false">IF(K494="","",K494-IF(L494="",0,L494)+IF(M494="",0,M494)+IF(N494="",0,N494))</f>
        <v/>
      </c>
    </row>
    <row r="495" customFormat="false" ht="15.75" hidden="false" customHeight="true" outlineLevel="0" collapsed="false">
      <c r="A495" s="72"/>
      <c r="B495" s="70"/>
      <c r="C495" s="72"/>
      <c r="D495" s="72"/>
      <c r="E495" s="72"/>
      <c r="F495" s="72"/>
      <c r="G495" s="72"/>
      <c r="H495" s="73"/>
      <c r="I495" s="72"/>
      <c r="J495" s="74"/>
      <c r="K495" s="75" t="str">
        <f aca="false">IF(OR(H495="",J495=""),"",H495*J495)</f>
        <v/>
      </c>
      <c r="L495" s="87"/>
      <c r="M495" s="87"/>
      <c r="N495" s="87"/>
      <c r="O495" s="75" t="str">
        <f aca="false">IF(K495="","",K495-IF(L495="",0,L495)+IF(M495="",0,M495)+IF(N495="",0,N495))</f>
        <v/>
      </c>
    </row>
    <row r="496" customFormat="false" ht="15.75" hidden="false" customHeight="true" outlineLevel="0" collapsed="false">
      <c r="A496" s="80"/>
      <c r="B496" s="78"/>
      <c r="C496" s="80"/>
      <c r="D496" s="80"/>
      <c r="E496" s="80"/>
      <c r="F496" s="80"/>
      <c r="G496" s="80"/>
      <c r="H496" s="81"/>
      <c r="I496" s="80"/>
      <c r="J496" s="82"/>
      <c r="K496" s="83" t="str">
        <f aca="false">IF(OR(H496="",J496=""),"",H496*J496)</f>
        <v/>
      </c>
      <c r="L496" s="88"/>
      <c r="M496" s="88"/>
      <c r="N496" s="88"/>
      <c r="O496" s="83" t="str">
        <f aca="false">IF(K496="","",K496-IF(L496="",0,L496)+IF(M496="",0,M496)+IF(N496="",0,N496))</f>
        <v/>
      </c>
    </row>
    <row r="497" customFormat="false" ht="15.75" hidden="false" customHeight="true" outlineLevel="0" collapsed="false">
      <c r="A497" s="72"/>
      <c r="B497" s="70"/>
      <c r="C497" s="72"/>
      <c r="D497" s="72"/>
      <c r="E497" s="72"/>
      <c r="F497" s="72"/>
      <c r="G497" s="72"/>
      <c r="H497" s="73"/>
      <c r="I497" s="72"/>
      <c r="J497" s="74"/>
      <c r="K497" s="75" t="str">
        <f aca="false">IF(OR(H497="",J497=""),"",H497*J497)</f>
        <v/>
      </c>
      <c r="L497" s="87"/>
      <c r="M497" s="87"/>
      <c r="N497" s="87"/>
      <c r="O497" s="75" t="str">
        <f aca="false">IF(K497="","",K497-IF(L497="",0,L497)+IF(M497="",0,M497)+IF(N497="",0,N497))</f>
        <v/>
      </c>
    </row>
    <row r="498" customFormat="false" ht="15.75" hidden="false" customHeight="true" outlineLevel="0" collapsed="false">
      <c r="A498" s="80"/>
      <c r="B498" s="78"/>
      <c r="C498" s="80"/>
      <c r="D498" s="80"/>
      <c r="E498" s="80"/>
      <c r="F498" s="80"/>
      <c r="G498" s="80"/>
      <c r="H498" s="81"/>
      <c r="I498" s="80"/>
      <c r="J498" s="82"/>
      <c r="K498" s="83" t="str">
        <f aca="false">IF(OR(H498="",J498=""),"",H498*J498)</f>
        <v/>
      </c>
      <c r="L498" s="88"/>
      <c r="M498" s="88"/>
      <c r="N498" s="88"/>
      <c r="O498" s="83" t="str">
        <f aca="false">IF(K498="","",K498-IF(L498="",0,L498)+IF(M498="",0,M498)+IF(N498="",0,N498))</f>
        <v/>
      </c>
    </row>
    <row r="499" customFormat="false" ht="15.75" hidden="false" customHeight="true" outlineLevel="0" collapsed="false">
      <c r="A499" s="72"/>
      <c r="B499" s="70"/>
      <c r="C499" s="72"/>
      <c r="D499" s="72"/>
      <c r="E499" s="72"/>
      <c r="F499" s="72"/>
      <c r="G499" s="72"/>
      <c r="H499" s="73"/>
      <c r="I499" s="72"/>
      <c r="J499" s="74"/>
      <c r="K499" s="75" t="str">
        <f aca="false">IF(OR(H499="",J499=""),"",H499*J499)</f>
        <v/>
      </c>
      <c r="L499" s="87"/>
      <c r="M499" s="87"/>
      <c r="N499" s="87"/>
      <c r="O499" s="75" t="str">
        <f aca="false">IF(K499="","",K499-IF(L499="",0,L499)+IF(M499="",0,M499)+IF(N499="",0,N499))</f>
        <v/>
      </c>
    </row>
    <row r="500" customFormat="false" ht="15.75" hidden="false" customHeight="true" outlineLevel="0" collapsed="false">
      <c r="A500" s="80"/>
      <c r="B500" s="78"/>
      <c r="C500" s="80"/>
      <c r="D500" s="80"/>
      <c r="E500" s="80"/>
      <c r="F500" s="80"/>
      <c r="G500" s="80"/>
      <c r="H500" s="81"/>
      <c r="I500" s="80"/>
      <c r="J500" s="82"/>
      <c r="K500" s="83" t="str">
        <f aca="false">IF(OR(H500="",J500=""),"",H500*J500)</f>
        <v/>
      </c>
      <c r="L500" s="88"/>
      <c r="M500" s="88"/>
      <c r="N500" s="88"/>
      <c r="O500" s="83" t="str">
        <f aca="false">IF(K500="","",K500-IF(L500="",0,L500)+IF(M500="",0,M500)+IF(N500="",0,N500))</f>
        <v/>
      </c>
    </row>
    <row r="501" customFormat="false" ht="15.75" hidden="false" customHeight="true" outlineLevel="0" collapsed="false">
      <c r="A501" s="72"/>
      <c r="B501" s="70"/>
      <c r="C501" s="72"/>
      <c r="D501" s="72"/>
      <c r="E501" s="72"/>
      <c r="F501" s="72"/>
      <c r="G501" s="72"/>
      <c r="H501" s="73"/>
      <c r="I501" s="72"/>
      <c r="J501" s="74"/>
      <c r="K501" s="75" t="str">
        <f aca="false">IF(OR(H501="",J501=""),"",H501*J501)</f>
        <v/>
      </c>
      <c r="L501" s="87"/>
      <c r="M501" s="87"/>
      <c r="N501" s="87"/>
      <c r="O501" s="75" t="str">
        <f aca="false">IF(K501="","",K501-IF(L501="",0,L501)+IF(M501="",0,M501)+IF(N501="",0,N501))</f>
        <v/>
      </c>
    </row>
    <row r="502" customFormat="false" ht="15.75" hidden="false" customHeight="true" outlineLevel="0" collapsed="false">
      <c r="A502" s="80"/>
      <c r="B502" s="78"/>
      <c r="C502" s="80"/>
      <c r="D502" s="80"/>
      <c r="E502" s="80"/>
      <c r="F502" s="80"/>
      <c r="G502" s="80"/>
      <c r="H502" s="81"/>
      <c r="I502" s="80"/>
      <c r="J502" s="82"/>
      <c r="K502" s="83" t="str">
        <f aca="false">IF(OR(H502="",J502=""),"",H502*J502)</f>
        <v/>
      </c>
      <c r="L502" s="88"/>
      <c r="M502" s="88"/>
      <c r="N502" s="88"/>
      <c r="O502" s="83" t="str">
        <f aca="false">IF(K502="","",K502-IF(L502="",0,L502)+IF(M502="",0,M502)+IF(N502="",0,N502))</f>
        <v/>
      </c>
    </row>
    <row r="503" customFormat="false" ht="15.75" hidden="false" customHeight="true" outlineLevel="0" collapsed="false">
      <c r="A503" s="72"/>
      <c r="B503" s="70"/>
      <c r="C503" s="72"/>
      <c r="D503" s="72"/>
      <c r="E503" s="72"/>
      <c r="F503" s="72"/>
      <c r="G503" s="72"/>
      <c r="H503" s="73"/>
      <c r="I503" s="72"/>
      <c r="J503" s="74"/>
      <c r="K503" s="75" t="str">
        <f aca="false">IF(OR(H503="",J503=""),"",H503*J503)</f>
        <v/>
      </c>
      <c r="L503" s="87"/>
      <c r="M503" s="87"/>
      <c r="N503" s="87"/>
      <c r="O503" s="75" t="str">
        <f aca="false">IF(K503="","",K503-IF(L503="",0,L503)+IF(M503="",0,M503)+IF(N503="",0,N503))</f>
        <v/>
      </c>
    </row>
    <row r="504" customFormat="false" ht="15.75" hidden="false" customHeight="true" outlineLevel="0" collapsed="false">
      <c r="A504" s="80"/>
      <c r="B504" s="78"/>
      <c r="C504" s="80"/>
      <c r="D504" s="80"/>
      <c r="E504" s="80"/>
      <c r="F504" s="80"/>
      <c r="G504" s="80"/>
      <c r="H504" s="81"/>
      <c r="I504" s="80"/>
      <c r="J504" s="82"/>
      <c r="K504" s="83" t="str">
        <f aca="false">IF(OR(H504="",J504=""),"",H504*J504)</f>
        <v/>
      </c>
      <c r="L504" s="88"/>
      <c r="M504" s="88"/>
      <c r="N504" s="88"/>
      <c r="O504" s="83" t="str">
        <f aca="false">IF(K504="","",K504-IF(L504="",0,L504)+IF(M504="",0,M504)+IF(N504="",0,N504))</f>
        <v/>
      </c>
    </row>
  </sheetData>
  <autoFilter ref="A4:O504"/>
  <mergeCells count="2">
    <mergeCell ref="A1:O1"/>
    <mergeCell ref="A2:O2"/>
  </mergeCells>
  <dataValidations count="2">
    <dataValidation allowBlank="true" errorStyle="stop" operator="between" showDropDown="false" showErrorMessage="false" showInputMessage="false" sqref="D5:D504" type="list">
      <formula1>"Building Materials,Electrical,Food/Provisions,Labour,Land Development,Miscellaneous,Professional Fees,Steel/Iron,Transport"</formula1>
      <formula2>0</formula2>
    </dataValidation>
    <dataValidation allowBlank="true" errorStyle="stop" operator="between" showDropDown="false" showErrorMessage="false" showInputMessage="false" sqref="C5:C504" type="list">
      <formula1>"Pappu Hardware,Brick Company,Sand Truck Wala,Concrete Supplier,Dinesh-Electrician,Mukesh Yadav,Chand Ansari,Ajay Mahto,Mukhiya,Sonbhai-Coordinator,Econ Builder,Rinku Devi A/c"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M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7"/>
    <col collapsed="false" customWidth="true" hidden="false" outlineLevel="0" max="2" min="2" style="17" width="14"/>
    <col collapsed="false" customWidth="true" hidden="false" outlineLevel="0" max="3" min="3" style="17" width="18"/>
    <col collapsed="false" customWidth="true" hidden="false" outlineLevel="0" max="4" min="4" style="17" width="24"/>
    <col collapsed="false" customWidth="true" hidden="false" outlineLevel="0" max="5" min="5" style="17" width="20"/>
    <col collapsed="false" customWidth="true" hidden="false" outlineLevel="0" max="6" min="6" style="17" width="28"/>
    <col collapsed="false" customWidth="true" hidden="false" outlineLevel="0" max="8" min="7" style="17" width="14"/>
    <col collapsed="false" customWidth="true" hidden="false" outlineLevel="0" max="9" min="9" style="17" width="20"/>
    <col collapsed="false" customWidth="true" hidden="false" outlineLevel="0" max="10" min="10" style="17" width="14"/>
    <col collapsed="false" customWidth="true" hidden="false" outlineLevel="0" max="11" min="11" style="17" width="10"/>
    <col collapsed="false" customWidth="true" hidden="false" outlineLevel="0" max="12" min="12" style="17" width="16"/>
    <col collapsed="false" customWidth="true" hidden="false" outlineLevel="0" max="13" min="13" style="17" width="24"/>
  </cols>
  <sheetData>
    <row r="1" customFormat="false" ht="17.25" hidden="false" customHeight="true" outlineLevel="0" collapsed="false">
      <c r="A1" s="63" t="s">
        <v>403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customFormat="false" ht="15.75" hidden="false" customHeight="true" outlineLevel="0" collapsed="false">
      <c r="A2" s="64" t="s">
        <v>404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4" customFormat="false" ht="26.25" hidden="false" customHeight="true" outlineLevel="0" collapsed="false">
      <c r="A4" s="65" t="s">
        <v>307</v>
      </c>
      <c r="B4" s="65" t="s">
        <v>308</v>
      </c>
      <c r="C4" s="65" t="s">
        <v>318</v>
      </c>
      <c r="D4" s="65" t="s">
        <v>405</v>
      </c>
      <c r="E4" s="65" t="s">
        <v>153</v>
      </c>
      <c r="F4" s="65" t="s">
        <v>406</v>
      </c>
      <c r="G4" s="65" t="s">
        <v>152</v>
      </c>
      <c r="H4" s="65" t="s">
        <v>319</v>
      </c>
      <c r="I4" s="65" t="s">
        <v>407</v>
      </c>
      <c r="J4" s="65" t="s">
        <v>408</v>
      </c>
      <c r="K4" s="65" t="s">
        <v>409</v>
      </c>
      <c r="L4" s="65" t="s">
        <v>410</v>
      </c>
      <c r="M4" s="65" t="s">
        <v>411</v>
      </c>
    </row>
    <row r="5" customFormat="false" ht="15.75" hidden="false" customHeight="true" outlineLevel="0" collapsed="false">
      <c r="A5" s="66" t="n">
        <v>1</v>
      </c>
      <c r="B5" s="70" t="n">
        <v>46149</v>
      </c>
      <c r="C5" s="72" t="s">
        <v>132</v>
      </c>
      <c r="D5" s="72" t="s">
        <v>113</v>
      </c>
      <c r="E5" s="72" t="s">
        <v>161</v>
      </c>
      <c r="F5" s="72" t="s">
        <v>412</v>
      </c>
      <c r="G5" s="87" t="n">
        <v>5000</v>
      </c>
      <c r="H5" s="72" t="s">
        <v>211</v>
      </c>
      <c r="I5" s="72"/>
      <c r="J5" s="72"/>
      <c r="K5" s="72" t="s">
        <v>413</v>
      </c>
      <c r="L5" s="75" t="n">
        <f aca="false">IF(G5="","",G5)</f>
        <v>5000</v>
      </c>
      <c r="M5" s="72" t="s">
        <v>414</v>
      </c>
    </row>
    <row r="6" customFormat="false" ht="15.75" hidden="false" customHeight="true" outlineLevel="0" collapsed="false">
      <c r="A6" s="68" t="n">
        <v>2</v>
      </c>
      <c r="B6" s="78" t="n">
        <v>46149</v>
      </c>
      <c r="C6" s="80" t="s">
        <v>128</v>
      </c>
      <c r="D6" s="80" t="s">
        <v>170</v>
      </c>
      <c r="E6" s="80" t="s">
        <v>164</v>
      </c>
      <c r="F6" s="80" t="s">
        <v>415</v>
      </c>
      <c r="G6" s="88" t="n">
        <v>1500</v>
      </c>
      <c r="H6" s="80" t="s">
        <v>211</v>
      </c>
      <c r="I6" s="80"/>
      <c r="J6" s="80"/>
      <c r="K6" s="80" t="s">
        <v>416</v>
      </c>
      <c r="L6" s="83" t="n">
        <f aca="false">IF(G6="","",IF(L5="",G6,L5+G6))</f>
        <v>6500</v>
      </c>
      <c r="M6" s="80" t="s">
        <v>417</v>
      </c>
    </row>
    <row r="7" customFormat="false" ht="15.75" hidden="false" customHeight="true" outlineLevel="0" collapsed="false">
      <c r="A7" s="66" t="n">
        <v>3</v>
      </c>
      <c r="B7" s="70" t="n">
        <v>46153</v>
      </c>
      <c r="C7" s="72" t="s">
        <v>128</v>
      </c>
      <c r="D7" s="72" t="s">
        <v>109</v>
      </c>
      <c r="E7" s="72" t="s">
        <v>159</v>
      </c>
      <c r="F7" s="72" t="s">
        <v>418</v>
      </c>
      <c r="G7" s="87" t="n">
        <v>90000</v>
      </c>
      <c r="H7" s="72" t="s">
        <v>211</v>
      </c>
      <c r="I7" s="72"/>
      <c r="J7" s="72"/>
      <c r="K7" s="72" t="s">
        <v>416</v>
      </c>
      <c r="L7" s="75" t="n">
        <f aca="false">IF(G7="","",IF(L6="",G7,L6+G7))</f>
        <v>96500</v>
      </c>
      <c r="M7" s="72" t="s">
        <v>419</v>
      </c>
    </row>
    <row r="8" customFormat="false" ht="15.75" hidden="false" customHeight="true" outlineLevel="0" collapsed="false">
      <c r="A8" s="68" t="n">
        <v>4</v>
      </c>
      <c r="B8" s="78" t="n">
        <v>46155</v>
      </c>
      <c r="C8" s="80" t="s">
        <v>128</v>
      </c>
      <c r="D8" s="80" t="s">
        <v>109</v>
      </c>
      <c r="E8" s="80" t="s">
        <v>159</v>
      </c>
      <c r="F8" s="80" t="s">
        <v>420</v>
      </c>
      <c r="G8" s="88" t="n">
        <v>93000</v>
      </c>
      <c r="H8" s="80" t="s">
        <v>211</v>
      </c>
      <c r="I8" s="80"/>
      <c r="J8" s="80"/>
      <c r="K8" s="80" t="s">
        <v>413</v>
      </c>
      <c r="L8" s="83" t="n">
        <f aca="false">IF(G8="","",IF(L7="",G8,L7+G8))</f>
        <v>189500</v>
      </c>
      <c r="M8" s="80" t="s">
        <v>421</v>
      </c>
    </row>
    <row r="9" customFormat="false" ht="15.75" hidden="false" customHeight="true" outlineLevel="0" collapsed="false">
      <c r="A9" s="66" t="n">
        <v>5</v>
      </c>
      <c r="B9" s="70" t="n">
        <v>46154</v>
      </c>
      <c r="C9" s="72" t="s">
        <v>132</v>
      </c>
      <c r="D9" s="72" t="s">
        <v>119</v>
      </c>
      <c r="E9" s="72" t="s">
        <v>162</v>
      </c>
      <c r="F9" s="72" t="s">
        <v>422</v>
      </c>
      <c r="G9" s="87" t="n">
        <v>5000</v>
      </c>
      <c r="H9" s="72" t="s">
        <v>211</v>
      </c>
      <c r="I9" s="72"/>
      <c r="J9" s="72"/>
      <c r="K9" s="72" t="s">
        <v>416</v>
      </c>
      <c r="L9" s="75" t="n">
        <f aca="false">IF(G9="","",IF(L8="",G9,L8+G9))</f>
        <v>194500</v>
      </c>
      <c r="M9" s="72" t="s">
        <v>423</v>
      </c>
    </row>
    <row r="10" customFormat="false" ht="15.75" hidden="false" customHeight="true" outlineLevel="0" collapsed="false">
      <c r="A10" s="68" t="n">
        <v>6</v>
      </c>
      <c r="B10" s="78" t="n">
        <v>46146</v>
      </c>
      <c r="C10" s="80" t="s">
        <v>132</v>
      </c>
      <c r="D10" s="80" t="s">
        <v>117</v>
      </c>
      <c r="E10" s="80" t="s">
        <v>159</v>
      </c>
      <c r="F10" s="80" t="s">
        <v>424</v>
      </c>
      <c r="G10" s="88" t="n">
        <v>55000</v>
      </c>
      <c r="H10" s="80" t="s">
        <v>211</v>
      </c>
      <c r="I10" s="80"/>
      <c r="J10" s="80"/>
      <c r="K10" s="80" t="s">
        <v>416</v>
      </c>
      <c r="L10" s="83" t="n">
        <f aca="false">IF(G10="","",IF(L9="",G10,L9+G10))</f>
        <v>249500</v>
      </c>
      <c r="M10" s="80" t="s">
        <v>425</v>
      </c>
    </row>
    <row r="11" customFormat="false" ht="15.75" hidden="false" customHeight="true" outlineLevel="0" collapsed="false">
      <c r="A11" s="66" t="n">
        <v>7</v>
      </c>
      <c r="B11" s="70" t="n">
        <v>46154</v>
      </c>
      <c r="C11" s="72" t="s">
        <v>132</v>
      </c>
      <c r="D11" s="72" t="s">
        <v>117</v>
      </c>
      <c r="E11" s="72" t="s">
        <v>159</v>
      </c>
      <c r="F11" s="72" t="s">
        <v>426</v>
      </c>
      <c r="G11" s="87" t="n">
        <v>55000</v>
      </c>
      <c r="H11" s="72" t="s">
        <v>211</v>
      </c>
      <c r="I11" s="72"/>
      <c r="J11" s="72"/>
      <c r="K11" s="72" t="s">
        <v>416</v>
      </c>
      <c r="L11" s="75" t="n">
        <f aca="false">IF(G11="","",IF(L10="",G11,L10+G11))</f>
        <v>304500</v>
      </c>
      <c r="M11" s="72" t="s">
        <v>425</v>
      </c>
    </row>
    <row r="12" customFormat="false" ht="15.75" hidden="false" customHeight="true" outlineLevel="0" collapsed="false">
      <c r="A12" s="68" t="n">
        <v>8</v>
      </c>
      <c r="B12" s="78" t="n">
        <v>46156</v>
      </c>
      <c r="C12" s="80" t="s">
        <v>128</v>
      </c>
      <c r="D12" s="80" t="s">
        <v>111</v>
      </c>
      <c r="E12" s="80" t="s">
        <v>159</v>
      </c>
      <c r="F12" s="80" t="s">
        <v>427</v>
      </c>
      <c r="G12" s="88" t="n">
        <v>200000</v>
      </c>
      <c r="H12" s="80" t="s">
        <v>211</v>
      </c>
      <c r="I12" s="80"/>
      <c r="J12" s="80"/>
      <c r="K12" s="80" t="s">
        <v>428</v>
      </c>
      <c r="L12" s="83" t="n">
        <f aca="false">L11+G12</f>
        <v>504500</v>
      </c>
      <c r="M12" s="80" t="s">
        <v>429</v>
      </c>
    </row>
    <row r="13" customFormat="false" ht="15.75" hidden="false" customHeight="true" outlineLevel="0" collapsed="false">
      <c r="A13" s="66" t="n">
        <v>9</v>
      </c>
      <c r="B13" s="70" t="n">
        <v>46156</v>
      </c>
      <c r="C13" s="72" t="s">
        <v>134</v>
      </c>
      <c r="D13" s="72" t="s">
        <v>111</v>
      </c>
      <c r="E13" s="72" t="s">
        <v>159</v>
      </c>
      <c r="F13" s="72" t="s">
        <v>430</v>
      </c>
      <c r="G13" s="87" t="n">
        <v>169000</v>
      </c>
      <c r="H13" s="72" t="s">
        <v>211</v>
      </c>
      <c r="I13" s="72"/>
      <c r="J13" s="72"/>
      <c r="K13" s="72" t="s">
        <v>428</v>
      </c>
      <c r="L13" s="75" t="n">
        <f aca="false">IF(G13="","",IF(L12="",G13,L12+G13))</f>
        <v>673500</v>
      </c>
      <c r="M13" s="72" t="s">
        <v>429</v>
      </c>
    </row>
    <row r="14" customFormat="false" ht="15.75" hidden="false" customHeight="true" outlineLevel="0" collapsed="false">
      <c r="A14" s="68" t="n">
        <v>10</v>
      </c>
      <c r="B14" s="78" t="n">
        <v>46157</v>
      </c>
      <c r="C14" s="80" t="s">
        <v>132</v>
      </c>
      <c r="D14" s="80" t="s">
        <v>115</v>
      </c>
      <c r="E14" s="80" t="s">
        <v>159</v>
      </c>
      <c r="F14" s="80" t="s">
        <v>431</v>
      </c>
      <c r="G14" s="88" t="n">
        <v>66000</v>
      </c>
      <c r="H14" s="80" t="s">
        <v>211</v>
      </c>
      <c r="I14" s="80"/>
      <c r="J14" s="80"/>
      <c r="K14" s="80" t="s">
        <v>428</v>
      </c>
      <c r="L14" s="83" t="n">
        <f aca="false">IF(G14="","",IF(L13="",G14,L13+G14))</f>
        <v>739500</v>
      </c>
      <c r="M14" s="80" t="s">
        <v>425</v>
      </c>
    </row>
    <row r="15" customFormat="false" ht="15.75" hidden="false" customHeight="true" outlineLevel="0" collapsed="false">
      <c r="A15" s="66" t="n">
        <v>11</v>
      </c>
      <c r="B15" s="70" t="n">
        <v>46157</v>
      </c>
      <c r="C15" s="72" t="s">
        <v>132</v>
      </c>
      <c r="D15" s="72" t="s">
        <v>113</v>
      </c>
      <c r="E15" s="72" t="s">
        <v>161</v>
      </c>
      <c r="F15" s="72" t="s">
        <v>432</v>
      </c>
      <c r="G15" s="87" t="n">
        <v>11000</v>
      </c>
      <c r="H15" s="72" t="s">
        <v>211</v>
      </c>
      <c r="I15" s="72"/>
      <c r="J15" s="72"/>
      <c r="K15" s="72" t="s">
        <v>428</v>
      </c>
      <c r="L15" s="75" t="n">
        <f aca="false">IF(G15="","",IF(L14="",G15,L14+G15))</f>
        <v>750500</v>
      </c>
      <c r="M15" s="72" t="s">
        <v>433</v>
      </c>
    </row>
    <row r="16" customFormat="false" ht="15.75" hidden="false" customHeight="true" outlineLevel="0" collapsed="false">
      <c r="A16" s="68" t="n">
        <v>12</v>
      </c>
      <c r="B16" s="78" t="n">
        <v>46158</v>
      </c>
      <c r="C16" s="80" t="s">
        <v>128</v>
      </c>
      <c r="D16" s="80" t="s">
        <v>113</v>
      </c>
      <c r="E16" s="80" t="s">
        <v>161</v>
      </c>
      <c r="F16" s="80" t="s">
        <v>434</v>
      </c>
      <c r="G16" s="88" t="n">
        <v>50000</v>
      </c>
      <c r="H16" s="80" t="s">
        <v>211</v>
      </c>
      <c r="I16" s="80"/>
      <c r="J16" s="80"/>
      <c r="K16" s="80" t="s">
        <v>428</v>
      </c>
      <c r="L16" s="83" t="n">
        <f aca="false">IF(G16="","",IF(L15="",G16,L15+G16))</f>
        <v>800500</v>
      </c>
      <c r="M16" s="80" t="s">
        <v>435</v>
      </c>
    </row>
    <row r="17" customFormat="false" ht="15.75" hidden="false" customHeight="true" outlineLevel="0" collapsed="false">
      <c r="A17" s="66" t="n">
        <v>13</v>
      </c>
      <c r="B17" s="70" t="n">
        <v>46158</v>
      </c>
      <c r="C17" s="72" t="s">
        <v>132</v>
      </c>
      <c r="D17" s="72" t="s">
        <v>169</v>
      </c>
      <c r="E17" s="72" t="s">
        <v>168</v>
      </c>
      <c r="F17" s="72" t="s">
        <v>436</v>
      </c>
      <c r="G17" s="87" t="n">
        <v>5060</v>
      </c>
      <c r="H17" s="72" t="s">
        <v>211</v>
      </c>
      <c r="I17" s="72"/>
      <c r="J17" s="72"/>
      <c r="K17" s="72" t="s">
        <v>428</v>
      </c>
      <c r="L17" s="75" t="n">
        <f aca="false">IF(G17="","",IF(L16="",G17,L16+G17))</f>
        <v>805560</v>
      </c>
      <c r="M17" s="72" t="s">
        <v>437</v>
      </c>
    </row>
    <row r="18" customFormat="false" ht="15.75" hidden="false" customHeight="true" outlineLevel="0" collapsed="false">
      <c r="A18" s="68" t="n">
        <v>14</v>
      </c>
      <c r="B18" s="78" t="n">
        <v>46161</v>
      </c>
      <c r="C18" s="80" t="s">
        <v>128</v>
      </c>
      <c r="D18" s="80" t="s">
        <v>109</v>
      </c>
      <c r="E18" s="80" t="s">
        <v>159</v>
      </c>
      <c r="F18" s="80" t="s">
        <v>438</v>
      </c>
      <c r="G18" s="88" t="n">
        <v>3500</v>
      </c>
      <c r="H18" s="80" t="s">
        <v>211</v>
      </c>
      <c r="I18" s="80"/>
      <c r="J18" s="80"/>
      <c r="K18" s="80" t="s">
        <v>428</v>
      </c>
      <c r="L18" s="83" t="n">
        <f aca="false">IF(G18="","",IF(L17="",G18,L17+G18))</f>
        <v>809060</v>
      </c>
      <c r="M18" s="80" t="s">
        <v>439</v>
      </c>
    </row>
    <row r="19" customFormat="false" ht="15.75" hidden="false" customHeight="true" outlineLevel="0" collapsed="false">
      <c r="A19" s="66" t="n">
        <v>15</v>
      </c>
      <c r="B19" s="70" t="n">
        <v>46163</v>
      </c>
      <c r="C19" s="72" t="s">
        <v>128</v>
      </c>
      <c r="D19" s="72" t="s">
        <v>109</v>
      </c>
      <c r="E19" s="72" t="s">
        <v>159</v>
      </c>
      <c r="F19" s="72" t="s">
        <v>440</v>
      </c>
      <c r="G19" s="87" t="n">
        <v>24800</v>
      </c>
      <c r="H19" s="72" t="s">
        <v>211</v>
      </c>
      <c r="I19" s="72"/>
      <c r="J19" s="72"/>
      <c r="K19" s="72" t="s">
        <v>428</v>
      </c>
      <c r="L19" s="75" t="n">
        <f aca="false">IF(G19="","",IF(L18="",G19,L18+G19))</f>
        <v>833860</v>
      </c>
      <c r="M19" s="72" t="s">
        <v>441</v>
      </c>
    </row>
    <row r="20" customFormat="false" ht="15.75" hidden="false" customHeight="true" outlineLevel="0" collapsed="false">
      <c r="A20" s="68" t="n">
        <v>16</v>
      </c>
      <c r="B20" s="78" t="n">
        <v>46164</v>
      </c>
      <c r="C20" s="80" t="s">
        <v>130</v>
      </c>
      <c r="D20" s="80" t="s">
        <v>113</v>
      </c>
      <c r="E20" s="80" t="s">
        <v>161</v>
      </c>
      <c r="F20" s="80" t="s">
        <v>442</v>
      </c>
      <c r="G20" s="88" t="n">
        <v>50000</v>
      </c>
      <c r="H20" s="80" t="s">
        <v>229</v>
      </c>
      <c r="I20" s="80"/>
      <c r="J20" s="80"/>
      <c r="K20" s="80" t="s">
        <v>428</v>
      </c>
      <c r="L20" s="83" t="n">
        <f aca="false">IF(G20="","",IF(L19="",G20,L19+G20))</f>
        <v>883860</v>
      </c>
      <c r="M20" s="80" t="s">
        <v>443</v>
      </c>
    </row>
    <row r="21" customFormat="false" ht="15.75" hidden="false" customHeight="true" outlineLevel="0" collapsed="false">
      <c r="A21" s="66" t="n">
        <v>17</v>
      </c>
      <c r="B21" s="70" t="n">
        <v>46165</v>
      </c>
      <c r="C21" s="72" t="s">
        <v>128</v>
      </c>
      <c r="D21" s="72" t="s">
        <v>115</v>
      </c>
      <c r="E21" s="72" t="s">
        <v>159</v>
      </c>
      <c r="F21" s="72" t="s">
        <v>444</v>
      </c>
      <c r="G21" s="87" t="n">
        <v>95982</v>
      </c>
      <c r="H21" s="72" t="s">
        <v>211</v>
      </c>
      <c r="I21" s="72"/>
      <c r="J21" s="72"/>
      <c r="K21" s="72" t="s">
        <v>428</v>
      </c>
      <c r="L21" s="75" t="n">
        <f aca="false">IF(G21="","",IF(L20="",G21,L20+G21))</f>
        <v>979842</v>
      </c>
      <c r="M21" s="72" t="s">
        <v>445</v>
      </c>
    </row>
    <row r="22" customFormat="false" ht="15.75" hidden="false" customHeight="true" outlineLevel="0" collapsed="false">
      <c r="A22" s="68" t="n">
        <v>18</v>
      </c>
      <c r="B22" s="78" t="n">
        <v>46167</v>
      </c>
      <c r="C22" s="80" t="s">
        <v>130</v>
      </c>
      <c r="D22" s="80" t="s">
        <v>121</v>
      </c>
      <c r="E22" s="80" t="s">
        <v>159</v>
      </c>
      <c r="F22" s="80" t="s">
        <v>446</v>
      </c>
      <c r="G22" s="88" t="n">
        <v>18650</v>
      </c>
      <c r="H22" s="80" t="s">
        <v>229</v>
      </c>
      <c r="I22" s="80"/>
      <c r="J22" s="80"/>
      <c r="K22" s="80" t="s">
        <v>428</v>
      </c>
      <c r="L22" s="83" t="n">
        <f aca="false">IF(G22="","",IF(L21="",G22,L21+G22))</f>
        <v>998492</v>
      </c>
      <c r="M22" s="80" t="s">
        <v>447</v>
      </c>
    </row>
    <row r="23" customFormat="false" ht="15.75" hidden="false" customHeight="true" outlineLevel="0" collapsed="false">
      <c r="A23" s="66" t="n">
        <v>19</v>
      </c>
      <c r="B23" s="70" t="n">
        <v>46167</v>
      </c>
      <c r="C23" s="72" t="s">
        <v>132</v>
      </c>
      <c r="D23" s="72" t="s">
        <v>113</v>
      </c>
      <c r="E23" s="72" t="s">
        <v>161</v>
      </c>
      <c r="F23" s="72" t="s">
        <v>448</v>
      </c>
      <c r="G23" s="87" t="n">
        <v>10000</v>
      </c>
      <c r="H23" s="72" t="s">
        <v>211</v>
      </c>
      <c r="I23" s="72"/>
      <c r="J23" s="72"/>
      <c r="K23" s="72" t="s">
        <v>428</v>
      </c>
      <c r="L23" s="75" t="n">
        <f aca="false">IF(G23="","",IF(L22="",G23,L22+G23))</f>
        <v>1008492</v>
      </c>
      <c r="M23" s="72" t="s">
        <v>449</v>
      </c>
    </row>
    <row r="24" customFormat="false" ht="15.75" hidden="false" customHeight="true" outlineLevel="0" collapsed="false">
      <c r="A24" s="68" t="n">
        <v>20</v>
      </c>
      <c r="B24" s="78" t="n">
        <v>46174</v>
      </c>
      <c r="C24" s="80" t="s">
        <v>130</v>
      </c>
      <c r="D24" s="80" t="s">
        <v>109</v>
      </c>
      <c r="E24" s="80" t="s">
        <v>450</v>
      </c>
      <c r="F24" s="80" t="s">
        <v>451</v>
      </c>
      <c r="G24" s="88" t="n">
        <v>202830</v>
      </c>
      <c r="H24" s="80" t="s">
        <v>229</v>
      </c>
      <c r="I24" s="80"/>
      <c r="J24" s="80"/>
      <c r="K24" s="80" t="s">
        <v>428</v>
      </c>
      <c r="L24" s="83" t="n">
        <f aca="false">IF(G24="","",IF(L23="",G24,L23+G24))</f>
        <v>1211322</v>
      </c>
      <c r="M24" s="80" t="s">
        <v>452</v>
      </c>
    </row>
    <row r="25" customFormat="false" ht="15.75" hidden="false" customHeight="true" outlineLevel="0" collapsed="false">
      <c r="A25" s="66" t="n">
        <v>21</v>
      </c>
      <c r="B25" s="70" t="n">
        <v>46174</v>
      </c>
      <c r="C25" s="72" t="s">
        <v>132</v>
      </c>
      <c r="D25" s="72" t="s">
        <v>123</v>
      </c>
      <c r="E25" s="72" t="s">
        <v>164</v>
      </c>
      <c r="F25" s="72" t="s">
        <v>453</v>
      </c>
      <c r="G25" s="87" t="n">
        <v>23100</v>
      </c>
      <c r="H25" s="72" t="s">
        <v>211</v>
      </c>
      <c r="I25" s="72"/>
      <c r="J25" s="72"/>
      <c r="K25" s="72" t="s">
        <v>428</v>
      </c>
      <c r="L25" s="75" t="n">
        <f aca="false">IF(G25="","",IF(L24="",G25,L24+G25))</f>
        <v>1234422</v>
      </c>
      <c r="M25" s="72" t="s">
        <v>454</v>
      </c>
    </row>
    <row r="26" customFormat="false" ht="15.75" hidden="false" customHeight="true" outlineLevel="0" collapsed="false">
      <c r="A26" s="68" t="n">
        <v>22</v>
      </c>
      <c r="B26" s="78" t="n">
        <v>46174</v>
      </c>
      <c r="C26" s="80" t="s">
        <v>128</v>
      </c>
      <c r="D26" s="80" t="s">
        <v>113</v>
      </c>
      <c r="E26" s="80" t="s">
        <v>161</v>
      </c>
      <c r="F26" s="80" t="s">
        <v>455</v>
      </c>
      <c r="G26" s="88" t="n">
        <v>100000</v>
      </c>
      <c r="H26" s="80" t="s">
        <v>211</v>
      </c>
      <c r="I26" s="80"/>
      <c r="J26" s="80"/>
      <c r="K26" s="80" t="s">
        <v>428</v>
      </c>
      <c r="L26" s="83" t="n">
        <f aca="false">IF(G26="","",IF(L25="",G26,L25+G26))</f>
        <v>1334422</v>
      </c>
      <c r="M26" s="80" t="s">
        <v>456</v>
      </c>
    </row>
    <row r="27" customFormat="false" ht="15.75" hidden="false" customHeight="true" outlineLevel="0" collapsed="false">
      <c r="A27" s="66" t="n">
        <v>23</v>
      </c>
      <c r="B27" s="70"/>
      <c r="C27" s="72"/>
      <c r="D27" s="72"/>
      <c r="E27" s="72"/>
      <c r="F27" s="72"/>
      <c r="G27" s="87"/>
      <c r="H27" s="72"/>
      <c r="I27" s="72"/>
      <c r="J27" s="72"/>
      <c r="K27" s="72"/>
      <c r="L27" s="75" t="str">
        <f aca="false">IF(G27="","",IF(L26="",G27,L26+G27))</f>
        <v/>
      </c>
      <c r="M27" s="72"/>
    </row>
    <row r="28" customFormat="false" ht="15.75" hidden="false" customHeight="true" outlineLevel="0" collapsed="false">
      <c r="A28" s="68" t="n">
        <v>24</v>
      </c>
      <c r="B28" s="78"/>
      <c r="C28" s="80"/>
      <c r="D28" s="80"/>
      <c r="E28" s="80"/>
      <c r="F28" s="80"/>
      <c r="G28" s="88"/>
      <c r="H28" s="80"/>
      <c r="I28" s="80"/>
      <c r="J28" s="80"/>
      <c r="K28" s="80"/>
      <c r="L28" s="83" t="str">
        <f aca="false">IF(G28="","",IF(L27="",G28,L27+G28))</f>
        <v/>
      </c>
      <c r="M28" s="80"/>
    </row>
    <row r="29" customFormat="false" ht="15.75" hidden="false" customHeight="true" outlineLevel="0" collapsed="false">
      <c r="A29" s="66" t="n">
        <v>25</v>
      </c>
      <c r="B29" s="70"/>
      <c r="C29" s="72"/>
      <c r="D29" s="72"/>
      <c r="E29" s="72"/>
      <c r="F29" s="72"/>
      <c r="G29" s="87"/>
      <c r="H29" s="72"/>
      <c r="I29" s="72"/>
      <c r="J29" s="72"/>
      <c r="K29" s="72"/>
      <c r="L29" s="75" t="str">
        <f aca="false">IF(G29="","",IF(L28="",G29,L28+G29))</f>
        <v/>
      </c>
      <c r="M29" s="72"/>
    </row>
    <row r="30" customFormat="false" ht="15.75" hidden="false" customHeight="true" outlineLevel="0" collapsed="false">
      <c r="A30" s="68" t="n">
        <v>26</v>
      </c>
      <c r="B30" s="78"/>
      <c r="C30" s="80"/>
      <c r="D30" s="80"/>
      <c r="E30" s="80"/>
      <c r="F30" s="80"/>
      <c r="G30" s="88"/>
      <c r="H30" s="80"/>
      <c r="I30" s="80"/>
      <c r="J30" s="80"/>
      <c r="K30" s="80"/>
      <c r="L30" s="83" t="str">
        <f aca="false">IF(G30="","",IF(L29="",G30,L29+G30))</f>
        <v/>
      </c>
      <c r="M30" s="80"/>
    </row>
    <row r="31" customFormat="false" ht="15.75" hidden="false" customHeight="true" outlineLevel="0" collapsed="false">
      <c r="A31" s="66" t="n">
        <v>27</v>
      </c>
      <c r="B31" s="70"/>
      <c r="C31" s="72"/>
      <c r="D31" s="72"/>
      <c r="E31" s="72"/>
      <c r="F31" s="72"/>
      <c r="G31" s="87"/>
      <c r="H31" s="72"/>
      <c r="I31" s="72"/>
      <c r="J31" s="72"/>
      <c r="K31" s="72"/>
      <c r="L31" s="75" t="str">
        <f aca="false">IF(G31="","",IF(L30="",G31,L30+G31))</f>
        <v/>
      </c>
      <c r="M31" s="72"/>
    </row>
    <row r="32" customFormat="false" ht="15.75" hidden="false" customHeight="true" outlineLevel="0" collapsed="false">
      <c r="A32" s="68" t="n">
        <v>28</v>
      </c>
      <c r="B32" s="78"/>
      <c r="C32" s="80"/>
      <c r="D32" s="80"/>
      <c r="E32" s="80"/>
      <c r="F32" s="80"/>
      <c r="G32" s="88"/>
      <c r="H32" s="80"/>
      <c r="I32" s="80"/>
      <c r="J32" s="80"/>
      <c r="K32" s="80"/>
      <c r="L32" s="83" t="str">
        <f aca="false">IF(G32="","",IF(L31="",G32,L31+G32))</f>
        <v/>
      </c>
      <c r="M32" s="80"/>
    </row>
    <row r="33" customFormat="false" ht="15.75" hidden="false" customHeight="true" outlineLevel="0" collapsed="false">
      <c r="A33" s="66" t="n">
        <v>29</v>
      </c>
      <c r="B33" s="70"/>
      <c r="C33" s="72"/>
      <c r="D33" s="72"/>
      <c r="E33" s="72"/>
      <c r="F33" s="72"/>
      <c r="G33" s="87"/>
      <c r="H33" s="72"/>
      <c r="I33" s="72"/>
      <c r="J33" s="72"/>
      <c r="K33" s="72"/>
      <c r="L33" s="75" t="str">
        <f aca="false">IF(G33="","",IF(L32="",G33,L32+G33))</f>
        <v/>
      </c>
      <c r="M33" s="72"/>
    </row>
    <row r="34" customFormat="false" ht="15.75" hidden="false" customHeight="true" outlineLevel="0" collapsed="false">
      <c r="A34" s="68" t="n">
        <v>30</v>
      </c>
      <c r="B34" s="78"/>
      <c r="C34" s="80"/>
      <c r="D34" s="80"/>
      <c r="E34" s="80"/>
      <c r="F34" s="80"/>
      <c r="G34" s="88"/>
      <c r="H34" s="80"/>
      <c r="I34" s="80"/>
      <c r="J34" s="80"/>
      <c r="K34" s="80"/>
      <c r="L34" s="83" t="str">
        <f aca="false">IF(G34="","",IF(L33="",G34,L33+G34))</f>
        <v/>
      </c>
      <c r="M34" s="80"/>
    </row>
    <row r="35" customFormat="false" ht="15.75" hidden="false" customHeight="true" outlineLevel="0" collapsed="false">
      <c r="A35" s="66" t="n">
        <v>31</v>
      </c>
      <c r="B35" s="70"/>
      <c r="C35" s="72"/>
      <c r="D35" s="72"/>
      <c r="E35" s="72"/>
      <c r="F35" s="72"/>
      <c r="G35" s="87"/>
      <c r="H35" s="72"/>
      <c r="I35" s="72"/>
      <c r="J35" s="72"/>
      <c r="K35" s="72"/>
      <c r="L35" s="75" t="str">
        <f aca="false">IF(G35="","",IF(L34="",G35,L34+G35))</f>
        <v/>
      </c>
      <c r="M35" s="72"/>
    </row>
    <row r="36" customFormat="false" ht="15.75" hidden="false" customHeight="true" outlineLevel="0" collapsed="false">
      <c r="A36" s="68" t="n">
        <v>32</v>
      </c>
      <c r="B36" s="78"/>
      <c r="C36" s="80"/>
      <c r="D36" s="80"/>
      <c r="E36" s="80"/>
      <c r="F36" s="80"/>
      <c r="G36" s="88"/>
      <c r="H36" s="80"/>
      <c r="I36" s="80"/>
      <c r="J36" s="80"/>
      <c r="K36" s="80"/>
      <c r="L36" s="83" t="str">
        <f aca="false">IF(G36="","",IF(L35="",G36,L35+G36))</f>
        <v/>
      </c>
      <c r="M36" s="80"/>
    </row>
    <row r="37" customFormat="false" ht="15.75" hidden="false" customHeight="true" outlineLevel="0" collapsed="false">
      <c r="A37" s="66" t="n">
        <v>33</v>
      </c>
      <c r="B37" s="70"/>
      <c r="C37" s="72"/>
      <c r="D37" s="72"/>
      <c r="E37" s="72"/>
      <c r="F37" s="72"/>
      <c r="G37" s="87"/>
      <c r="H37" s="72"/>
      <c r="I37" s="72"/>
      <c r="J37" s="72"/>
      <c r="K37" s="72"/>
      <c r="L37" s="75" t="str">
        <f aca="false">IF(G37="","",IF(L36="",G37,L36+G37))</f>
        <v/>
      </c>
      <c r="M37" s="72"/>
    </row>
    <row r="38" customFormat="false" ht="15.75" hidden="false" customHeight="true" outlineLevel="0" collapsed="false">
      <c r="A38" s="68" t="n">
        <v>34</v>
      </c>
      <c r="B38" s="78"/>
      <c r="C38" s="80"/>
      <c r="D38" s="80"/>
      <c r="E38" s="80"/>
      <c r="F38" s="80"/>
      <c r="G38" s="88"/>
      <c r="H38" s="80"/>
      <c r="I38" s="80"/>
      <c r="J38" s="80"/>
      <c r="K38" s="80"/>
      <c r="L38" s="83" t="str">
        <f aca="false">IF(G38="","",IF(L37="",G38,L37+G38))</f>
        <v/>
      </c>
      <c r="M38" s="80"/>
    </row>
    <row r="39" customFormat="false" ht="15.75" hidden="false" customHeight="true" outlineLevel="0" collapsed="false">
      <c r="A39" s="66" t="n">
        <v>35</v>
      </c>
      <c r="B39" s="70"/>
      <c r="C39" s="72"/>
      <c r="D39" s="72"/>
      <c r="E39" s="72"/>
      <c r="F39" s="72"/>
      <c r="G39" s="87"/>
      <c r="H39" s="72"/>
      <c r="I39" s="72"/>
      <c r="J39" s="72"/>
      <c r="K39" s="72"/>
      <c r="L39" s="75" t="str">
        <f aca="false">IF(G39="","",IF(L38="",G39,L38+G39))</f>
        <v/>
      </c>
      <c r="M39" s="72"/>
    </row>
    <row r="40" customFormat="false" ht="15.75" hidden="false" customHeight="true" outlineLevel="0" collapsed="false">
      <c r="A40" s="68" t="n">
        <v>36</v>
      </c>
      <c r="B40" s="78"/>
      <c r="C40" s="80"/>
      <c r="D40" s="80"/>
      <c r="E40" s="80"/>
      <c r="F40" s="80"/>
      <c r="G40" s="88"/>
      <c r="H40" s="80"/>
      <c r="I40" s="80"/>
      <c r="J40" s="80"/>
      <c r="K40" s="80"/>
      <c r="L40" s="83" t="str">
        <f aca="false">IF(G40="","",IF(L39="",G40,L39+G40))</f>
        <v/>
      </c>
      <c r="M40" s="80"/>
    </row>
    <row r="41" customFormat="false" ht="15.75" hidden="false" customHeight="true" outlineLevel="0" collapsed="false">
      <c r="A41" s="66" t="n">
        <v>37</v>
      </c>
      <c r="B41" s="70"/>
      <c r="C41" s="72"/>
      <c r="D41" s="72"/>
      <c r="E41" s="72"/>
      <c r="F41" s="72"/>
      <c r="G41" s="87"/>
      <c r="H41" s="72"/>
      <c r="I41" s="72"/>
      <c r="J41" s="72"/>
      <c r="K41" s="72"/>
      <c r="L41" s="75" t="str">
        <f aca="false">IF(G41="","",IF(L40="",G41,L40+G41))</f>
        <v/>
      </c>
      <c r="M41" s="72"/>
    </row>
    <row r="42" customFormat="false" ht="15.75" hidden="false" customHeight="true" outlineLevel="0" collapsed="false">
      <c r="A42" s="68" t="n">
        <v>38</v>
      </c>
      <c r="B42" s="78"/>
      <c r="C42" s="80"/>
      <c r="D42" s="80"/>
      <c r="E42" s="80"/>
      <c r="F42" s="80"/>
      <c r="G42" s="88"/>
      <c r="H42" s="80"/>
      <c r="I42" s="80"/>
      <c r="J42" s="80"/>
      <c r="K42" s="80"/>
      <c r="L42" s="83" t="str">
        <f aca="false">IF(G42="","",IF(L41="",G42,L41+G42))</f>
        <v/>
      </c>
      <c r="M42" s="80"/>
    </row>
    <row r="43" customFormat="false" ht="15.75" hidden="false" customHeight="true" outlineLevel="0" collapsed="false">
      <c r="A43" s="66" t="n">
        <v>39</v>
      </c>
      <c r="B43" s="70"/>
      <c r="C43" s="72"/>
      <c r="D43" s="72"/>
      <c r="E43" s="72"/>
      <c r="F43" s="72"/>
      <c r="G43" s="87"/>
      <c r="H43" s="72"/>
      <c r="I43" s="72"/>
      <c r="J43" s="72"/>
      <c r="K43" s="72"/>
      <c r="L43" s="75" t="str">
        <f aca="false">IF(G43="","",IF(L42="",G43,L42+G43))</f>
        <v/>
      </c>
      <c r="M43" s="72"/>
    </row>
    <row r="44" customFormat="false" ht="15.75" hidden="false" customHeight="true" outlineLevel="0" collapsed="false">
      <c r="A44" s="68" t="n">
        <v>40</v>
      </c>
      <c r="B44" s="78"/>
      <c r="C44" s="80"/>
      <c r="D44" s="80"/>
      <c r="E44" s="80"/>
      <c r="F44" s="80"/>
      <c r="G44" s="88"/>
      <c r="H44" s="80"/>
      <c r="I44" s="80"/>
      <c r="J44" s="80"/>
      <c r="K44" s="80"/>
      <c r="L44" s="83" t="str">
        <f aca="false">IF(G44="","",IF(L43="",G44,L43+G44))</f>
        <v/>
      </c>
      <c r="M44" s="80"/>
    </row>
    <row r="45" customFormat="false" ht="15.75" hidden="false" customHeight="true" outlineLevel="0" collapsed="false">
      <c r="A45" s="66" t="n">
        <v>41</v>
      </c>
      <c r="B45" s="70"/>
      <c r="C45" s="72"/>
      <c r="D45" s="72"/>
      <c r="E45" s="72"/>
      <c r="F45" s="72"/>
      <c r="G45" s="87"/>
      <c r="H45" s="72"/>
      <c r="I45" s="72"/>
      <c r="J45" s="72"/>
      <c r="K45" s="72"/>
      <c r="L45" s="75" t="str">
        <f aca="false">IF(G45="","",IF(L44="",G45,L44+G45))</f>
        <v/>
      </c>
      <c r="M45" s="72"/>
    </row>
    <row r="46" customFormat="false" ht="15.75" hidden="false" customHeight="true" outlineLevel="0" collapsed="false">
      <c r="A46" s="68" t="n">
        <v>42</v>
      </c>
      <c r="B46" s="78"/>
      <c r="C46" s="80"/>
      <c r="D46" s="80"/>
      <c r="E46" s="80"/>
      <c r="F46" s="80"/>
      <c r="G46" s="88"/>
      <c r="H46" s="80"/>
      <c r="I46" s="80"/>
      <c r="J46" s="80"/>
      <c r="K46" s="80"/>
      <c r="L46" s="83" t="str">
        <f aca="false">IF(G46="","",IF(L45="",G46,L45+G46))</f>
        <v/>
      </c>
      <c r="M46" s="80"/>
    </row>
    <row r="47" customFormat="false" ht="15.75" hidden="false" customHeight="true" outlineLevel="0" collapsed="false">
      <c r="A47" s="66" t="n">
        <v>43</v>
      </c>
      <c r="B47" s="70"/>
      <c r="C47" s="72"/>
      <c r="D47" s="72"/>
      <c r="E47" s="72"/>
      <c r="F47" s="72"/>
      <c r="G47" s="87"/>
      <c r="H47" s="72"/>
      <c r="I47" s="72"/>
      <c r="J47" s="72"/>
      <c r="K47" s="72"/>
      <c r="L47" s="75" t="str">
        <f aca="false">IF(G47="","",IF(L46="",G47,L46+G47))</f>
        <v/>
      </c>
      <c r="M47" s="72"/>
    </row>
    <row r="48" customFormat="false" ht="15.75" hidden="false" customHeight="true" outlineLevel="0" collapsed="false">
      <c r="A48" s="68" t="n">
        <v>44</v>
      </c>
      <c r="B48" s="78"/>
      <c r="C48" s="80"/>
      <c r="D48" s="80"/>
      <c r="E48" s="80"/>
      <c r="F48" s="80"/>
      <c r="G48" s="88"/>
      <c r="H48" s="80"/>
      <c r="I48" s="80"/>
      <c r="J48" s="80"/>
      <c r="K48" s="80"/>
      <c r="L48" s="83" t="str">
        <f aca="false">IF(G48="","",IF(L47="",G48,L47+G48))</f>
        <v/>
      </c>
      <c r="M48" s="80"/>
    </row>
    <row r="49" customFormat="false" ht="15.75" hidden="false" customHeight="true" outlineLevel="0" collapsed="false">
      <c r="A49" s="66" t="n">
        <v>45</v>
      </c>
      <c r="B49" s="70"/>
      <c r="C49" s="72"/>
      <c r="D49" s="72"/>
      <c r="E49" s="72"/>
      <c r="F49" s="72"/>
      <c r="G49" s="87"/>
      <c r="H49" s="72"/>
      <c r="I49" s="72"/>
      <c r="J49" s="72"/>
      <c r="K49" s="72"/>
      <c r="L49" s="75" t="str">
        <f aca="false">IF(G49="","",IF(L48="",G49,L48+G49))</f>
        <v/>
      </c>
      <c r="M49" s="72"/>
    </row>
    <row r="50" customFormat="false" ht="15.75" hidden="false" customHeight="true" outlineLevel="0" collapsed="false">
      <c r="A50" s="68" t="n">
        <v>46</v>
      </c>
      <c r="B50" s="78"/>
      <c r="C50" s="80"/>
      <c r="D50" s="80"/>
      <c r="E50" s="80"/>
      <c r="F50" s="80"/>
      <c r="G50" s="88"/>
      <c r="H50" s="80"/>
      <c r="I50" s="80"/>
      <c r="J50" s="80"/>
      <c r="K50" s="80"/>
      <c r="L50" s="83" t="str">
        <f aca="false">IF(G50="","",IF(L49="",G50,L49+G50))</f>
        <v/>
      </c>
      <c r="M50" s="80"/>
    </row>
    <row r="51" customFormat="false" ht="15.75" hidden="false" customHeight="true" outlineLevel="0" collapsed="false">
      <c r="A51" s="66" t="n">
        <v>47</v>
      </c>
      <c r="B51" s="70"/>
      <c r="C51" s="72"/>
      <c r="D51" s="72"/>
      <c r="E51" s="72"/>
      <c r="F51" s="72"/>
      <c r="G51" s="87"/>
      <c r="H51" s="72"/>
      <c r="I51" s="72"/>
      <c r="J51" s="72"/>
      <c r="K51" s="72"/>
      <c r="L51" s="75" t="str">
        <f aca="false">IF(G51="","",IF(L50="",G51,L50+G51))</f>
        <v/>
      </c>
      <c r="M51" s="72"/>
    </row>
    <row r="52" customFormat="false" ht="15.75" hidden="false" customHeight="true" outlineLevel="0" collapsed="false">
      <c r="A52" s="68" t="n">
        <v>48</v>
      </c>
      <c r="B52" s="78"/>
      <c r="C52" s="80"/>
      <c r="D52" s="80"/>
      <c r="E52" s="80"/>
      <c r="F52" s="80"/>
      <c r="G52" s="88"/>
      <c r="H52" s="80"/>
      <c r="I52" s="80"/>
      <c r="J52" s="80"/>
      <c r="K52" s="80"/>
      <c r="L52" s="83" t="str">
        <f aca="false">IF(G52="","",IF(L51="",G52,L51+G52))</f>
        <v/>
      </c>
      <c r="M52" s="80"/>
    </row>
    <row r="53" customFormat="false" ht="15.75" hidden="false" customHeight="true" outlineLevel="0" collapsed="false">
      <c r="A53" s="66" t="n">
        <v>49</v>
      </c>
      <c r="B53" s="70"/>
      <c r="C53" s="72"/>
      <c r="D53" s="72"/>
      <c r="E53" s="72"/>
      <c r="F53" s="72"/>
      <c r="G53" s="87"/>
      <c r="H53" s="72"/>
      <c r="I53" s="72"/>
      <c r="J53" s="72"/>
      <c r="K53" s="72"/>
      <c r="L53" s="75" t="str">
        <f aca="false">IF(G53="","",IF(L52="",G53,L52+G53))</f>
        <v/>
      </c>
      <c r="M53" s="72"/>
    </row>
    <row r="54" customFormat="false" ht="15.75" hidden="false" customHeight="true" outlineLevel="0" collapsed="false">
      <c r="A54" s="68" t="n">
        <v>50</v>
      </c>
      <c r="B54" s="78"/>
      <c r="C54" s="80"/>
      <c r="D54" s="80"/>
      <c r="E54" s="80"/>
      <c r="F54" s="80"/>
      <c r="G54" s="88"/>
      <c r="H54" s="80"/>
      <c r="I54" s="80"/>
      <c r="J54" s="80"/>
      <c r="K54" s="80"/>
      <c r="L54" s="83" t="str">
        <f aca="false">IF(G54="","",IF(L53="",G54,L53+G54))</f>
        <v/>
      </c>
      <c r="M54" s="80"/>
    </row>
    <row r="55" customFormat="false" ht="15.75" hidden="false" customHeight="true" outlineLevel="0" collapsed="false">
      <c r="A55" s="66" t="n">
        <v>51</v>
      </c>
      <c r="B55" s="70"/>
      <c r="C55" s="72"/>
      <c r="D55" s="72"/>
      <c r="E55" s="72"/>
      <c r="F55" s="72"/>
      <c r="G55" s="87"/>
      <c r="H55" s="72"/>
      <c r="I55" s="72"/>
      <c r="J55" s="72"/>
      <c r="K55" s="72"/>
      <c r="L55" s="75" t="str">
        <f aca="false">IF(G55="","",IF(L54="",G55,L54+G55))</f>
        <v/>
      </c>
      <c r="M55" s="72"/>
    </row>
    <row r="56" customFormat="false" ht="15.75" hidden="false" customHeight="true" outlineLevel="0" collapsed="false">
      <c r="A56" s="68" t="n">
        <v>52</v>
      </c>
      <c r="B56" s="78"/>
      <c r="C56" s="80"/>
      <c r="D56" s="80"/>
      <c r="E56" s="80"/>
      <c r="F56" s="80"/>
      <c r="G56" s="88"/>
      <c r="H56" s="80"/>
      <c r="I56" s="80"/>
      <c r="J56" s="80"/>
      <c r="K56" s="80"/>
      <c r="L56" s="83" t="str">
        <f aca="false">IF(G56="","",IF(L55="",G56,L55+G56))</f>
        <v/>
      </c>
      <c r="M56" s="80"/>
    </row>
    <row r="57" customFormat="false" ht="15.75" hidden="false" customHeight="true" outlineLevel="0" collapsed="false">
      <c r="A57" s="66" t="n">
        <v>53</v>
      </c>
      <c r="B57" s="70"/>
      <c r="C57" s="72"/>
      <c r="D57" s="72"/>
      <c r="E57" s="72"/>
      <c r="F57" s="72"/>
      <c r="G57" s="87"/>
      <c r="H57" s="72"/>
      <c r="I57" s="72"/>
      <c r="J57" s="72"/>
      <c r="K57" s="72"/>
      <c r="L57" s="75" t="str">
        <f aca="false">IF(G57="","",IF(L56="",G57,L56+G57))</f>
        <v/>
      </c>
      <c r="M57" s="72"/>
    </row>
    <row r="58" customFormat="false" ht="15.75" hidden="false" customHeight="true" outlineLevel="0" collapsed="false">
      <c r="A58" s="68" t="n">
        <v>54</v>
      </c>
      <c r="B58" s="78"/>
      <c r="C58" s="80"/>
      <c r="D58" s="80"/>
      <c r="E58" s="80"/>
      <c r="F58" s="80"/>
      <c r="G58" s="88"/>
      <c r="H58" s="80"/>
      <c r="I58" s="80"/>
      <c r="J58" s="80"/>
      <c r="K58" s="80"/>
      <c r="L58" s="83" t="str">
        <f aca="false">IF(G58="","",IF(L57="",G58,L57+G58))</f>
        <v/>
      </c>
      <c r="M58" s="80"/>
    </row>
    <row r="59" customFormat="false" ht="15.75" hidden="false" customHeight="true" outlineLevel="0" collapsed="false">
      <c r="A59" s="66" t="n">
        <v>55</v>
      </c>
      <c r="B59" s="70"/>
      <c r="C59" s="72"/>
      <c r="D59" s="72"/>
      <c r="E59" s="72"/>
      <c r="F59" s="72"/>
      <c r="G59" s="87"/>
      <c r="H59" s="72"/>
      <c r="I59" s="72"/>
      <c r="J59" s="72"/>
      <c r="K59" s="72"/>
      <c r="L59" s="75" t="str">
        <f aca="false">IF(G59="","",IF(L58="",G59,L58+G59))</f>
        <v/>
      </c>
      <c r="M59" s="72"/>
    </row>
    <row r="60" customFormat="false" ht="15.75" hidden="false" customHeight="true" outlineLevel="0" collapsed="false">
      <c r="A60" s="68" t="n">
        <v>56</v>
      </c>
      <c r="B60" s="78"/>
      <c r="C60" s="80"/>
      <c r="D60" s="80"/>
      <c r="E60" s="80"/>
      <c r="F60" s="80"/>
      <c r="G60" s="88"/>
      <c r="H60" s="80"/>
      <c r="I60" s="80"/>
      <c r="J60" s="80"/>
      <c r="K60" s="80"/>
      <c r="L60" s="83" t="str">
        <f aca="false">IF(G60="","",IF(L59="",G60,L59+G60))</f>
        <v/>
      </c>
      <c r="M60" s="80"/>
    </row>
    <row r="61" customFormat="false" ht="15.75" hidden="false" customHeight="true" outlineLevel="0" collapsed="false">
      <c r="A61" s="66" t="n">
        <v>57</v>
      </c>
      <c r="B61" s="70"/>
      <c r="C61" s="72"/>
      <c r="D61" s="72"/>
      <c r="E61" s="72"/>
      <c r="F61" s="72"/>
      <c r="G61" s="87"/>
      <c r="H61" s="72"/>
      <c r="I61" s="72"/>
      <c r="J61" s="72"/>
      <c r="K61" s="72"/>
      <c r="L61" s="75" t="str">
        <f aca="false">IF(G61="","",IF(L60="",G61,L60+G61))</f>
        <v/>
      </c>
      <c r="M61" s="72"/>
    </row>
    <row r="62" customFormat="false" ht="15.75" hidden="false" customHeight="true" outlineLevel="0" collapsed="false">
      <c r="A62" s="68" t="n">
        <v>58</v>
      </c>
      <c r="B62" s="78"/>
      <c r="C62" s="80"/>
      <c r="D62" s="80"/>
      <c r="E62" s="80"/>
      <c r="F62" s="80"/>
      <c r="G62" s="88"/>
      <c r="H62" s="80"/>
      <c r="I62" s="80"/>
      <c r="J62" s="80"/>
      <c r="K62" s="80"/>
      <c r="L62" s="83" t="str">
        <f aca="false">IF(G62="","",IF(L61="",G62,L61+G62))</f>
        <v/>
      </c>
      <c r="M62" s="80"/>
    </row>
    <row r="63" customFormat="false" ht="15.75" hidden="false" customHeight="true" outlineLevel="0" collapsed="false">
      <c r="A63" s="66" t="n">
        <v>59</v>
      </c>
      <c r="B63" s="70"/>
      <c r="C63" s="72"/>
      <c r="D63" s="72"/>
      <c r="E63" s="72"/>
      <c r="F63" s="72"/>
      <c r="G63" s="87"/>
      <c r="H63" s="72"/>
      <c r="I63" s="72"/>
      <c r="J63" s="72"/>
      <c r="K63" s="72"/>
      <c r="L63" s="75" t="str">
        <f aca="false">IF(G63="","",IF(L62="",G63,L62+G63))</f>
        <v/>
      </c>
      <c r="M63" s="72"/>
    </row>
    <row r="64" customFormat="false" ht="15.75" hidden="false" customHeight="true" outlineLevel="0" collapsed="false">
      <c r="A64" s="68" t="n">
        <v>60</v>
      </c>
      <c r="B64" s="78"/>
      <c r="C64" s="80"/>
      <c r="D64" s="80"/>
      <c r="E64" s="80"/>
      <c r="F64" s="80"/>
      <c r="G64" s="88"/>
      <c r="H64" s="80"/>
      <c r="I64" s="80"/>
      <c r="J64" s="80"/>
      <c r="K64" s="80"/>
      <c r="L64" s="83" t="str">
        <f aca="false">IF(G64="","",IF(L63="",G64,L63+G64))</f>
        <v/>
      </c>
      <c r="M64" s="80"/>
    </row>
    <row r="65" customFormat="false" ht="15.75" hidden="false" customHeight="true" outlineLevel="0" collapsed="false">
      <c r="A65" s="66" t="n">
        <v>61</v>
      </c>
      <c r="B65" s="70"/>
      <c r="C65" s="72"/>
      <c r="D65" s="72"/>
      <c r="E65" s="72"/>
      <c r="F65" s="72"/>
      <c r="G65" s="87"/>
      <c r="H65" s="72"/>
      <c r="I65" s="72"/>
      <c r="J65" s="72"/>
      <c r="K65" s="72"/>
      <c r="L65" s="75" t="str">
        <f aca="false">IF(G65="","",IF(L64="",G65,L64+G65))</f>
        <v/>
      </c>
      <c r="M65" s="72"/>
    </row>
    <row r="66" customFormat="false" ht="15.75" hidden="false" customHeight="true" outlineLevel="0" collapsed="false">
      <c r="A66" s="68" t="n">
        <v>62</v>
      </c>
      <c r="B66" s="78"/>
      <c r="C66" s="80"/>
      <c r="D66" s="80"/>
      <c r="E66" s="80"/>
      <c r="F66" s="80"/>
      <c r="G66" s="88"/>
      <c r="H66" s="80"/>
      <c r="I66" s="80"/>
      <c r="J66" s="80"/>
      <c r="K66" s="80"/>
      <c r="L66" s="83" t="str">
        <f aca="false">IF(G66="","",IF(L65="",G66,L65+G66))</f>
        <v/>
      </c>
      <c r="M66" s="80"/>
    </row>
    <row r="67" customFormat="false" ht="15.75" hidden="false" customHeight="true" outlineLevel="0" collapsed="false">
      <c r="A67" s="66" t="n">
        <v>63</v>
      </c>
      <c r="B67" s="70"/>
      <c r="C67" s="72"/>
      <c r="D67" s="72"/>
      <c r="E67" s="72"/>
      <c r="F67" s="72"/>
      <c r="G67" s="87"/>
      <c r="H67" s="72"/>
      <c r="I67" s="72"/>
      <c r="J67" s="72"/>
      <c r="K67" s="72"/>
      <c r="L67" s="75" t="str">
        <f aca="false">IF(G67="","",IF(L66="",G67,L66+G67))</f>
        <v/>
      </c>
      <c r="M67" s="72"/>
    </row>
    <row r="68" customFormat="false" ht="15.75" hidden="false" customHeight="true" outlineLevel="0" collapsed="false">
      <c r="A68" s="68" t="n">
        <v>64</v>
      </c>
      <c r="B68" s="78"/>
      <c r="C68" s="80"/>
      <c r="D68" s="80"/>
      <c r="E68" s="80"/>
      <c r="F68" s="80"/>
      <c r="G68" s="88"/>
      <c r="H68" s="80"/>
      <c r="I68" s="80"/>
      <c r="J68" s="80"/>
      <c r="K68" s="80"/>
      <c r="L68" s="83" t="str">
        <f aca="false">IF(G68="","",IF(L67="",G68,L67+G68))</f>
        <v/>
      </c>
      <c r="M68" s="80"/>
    </row>
    <row r="69" customFormat="false" ht="15.75" hidden="false" customHeight="true" outlineLevel="0" collapsed="false">
      <c r="A69" s="66" t="n">
        <v>65</v>
      </c>
      <c r="B69" s="70"/>
      <c r="C69" s="72"/>
      <c r="D69" s="72"/>
      <c r="E69" s="72"/>
      <c r="F69" s="72"/>
      <c r="G69" s="87"/>
      <c r="H69" s="72"/>
      <c r="I69" s="72"/>
      <c r="J69" s="72"/>
      <c r="K69" s="72"/>
      <c r="L69" s="75" t="str">
        <f aca="false">IF(G69="","",IF(L68="",G69,L68+G69))</f>
        <v/>
      </c>
      <c r="M69" s="72"/>
    </row>
    <row r="70" customFormat="false" ht="15.75" hidden="false" customHeight="true" outlineLevel="0" collapsed="false">
      <c r="A70" s="68" t="n">
        <v>66</v>
      </c>
      <c r="B70" s="78"/>
      <c r="C70" s="80"/>
      <c r="D70" s="80"/>
      <c r="E70" s="80"/>
      <c r="F70" s="80"/>
      <c r="G70" s="88"/>
      <c r="H70" s="80"/>
      <c r="I70" s="80"/>
      <c r="J70" s="80"/>
      <c r="K70" s="80"/>
      <c r="L70" s="83" t="str">
        <f aca="false">IF(G70="","",IF(L69="",G70,L69+G70))</f>
        <v/>
      </c>
      <c r="M70" s="80"/>
    </row>
    <row r="71" customFormat="false" ht="15.75" hidden="false" customHeight="true" outlineLevel="0" collapsed="false">
      <c r="A71" s="66" t="n">
        <v>67</v>
      </c>
      <c r="B71" s="70"/>
      <c r="C71" s="72"/>
      <c r="D71" s="72"/>
      <c r="E71" s="72"/>
      <c r="F71" s="72"/>
      <c r="G71" s="87"/>
      <c r="H71" s="72"/>
      <c r="I71" s="72"/>
      <c r="J71" s="72"/>
      <c r="K71" s="72"/>
      <c r="L71" s="75" t="str">
        <f aca="false">IF(G71="","",IF(L70="",G71,L70+G71))</f>
        <v/>
      </c>
      <c r="M71" s="72"/>
    </row>
    <row r="72" customFormat="false" ht="15.75" hidden="false" customHeight="true" outlineLevel="0" collapsed="false">
      <c r="A72" s="68" t="n">
        <v>68</v>
      </c>
      <c r="B72" s="78"/>
      <c r="C72" s="80"/>
      <c r="D72" s="80"/>
      <c r="E72" s="80"/>
      <c r="F72" s="80"/>
      <c r="G72" s="88"/>
      <c r="H72" s="80"/>
      <c r="I72" s="80"/>
      <c r="J72" s="80"/>
      <c r="K72" s="80"/>
      <c r="L72" s="83" t="str">
        <f aca="false">IF(G72="","",IF(L71="",G72,L71+G72))</f>
        <v/>
      </c>
      <c r="M72" s="80"/>
    </row>
    <row r="73" customFormat="false" ht="15.75" hidden="false" customHeight="true" outlineLevel="0" collapsed="false">
      <c r="A73" s="66" t="n">
        <v>69</v>
      </c>
      <c r="B73" s="70"/>
      <c r="C73" s="72"/>
      <c r="D73" s="72"/>
      <c r="E73" s="72"/>
      <c r="F73" s="72"/>
      <c r="G73" s="87"/>
      <c r="H73" s="72"/>
      <c r="I73" s="72"/>
      <c r="J73" s="72"/>
      <c r="K73" s="72"/>
      <c r="L73" s="75" t="str">
        <f aca="false">IF(G73="","",IF(L72="",G73,L72+G73))</f>
        <v/>
      </c>
      <c r="M73" s="72"/>
    </row>
    <row r="74" customFormat="false" ht="15.75" hidden="false" customHeight="true" outlineLevel="0" collapsed="false">
      <c r="A74" s="68" t="n">
        <v>70</v>
      </c>
      <c r="B74" s="78"/>
      <c r="C74" s="80"/>
      <c r="D74" s="80"/>
      <c r="E74" s="80"/>
      <c r="F74" s="80"/>
      <c r="G74" s="88"/>
      <c r="H74" s="80"/>
      <c r="I74" s="80"/>
      <c r="J74" s="80"/>
      <c r="K74" s="80"/>
      <c r="L74" s="83" t="str">
        <f aca="false">IF(G74="","",IF(L73="",G74,L73+G74))</f>
        <v/>
      </c>
      <c r="M74" s="80"/>
    </row>
    <row r="75" customFormat="false" ht="15.75" hidden="false" customHeight="true" outlineLevel="0" collapsed="false">
      <c r="A75" s="66" t="n">
        <v>71</v>
      </c>
      <c r="B75" s="70"/>
      <c r="C75" s="72"/>
      <c r="D75" s="72"/>
      <c r="E75" s="72"/>
      <c r="F75" s="72"/>
      <c r="G75" s="87"/>
      <c r="H75" s="72"/>
      <c r="I75" s="72"/>
      <c r="J75" s="72"/>
      <c r="K75" s="72"/>
      <c r="L75" s="75" t="str">
        <f aca="false">IF(G75="","",IF(L74="",G75,L74+G75))</f>
        <v/>
      </c>
      <c r="M75" s="72"/>
    </row>
    <row r="76" customFormat="false" ht="15.75" hidden="false" customHeight="true" outlineLevel="0" collapsed="false">
      <c r="A76" s="68" t="n">
        <v>72</v>
      </c>
      <c r="B76" s="78"/>
      <c r="C76" s="80"/>
      <c r="D76" s="80"/>
      <c r="E76" s="80"/>
      <c r="F76" s="80"/>
      <c r="G76" s="88"/>
      <c r="H76" s="80"/>
      <c r="I76" s="80"/>
      <c r="J76" s="80"/>
      <c r="K76" s="80"/>
      <c r="L76" s="83" t="str">
        <f aca="false">IF(G76="","",IF(L75="",G76,L75+G76))</f>
        <v/>
      </c>
      <c r="M76" s="80"/>
    </row>
    <row r="77" customFormat="false" ht="15.75" hidden="false" customHeight="true" outlineLevel="0" collapsed="false">
      <c r="A77" s="66" t="n">
        <v>73</v>
      </c>
      <c r="B77" s="70"/>
      <c r="C77" s="72"/>
      <c r="D77" s="72"/>
      <c r="E77" s="72"/>
      <c r="F77" s="72"/>
      <c r="G77" s="87"/>
      <c r="H77" s="72"/>
      <c r="I77" s="72"/>
      <c r="J77" s="72"/>
      <c r="K77" s="72"/>
      <c r="L77" s="75" t="str">
        <f aca="false">IF(G77="","",IF(L76="",G77,L76+G77))</f>
        <v/>
      </c>
      <c r="M77" s="72"/>
    </row>
    <row r="78" customFormat="false" ht="15.75" hidden="false" customHeight="true" outlineLevel="0" collapsed="false">
      <c r="A78" s="68" t="n">
        <v>74</v>
      </c>
      <c r="B78" s="78"/>
      <c r="C78" s="80"/>
      <c r="D78" s="80"/>
      <c r="E78" s="80"/>
      <c r="F78" s="80"/>
      <c r="G78" s="88"/>
      <c r="H78" s="80"/>
      <c r="I78" s="80"/>
      <c r="J78" s="80"/>
      <c r="K78" s="80"/>
      <c r="L78" s="83" t="str">
        <f aca="false">IF(G78="","",IF(L77="",G78,L77+G78))</f>
        <v/>
      </c>
      <c r="M78" s="80"/>
    </row>
    <row r="79" customFormat="false" ht="15.75" hidden="false" customHeight="true" outlineLevel="0" collapsed="false">
      <c r="A79" s="66" t="n">
        <v>75</v>
      </c>
      <c r="B79" s="70"/>
      <c r="C79" s="72"/>
      <c r="D79" s="72"/>
      <c r="E79" s="72"/>
      <c r="F79" s="72"/>
      <c r="G79" s="87"/>
      <c r="H79" s="72"/>
      <c r="I79" s="72"/>
      <c r="J79" s="72"/>
      <c r="K79" s="72"/>
      <c r="L79" s="75" t="str">
        <f aca="false">IF(G79="","",IF(L78="",G79,L78+G79))</f>
        <v/>
      </c>
      <c r="M79" s="72"/>
    </row>
    <row r="80" customFormat="false" ht="15.75" hidden="false" customHeight="true" outlineLevel="0" collapsed="false">
      <c r="A80" s="68" t="n">
        <v>76</v>
      </c>
      <c r="B80" s="78"/>
      <c r="C80" s="80"/>
      <c r="D80" s="80"/>
      <c r="E80" s="80"/>
      <c r="F80" s="80"/>
      <c r="G80" s="88"/>
      <c r="H80" s="80"/>
      <c r="I80" s="80"/>
      <c r="J80" s="80"/>
      <c r="K80" s="80"/>
      <c r="L80" s="83" t="str">
        <f aca="false">IF(G80="","",IF(L79="",G80,L79+G80))</f>
        <v/>
      </c>
      <c r="M80" s="80"/>
    </row>
    <row r="81" customFormat="false" ht="15.75" hidden="false" customHeight="true" outlineLevel="0" collapsed="false">
      <c r="A81" s="66" t="n">
        <v>77</v>
      </c>
      <c r="B81" s="70"/>
      <c r="C81" s="72"/>
      <c r="D81" s="72"/>
      <c r="E81" s="72"/>
      <c r="F81" s="72"/>
      <c r="G81" s="87"/>
      <c r="H81" s="72"/>
      <c r="I81" s="72"/>
      <c r="J81" s="72"/>
      <c r="K81" s="72"/>
      <c r="L81" s="75" t="str">
        <f aca="false">IF(G81="","",IF(L80="",G81,L80+G81))</f>
        <v/>
      </c>
      <c r="M81" s="72"/>
    </row>
    <row r="82" customFormat="false" ht="15.75" hidden="false" customHeight="true" outlineLevel="0" collapsed="false">
      <c r="A82" s="68" t="n">
        <v>78</v>
      </c>
      <c r="B82" s="78"/>
      <c r="C82" s="80"/>
      <c r="D82" s="80"/>
      <c r="E82" s="80"/>
      <c r="F82" s="80"/>
      <c r="G82" s="88"/>
      <c r="H82" s="80"/>
      <c r="I82" s="80"/>
      <c r="J82" s="80"/>
      <c r="K82" s="80"/>
      <c r="L82" s="83" t="str">
        <f aca="false">IF(G82="","",IF(L81="",G82,L81+G82))</f>
        <v/>
      </c>
      <c r="M82" s="80"/>
    </row>
    <row r="83" customFormat="false" ht="15.75" hidden="false" customHeight="true" outlineLevel="0" collapsed="false">
      <c r="A83" s="66" t="n">
        <v>79</v>
      </c>
      <c r="B83" s="70"/>
      <c r="C83" s="72"/>
      <c r="D83" s="72"/>
      <c r="E83" s="72"/>
      <c r="F83" s="72"/>
      <c r="G83" s="87"/>
      <c r="H83" s="72"/>
      <c r="I83" s="72"/>
      <c r="J83" s="72"/>
      <c r="K83" s="72"/>
      <c r="L83" s="75" t="str">
        <f aca="false">IF(G83="","",IF(L82="",G83,L82+G83))</f>
        <v/>
      </c>
      <c r="M83" s="72"/>
    </row>
    <row r="84" customFormat="false" ht="15.75" hidden="false" customHeight="true" outlineLevel="0" collapsed="false">
      <c r="A84" s="68" t="n">
        <v>80</v>
      </c>
      <c r="B84" s="78"/>
      <c r="C84" s="80"/>
      <c r="D84" s="80"/>
      <c r="E84" s="80"/>
      <c r="F84" s="80"/>
      <c r="G84" s="88"/>
      <c r="H84" s="80"/>
      <c r="I84" s="80"/>
      <c r="J84" s="80"/>
      <c r="K84" s="80"/>
      <c r="L84" s="83" t="str">
        <f aca="false">IF(G84="","",IF(L83="",G84,L83+G84))</f>
        <v/>
      </c>
      <c r="M84" s="80"/>
    </row>
    <row r="85" customFormat="false" ht="15.75" hidden="false" customHeight="true" outlineLevel="0" collapsed="false">
      <c r="A85" s="66" t="n">
        <v>81</v>
      </c>
      <c r="B85" s="70"/>
      <c r="C85" s="72"/>
      <c r="D85" s="72"/>
      <c r="E85" s="72"/>
      <c r="F85" s="72"/>
      <c r="G85" s="87"/>
      <c r="H85" s="72"/>
      <c r="I85" s="72"/>
      <c r="J85" s="72"/>
      <c r="K85" s="72"/>
      <c r="L85" s="75" t="str">
        <f aca="false">IF(G85="","",IF(L84="",G85,L84+G85))</f>
        <v/>
      </c>
      <c r="M85" s="72"/>
    </row>
    <row r="86" customFormat="false" ht="15.75" hidden="false" customHeight="true" outlineLevel="0" collapsed="false">
      <c r="A86" s="68" t="n">
        <v>82</v>
      </c>
      <c r="B86" s="78"/>
      <c r="C86" s="80"/>
      <c r="D86" s="80"/>
      <c r="E86" s="80"/>
      <c r="F86" s="80"/>
      <c r="G86" s="88"/>
      <c r="H86" s="80"/>
      <c r="I86" s="80"/>
      <c r="J86" s="80"/>
      <c r="K86" s="80"/>
      <c r="L86" s="83" t="str">
        <f aca="false">IF(G86="","",IF(L85="",G86,L85+G86))</f>
        <v/>
      </c>
      <c r="M86" s="80"/>
    </row>
    <row r="87" customFormat="false" ht="15.75" hidden="false" customHeight="true" outlineLevel="0" collapsed="false">
      <c r="A87" s="66" t="n">
        <v>83</v>
      </c>
      <c r="B87" s="70"/>
      <c r="C87" s="72"/>
      <c r="D87" s="72"/>
      <c r="E87" s="72"/>
      <c r="F87" s="72"/>
      <c r="G87" s="87"/>
      <c r="H87" s="72"/>
      <c r="I87" s="72"/>
      <c r="J87" s="72"/>
      <c r="K87" s="72"/>
      <c r="L87" s="75" t="str">
        <f aca="false">IF(G87="","",IF(L86="",G87,L86+G87))</f>
        <v/>
      </c>
      <c r="M87" s="72"/>
    </row>
    <row r="88" customFormat="false" ht="15.75" hidden="false" customHeight="true" outlineLevel="0" collapsed="false">
      <c r="A88" s="68" t="n">
        <v>84</v>
      </c>
      <c r="B88" s="78"/>
      <c r="C88" s="80"/>
      <c r="D88" s="80"/>
      <c r="E88" s="80"/>
      <c r="F88" s="80"/>
      <c r="G88" s="88"/>
      <c r="H88" s="80"/>
      <c r="I88" s="80"/>
      <c r="J88" s="80"/>
      <c r="K88" s="80"/>
      <c r="L88" s="83" t="str">
        <f aca="false">IF(G88="","",IF(L87="",G88,L87+G88))</f>
        <v/>
      </c>
      <c r="M88" s="80"/>
    </row>
    <row r="89" customFormat="false" ht="15.75" hidden="false" customHeight="true" outlineLevel="0" collapsed="false">
      <c r="A89" s="66" t="n">
        <v>85</v>
      </c>
      <c r="B89" s="70"/>
      <c r="C89" s="72"/>
      <c r="D89" s="72"/>
      <c r="E89" s="72"/>
      <c r="F89" s="72"/>
      <c r="G89" s="87"/>
      <c r="H89" s="72"/>
      <c r="I89" s="72"/>
      <c r="J89" s="72"/>
      <c r="K89" s="72"/>
      <c r="L89" s="75" t="str">
        <f aca="false">IF(G89="","",IF(L88="",G89,L88+G89))</f>
        <v/>
      </c>
      <c r="M89" s="72"/>
    </row>
    <row r="90" customFormat="false" ht="15.75" hidden="false" customHeight="true" outlineLevel="0" collapsed="false">
      <c r="A90" s="68" t="n">
        <v>86</v>
      </c>
      <c r="B90" s="78"/>
      <c r="C90" s="80"/>
      <c r="D90" s="80"/>
      <c r="E90" s="80"/>
      <c r="F90" s="80"/>
      <c r="G90" s="88"/>
      <c r="H90" s="80"/>
      <c r="I90" s="80"/>
      <c r="J90" s="80"/>
      <c r="K90" s="80"/>
      <c r="L90" s="83" t="str">
        <f aca="false">IF(G90="","",IF(L89="",G90,L89+G90))</f>
        <v/>
      </c>
      <c r="M90" s="80"/>
    </row>
    <row r="91" customFormat="false" ht="15.75" hidden="false" customHeight="true" outlineLevel="0" collapsed="false">
      <c r="A91" s="66" t="n">
        <v>87</v>
      </c>
      <c r="B91" s="70"/>
      <c r="C91" s="72"/>
      <c r="D91" s="72"/>
      <c r="E91" s="72"/>
      <c r="F91" s="72"/>
      <c r="G91" s="87"/>
      <c r="H91" s="72"/>
      <c r="I91" s="72"/>
      <c r="J91" s="72"/>
      <c r="K91" s="72"/>
      <c r="L91" s="75" t="str">
        <f aca="false">IF(G91="","",IF(L90="",G91,L90+G91))</f>
        <v/>
      </c>
      <c r="M91" s="72"/>
    </row>
    <row r="92" customFormat="false" ht="15.75" hidden="false" customHeight="true" outlineLevel="0" collapsed="false">
      <c r="A92" s="68" t="n">
        <v>88</v>
      </c>
      <c r="B92" s="78"/>
      <c r="C92" s="80"/>
      <c r="D92" s="80"/>
      <c r="E92" s="80"/>
      <c r="F92" s="80"/>
      <c r="G92" s="88"/>
      <c r="H92" s="80"/>
      <c r="I92" s="80"/>
      <c r="J92" s="80"/>
      <c r="K92" s="80"/>
      <c r="L92" s="83" t="str">
        <f aca="false">IF(G92="","",IF(L91="",G92,L91+G92))</f>
        <v/>
      </c>
      <c r="M92" s="80"/>
    </row>
    <row r="93" customFormat="false" ht="15.75" hidden="false" customHeight="true" outlineLevel="0" collapsed="false">
      <c r="A93" s="66" t="n">
        <v>89</v>
      </c>
      <c r="B93" s="70"/>
      <c r="C93" s="72"/>
      <c r="D93" s="72"/>
      <c r="E93" s="72"/>
      <c r="F93" s="72"/>
      <c r="G93" s="87"/>
      <c r="H93" s="72"/>
      <c r="I93" s="72"/>
      <c r="J93" s="72"/>
      <c r="K93" s="72"/>
      <c r="L93" s="75" t="str">
        <f aca="false">IF(G93="","",IF(L92="",G93,L92+G93))</f>
        <v/>
      </c>
      <c r="M93" s="72"/>
    </row>
    <row r="94" customFormat="false" ht="15.75" hidden="false" customHeight="true" outlineLevel="0" collapsed="false">
      <c r="A94" s="68" t="n">
        <v>90</v>
      </c>
      <c r="B94" s="78"/>
      <c r="C94" s="80"/>
      <c r="D94" s="80"/>
      <c r="E94" s="80"/>
      <c r="F94" s="80"/>
      <c r="G94" s="88"/>
      <c r="H94" s="80"/>
      <c r="I94" s="80"/>
      <c r="J94" s="80"/>
      <c r="K94" s="80"/>
      <c r="L94" s="83" t="str">
        <f aca="false">IF(G94="","",IF(L93="",G94,L93+G94))</f>
        <v/>
      </c>
      <c r="M94" s="80"/>
    </row>
    <row r="95" customFormat="false" ht="15.75" hidden="false" customHeight="true" outlineLevel="0" collapsed="false">
      <c r="A95" s="66" t="n">
        <v>91</v>
      </c>
      <c r="B95" s="70"/>
      <c r="C95" s="72"/>
      <c r="D95" s="72"/>
      <c r="E95" s="72"/>
      <c r="F95" s="72"/>
      <c r="G95" s="87"/>
      <c r="H95" s="72"/>
      <c r="I95" s="72"/>
      <c r="J95" s="72"/>
      <c r="K95" s="72"/>
      <c r="L95" s="75" t="str">
        <f aca="false">IF(G95="","",IF(L94="",G95,L94+G95))</f>
        <v/>
      </c>
      <c r="M95" s="72"/>
    </row>
    <row r="96" customFormat="false" ht="15.75" hidden="false" customHeight="true" outlineLevel="0" collapsed="false">
      <c r="A96" s="68" t="n">
        <v>92</v>
      </c>
      <c r="B96" s="78"/>
      <c r="C96" s="80"/>
      <c r="D96" s="80"/>
      <c r="E96" s="80"/>
      <c r="F96" s="80"/>
      <c r="G96" s="88"/>
      <c r="H96" s="80"/>
      <c r="I96" s="80"/>
      <c r="J96" s="80"/>
      <c r="K96" s="80"/>
      <c r="L96" s="83" t="str">
        <f aca="false">IF(G96="","",IF(L95="",G96,L95+G96))</f>
        <v/>
      </c>
      <c r="M96" s="80"/>
    </row>
    <row r="97" customFormat="false" ht="15.75" hidden="false" customHeight="true" outlineLevel="0" collapsed="false">
      <c r="A97" s="66" t="n">
        <v>93</v>
      </c>
      <c r="B97" s="70"/>
      <c r="C97" s="72"/>
      <c r="D97" s="72"/>
      <c r="E97" s="72"/>
      <c r="F97" s="72"/>
      <c r="G97" s="87"/>
      <c r="H97" s="72"/>
      <c r="I97" s="72"/>
      <c r="J97" s="72"/>
      <c r="K97" s="72"/>
      <c r="L97" s="75" t="str">
        <f aca="false">IF(G97="","",IF(L96="",G97,L96+G97))</f>
        <v/>
      </c>
      <c r="M97" s="72"/>
    </row>
    <row r="98" customFormat="false" ht="15.75" hidden="false" customHeight="true" outlineLevel="0" collapsed="false">
      <c r="A98" s="68" t="n">
        <v>94</v>
      </c>
      <c r="B98" s="78"/>
      <c r="C98" s="80"/>
      <c r="D98" s="80"/>
      <c r="E98" s="80"/>
      <c r="F98" s="80"/>
      <c r="G98" s="88"/>
      <c r="H98" s="80"/>
      <c r="I98" s="80"/>
      <c r="J98" s="80"/>
      <c r="K98" s="80"/>
      <c r="L98" s="83" t="str">
        <f aca="false">IF(G98="","",IF(L97="",G98,L97+G98))</f>
        <v/>
      </c>
      <c r="M98" s="80"/>
    </row>
    <row r="99" customFormat="false" ht="15.75" hidden="false" customHeight="true" outlineLevel="0" collapsed="false">
      <c r="A99" s="66" t="n">
        <v>95</v>
      </c>
      <c r="B99" s="70"/>
      <c r="C99" s="72"/>
      <c r="D99" s="72"/>
      <c r="E99" s="72"/>
      <c r="F99" s="72"/>
      <c r="G99" s="87"/>
      <c r="H99" s="72"/>
      <c r="I99" s="72"/>
      <c r="J99" s="72"/>
      <c r="K99" s="72"/>
      <c r="L99" s="75" t="str">
        <f aca="false">IF(G99="","",IF(L98="",G99,L98+G99))</f>
        <v/>
      </c>
      <c r="M99" s="72"/>
    </row>
    <row r="100" customFormat="false" ht="15.75" hidden="false" customHeight="true" outlineLevel="0" collapsed="false">
      <c r="A100" s="68" t="n">
        <v>96</v>
      </c>
      <c r="B100" s="78"/>
      <c r="C100" s="80"/>
      <c r="D100" s="80"/>
      <c r="E100" s="80"/>
      <c r="F100" s="80"/>
      <c r="G100" s="88"/>
      <c r="H100" s="80"/>
      <c r="I100" s="80"/>
      <c r="J100" s="80"/>
      <c r="K100" s="80"/>
      <c r="L100" s="83" t="str">
        <f aca="false">IF(G100="","",IF(L99="",G100,L99+G100))</f>
        <v/>
      </c>
      <c r="M100" s="80"/>
    </row>
    <row r="101" customFormat="false" ht="15.75" hidden="false" customHeight="true" outlineLevel="0" collapsed="false">
      <c r="A101" s="66" t="n">
        <v>97</v>
      </c>
      <c r="B101" s="70"/>
      <c r="C101" s="72"/>
      <c r="D101" s="72"/>
      <c r="E101" s="72"/>
      <c r="F101" s="72"/>
      <c r="G101" s="87"/>
      <c r="H101" s="72"/>
      <c r="I101" s="72"/>
      <c r="J101" s="72"/>
      <c r="K101" s="72"/>
      <c r="L101" s="75" t="str">
        <f aca="false">IF(G101="","",IF(L100="",G101,L100+G101))</f>
        <v/>
      </c>
      <c r="M101" s="72"/>
    </row>
    <row r="102" customFormat="false" ht="15.75" hidden="false" customHeight="true" outlineLevel="0" collapsed="false">
      <c r="A102" s="68" t="n">
        <v>98</v>
      </c>
      <c r="B102" s="78"/>
      <c r="C102" s="80"/>
      <c r="D102" s="80"/>
      <c r="E102" s="80"/>
      <c r="F102" s="80"/>
      <c r="G102" s="88"/>
      <c r="H102" s="80"/>
      <c r="I102" s="80"/>
      <c r="J102" s="80"/>
      <c r="K102" s="80"/>
      <c r="L102" s="83" t="str">
        <f aca="false">IF(G102="","",IF(L101="",G102,L101+G102))</f>
        <v/>
      </c>
      <c r="M102" s="80"/>
    </row>
    <row r="103" customFormat="false" ht="15.75" hidden="false" customHeight="true" outlineLevel="0" collapsed="false">
      <c r="A103" s="66" t="n">
        <v>99</v>
      </c>
      <c r="B103" s="70"/>
      <c r="C103" s="72"/>
      <c r="D103" s="72"/>
      <c r="E103" s="72"/>
      <c r="F103" s="72"/>
      <c r="G103" s="87"/>
      <c r="H103" s="72"/>
      <c r="I103" s="72"/>
      <c r="J103" s="72"/>
      <c r="K103" s="72"/>
      <c r="L103" s="75" t="str">
        <f aca="false">IF(G103="","",IF(L102="",G103,L102+G103))</f>
        <v/>
      </c>
      <c r="M103" s="72"/>
    </row>
    <row r="104" customFormat="false" ht="15.75" hidden="false" customHeight="true" outlineLevel="0" collapsed="false">
      <c r="A104" s="68" t="n">
        <v>100</v>
      </c>
      <c r="B104" s="78"/>
      <c r="C104" s="80"/>
      <c r="D104" s="80"/>
      <c r="E104" s="80"/>
      <c r="F104" s="80"/>
      <c r="G104" s="88"/>
      <c r="H104" s="80"/>
      <c r="I104" s="80"/>
      <c r="J104" s="80"/>
      <c r="K104" s="80"/>
      <c r="L104" s="83" t="str">
        <f aca="false">IF(G104="","",IF(L103="",G104,L103+G104))</f>
        <v/>
      </c>
      <c r="M104" s="80"/>
    </row>
    <row r="105" customFormat="false" ht="15.75" hidden="false" customHeight="true" outlineLevel="0" collapsed="false">
      <c r="A105" s="66" t="n">
        <v>101</v>
      </c>
      <c r="B105" s="70"/>
      <c r="C105" s="72"/>
      <c r="D105" s="72"/>
      <c r="E105" s="72"/>
      <c r="F105" s="72"/>
      <c r="G105" s="87"/>
      <c r="H105" s="72"/>
      <c r="I105" s="72"/>
      <c r="J105" s="72"/>
      <c r="K105" s="72"/>
      <c r="L105" s="75" t="str">
        <f aca="false">IF(G105="","",IF(L104="",G105,L104+G105))</f>
        <v/>
      </c>
      <c r="M105" s="72"/>
    </row>
    <row r="106" customFormat="false" ht="15.75" hidden="false" customHeight="true" outlineLevel="0" collapsed="false">
      <c r="A106" s="68" t="n">
        <v>102</v>
      </c>
      <c r="B106" s="78"/>
      <c r="C106" s="80"/>
      <c r="D106" s="80"/>
      <c r="E106" s="80"/>
      <c r="F106" s="80"/>
      <c r="G106" s="88"/>
      <c r="H106" s="80"/>
      <c r="I106" s="80"/>
      <c r="J106" s="80"/>
      <c r="K106" s="80"/>
      <c r="L106" s="83" t="str">
        <f aca="false">IF(G106="","",IF(L105="",G106,L105+G106))</f>
        <v/>
      </c>
      <c r="M106" s="80"/>
    </row>
    <row r="107" customFormat="false" ht="15.75" hidden="false" customHeight="true" outlineLevel="0" collapsed="false">
      <c r="A107" s="66" t="n">
        <v>103</v>
      </c>
      <c r="B107" s="70"/>
      <c r="C107" s="72"/>
      <c r="D107" s="72"/>
      <c r="E107" s="72"/>
      <c r="F107" s="72"/>
      <c r="G107" s="87"/>
      <c r="H107" s="72"/>
      <c r="I107" s="72"/>
      <c r="J107" s="72"/>
      <c r="K107" s="72"/>
      <c r="L107" s="75" t="str">
        <f aca="false">IF(G107="","",IF(L106="",G107,L106+G107))</f>
        <v/>
      </c>
      <c r="M107" s="72"/>
    </row>
    <row r="108" customFormat="false" ht="15.75" hidden="false" customHeight="true" outlineLevel="0" collapsed="false">
      <c r="A108" s="68" t="n">
        <v>104</v>
      </c>
      <c r="B108" s="78"/>
      <c r="C108" s="80"/>
      <c r="D108" s="80"/>
      <c r="E108" s="80"/>
      <c r="F108" s="80"/>
      <c r="G108" s="88"/>
      <c r="H108" s="80"/>
      <c r="I108" s="80"/>
      <c r="J108" s="80"/>
      <c r="K108" s="80"/>
      <c r="L108" s="83" t="str">
        <f aca="false">IF(G108="","",IF(L107="",G108,L107+G108))</f>
        <v/>
      </c>
      <c r="M108" s="80"/>
    </row>
    <row r="109" customFormat="false" ht="15.75" hidden="false" customHeight="true" outlineLevel="0" collapsed="false">
      <c r="A109" s="66" t="n">
        <v>105</v>
      </c>
      <c r="B109" s="70"/>
      <c r="C109" s="72"/>
      <c r="D109" s="72"/>
      <c r="E109" s="72"/>
      <c r="F109" s="72"/>
      <c r="G109" s="87"/>
      <c r="H109" s="72"/>
      <c r="I109" s="72"/>
      <c r="J109" s="72"/>
      <c r="K109" s="72"/>
      <c r="L109" s="75" t="str">
        <f aca="false">IF(G109="","",IF(L108="",G109,L108+G109))</f>
        <v/>
      </c>
      <c r="M109" s="72"/>
    </row>
    <row r="110" customFormat="false" ht="15.75" hidden="false" customHeight="true" outlineLevel="0" collapsed="false">
      <c r="A110" s="68" t="n">
        <v>106</v>
      </c>
      <c r="B110" s="78"/>
      <c r="C110" s="80"/>
      <c r="D110" s="80"/>
      <c r="E110" s="80"/>
      <c r="F110" s="80"/>
      <c r="G110" s="88"/>
      <c r="H110" s="80"/>
      <c r="I110" s="80"/>
      <c r="J110" s="80"/>
      <c r="K110" s="80"/>
      <c r="L110" s="83" t="str">
        <f aca="false">IF(G110="","",IF(L109="",G110,L109+G110))</f>
        <v/>
      </c>
      <c r="M110" s="80"/>
    </row>
    <row r="111" customFormat="false" ht="15.75" hidden="false" customHeight="true" outlineLevel="0" collapsed="false">
      <c r="A111" s="66" t="n">
        <v>107</v>
      </c>
      <c r="B111" s="70"/>
      <c r="C111" s="72"/>
      <c r="D111" s="72"/>
      <c r="E111" s="72"/>
      <c r="F111" s="72"/>
      <c r="G111" s="87"/>
      <c r="H111" s="72"/>
      <c r="I111" s="72"/>
      <c r="J111" s="72"/>
      <c r="K111" s="72"/>
      <c r="L111" s="75" t="str">
        <f aca="false">IF(G111="","",IF(L110="",G111,L110+G111))</f>
        <v/>
      </c>
      <c r="M111" s="72"/>
    </row>
    <row r="112" customFormat="false" ht="15.75" hidden="false" customHeight="true" outlineLevel="0" collapsed="false">
      <c r="A112" s="68" t="n">
        <v>108</v>
      </c>
      <c r="B112" s="78"/>
      <c r="C112" s="80"/>
      <c r="D112" s="80"/>
      <c r="E112" s="80"/>
      <c r="F112" s="80"/>
      <c r="G112" s="88"/>
      <c r="H112" s="80"/>
      <c r="I112" s="80"/>
      <c r="J112" s="80"/>
      <c r="K112" s="80"/>
      <c r="L112" s="83" t="str">
        <f aca="false">IF(G112="","",IF(L111="",G112,L111+G112))</f>
        <v/>
      </c>
      <c r="M112" s="80"/>
    </row>
    <row r="113" customFormat="false" ht="15.75" hidden="false" customHeight="true" outlineLevel="0" collapsed="false">
      <c r="A113" s="66" t="n">
        <v>109</v>
      </c>
      <c r="B113" s="70"/>
      <c r="C113" s="72"/>
      <c r="D113" s="72"/>
      <c r="E113" s="72"/>
      <c r="F113" s="72"/>
      <c r="G113" s="87"/>
      <c r="H113" s="72"/>
      <c r="I113" s="72"/>
      <c r="J113" s="72"/>
      <c r="K113" s="72"/>
      <c r="L113" s="75" t="str">
        <f aca="false">IF(G113="","",IF(L112="",G113,L112+G113))</f>
        <v/>
      </c>
      <c r="M113" s="72"/>
    </row>
    <row r="114" customFormat="false" ht="15.75" hidden="false" customHeight="true" outlineLevel="0" collapsed="false">
      <c r="A114" s="68" t="n">
        <v>110</v>
      </c>
      <c r="B114" s="78"/>
      <c r="C114" s="80"/>
      <c r="D114" s="80"/>
      <c r="E114" s="80"/>
      <c r="F114" s="80"/>
      <c r="G114" s="88"/>
      <c r="H114" s="80"/>
      <c r="I114" s="80"/>
      <c r="J114" s="80"/>
      <c r="K114" s="80"/>
      <c r="L114" s="83" t="str">
        <f aca="false">IF(G114="","",IF(L113="",G114,L113+G114))</f>
        <v/>
      </c>
      <c r="M114" s="80"/>
    </row>
    <row r="115" customFormat="false" ht="15.75" hidden="false" customHeight="true" outlineLevel="0" collapsed="false">
      <c r="A115" s="66" t="n">
        <v>111</v>
      </c>
      <c r="B115" s="70"/>
      <c r="C115" s="72"/>
      <c r="D115" s="72"/>
      <c r="E115" s="72"/>
      <c r="F115" s="72"/>
      <c r="G115" s="87"/>
      <c r="H115" s="72"/>
      <c r="I115" s="72"/>
      <c r="J115" s="72"/>
      <c r="K115" s="72"/>
      <c r="L115" s="75" t="str">
        <f aca="false">IF(G115="","",IF(L114="",G115,L114+G115))</f>
        <v/>
      </c>
      <c r="M115" s="72"/>
    </row>
    <row r="116" customFormat="false" ht="15.75" hidden="false" customHeight="true" outlineLevel="0" collapsed="false">
      <c r="A116" s="68" t="n">
        <v>112</v>
      </c>
      <c r="B116" s="78"/>
      <c r="C116" s="80"/>
      <c r="D116" s="80"/>
      <c r="E116" s="80"/>
      <c r="F116" s="80"/>
      <c r="G116" s="88"/>
      <c r="H116" s="80"/>
      <c r="I116" s="80"/>
      <c r="J116" s="80"/>
      <c r="K116" s="80"/>
      <c r="L116" s="83" t="str">
        <f aca="false">IF(G116="","",IF(L115="",G116,L115+G116))</f>
        <v/>
      </c>
      <c r="M116" s="80"/>
    </row>
    <row r="117" customFormat="false" ht="15.75" hidden="false" customHeight="true" outlineLevel="0" collapsed="false">
      <c r="A117" s="66" t="n">
        <v>113</v>
      </c>
      <c r="B117" s="70"/>
      <c r="C117" s="72"/>
      <c r="D117" s="72"/>
      <c r="E117" s="72"/>
      <c r="F117" s="72"/>
      <c r="G117" s="87"/>
      <c r="H117" s="72"/>
      <c r="I117" s="72"/>
      <c r="J117" s="72"/>
      <c r="K117" s="72"/>
      <c r="L117" s="75" t="str">
        <f aca="false">IF(G117="","",IF(L116="",G117,L116+G117))</f>
        <v/>
      </c>
      <c r="M117" s="72"/>
    </row>
    <row r="118" customFormat="false" ht="15.75" hidden="false" customHeight="true" outlineLevel="0" collapsed="false">
      <c r="A118" s="68" t="n">
        <v>114</v>
      </c>
      <c r="B118" s="78"/>
      <c r="C118" s="80"/>
      <c r="D118" s="80"/>
      <c r="E118" s="80"/>
      <c r="F118" s="80"/>
      <c r="G118" s="88"/>
      <c r="H118" s="80"/>
      <c r="I118" s="80"/>
      <c r="J118" s="80"/>
      <c r="K118" s="80"/>
      <c r="L118" s="83" t="str">
        <f aca="false">IF(G118="","",IF(L117="",G118,L117+G118))</f>
        <v/>
      </c>
      <c r="M118" s="80"/>
    </row>
    <row r="119" customFormat="false" ht="15.75" hidden="false" customHeight="true" outlineLevel="0" collapsed="false">
      <c r="A119" s="66" t="n">
        <v>115</v>
      </c>
      <c r="B119" s="70"/>
      <c r="C119" s="72"/>
      <c r="D119" s="72"/>
      <c r="E119" s="72"/>
      <c r="F119" s="72"/>
      <c r="G119" s="87"/>
      <c r="H119" s="72"/>
      <c r="I119" s="72"/>
      <c r="J119" s="72"/>
      <c r="K119" s="72"/>
      <c r="L119" s="75" t="str">
        <f aca="false">IF(G119="","",IF(L118="",G119,L118+G119))</f>
        <v/>
      </c>
      <c r="M119" s="72"/>
    </row>
    <row r="120" customFormat="false" ht="15.75" hidden="false" customHeight="true" outlineLevel="0" collapsed="false">
      <c r="A120" s="68" t="n">
        <v>116</v>
      </c>
      <c r="B120" s="78"/>
      <c r="C120" s="80"/>
      <c r="D120" s="80"/>
      <c r="E120" s="80"/>
      <c r="F120" s="80"/>
      <c r="G120" s="88"/>
      <c r="H120" s="80"/>
      <c r="I120" s="80"/>
      <c r="J120" s="80"/>
      <c r="K120" s="80"/>
      <c r="L120" s="83" t="str">
        <f aca="false">IF(G120="","",IF(L119="",G120,L119+G120))</f>
        <v/>
      </c>
      <c r="M120" s="80"/>
    </row>
    <row r="121" customFormat="false" ht="15.75" hidden="false" customHeight="true" outlineLevel="0" collapsed="false">
      <c r="A121" s="66" t="n">
        <v>117</v>
      </c>
      <c r="B121" s="70"/>
      <c r="C121" s="72"/>
      <c r="D121" s="72"/>
      <c r="E121" s="72"/>
      <c r="F121" s="72"/>
      <c r="G121" s="87"/>
      <c r="H121" s="72"/>
      <c r="I121" s="72"/>
      <c r="J121" s="72"/>
      <c r="K121" s="72"/>
      <c r="L121" s="75" t="str">
        <f aca="false">IF(G121="","",IF(L120="",G121,L120+G121))</f>
        <v/>
      </c>
      <c r="M121" s="72"/>
    </row>
    <row r="122" customFormat="false" ht="15.75" hidden="false" customHeight="true" outlineLevel="0" collapsed="false">
      <c r="A122" s="68" t="n">
        <v>118</v>
      </c>
      <c r="B122" s="78"/>
      <c r="C122" s="80"/>
      <c r="D122" s="80"/>
      <c r="E122" s="80"/>
      <c r="F122" s="80"/>
      <c r="G122" s="88"/>
      <c r="H122" s="80"/>
      <c r="I122" s="80"/>
      <c r="J122" s="80"/>
      <c r="K122" s="80"/>
      <c r="L122" s="83" t="str">
        <f aca="false">IF(G122="","",IF(L121="",G122,L121+G122))</f>
        <v/>
      </c>
      <c r="M122" s="80"/>
    </row>
    <row r="123" customFormat="false" ht="15.75" hidden="false" customHeight="true" outlineLevel="0" collapsed="false">
      <c r="A123" s="66" t="n">
        <v>119</v>
      </c>
      <c r="B123" s="70"/>
      <c r="C123" s="72"/>
      <c r="D123" s="72"/>
      <c r="E123" s="72"/>
      <c r="F123" s="72"/>
      <c r="G123" s="87"/>
      <c r="H123" s="72"/>
      <c r="I123" s="72"/>
      <c r="J123" s="72"/>
      <c r="K123" s="72"/>
      <c r="L123" s="75" t="str">
        <f aca="false">IF(G123="","",IF(L122="",G123,L122+G123))</f>
        <v/>
      </c>
      <c r="M123" s="72"/>
    </row>
    <row r="124" customFormat="false" ht="15.75" hidden="false" customHeight="true" outlineLevel="0" collapsed="false">
      <c r="A124" s="68" t="n">
        <v>120</v>
      </c>
      <c r="B124" s="78"/>
      <c r="C124" s="80"/>
      <c r="D124" s="80"/>
      <c r="E124" s="80"/>
      <c r="F124" s="80"/>
      <c r="G124" s="88"/>
      <c r="H124" s="80"/>
      <c r="I124" s="80"/>
      <c r="J124" s="80"/>
      <c r="K124" s="80"/>
      <c r="L124" s="83" t="str">
        <f aca="false">IF(G124="","",IF(L123="",G124,L123+G124))</f>
        <v/>
      </c>
      <c r="M124" s="80"/>
    </row>
    <row r="125" customFormat="false" ht="15.75" hidden="false" customHeight="true" outlineLevel="0" collapsed="false">
      <c r="A125" s="66" t="n">
        <v>121</v>
      </c>
      <c r="B125" s="70"/>
      <c r="C125" s="72"/>
      <c r="D125" s="72"/>
      <c r="E125" s="72"/>
      <c r="F125" s="72"/>
      <c r="G125" s="87"/>
      <c r="H125" s="72"/>
      <c r="I125" s="72"/>
      <c r="J125" s="72"/>
      <c r="K125" s="72"/>
      <c r="L125" s="75" t="str">
        <f aca="false">IF(G125="","",IF(L124="",G125,L124+G125))</f>
        <v/>
      </c>
      <c r="M125" s="72"/>
    </row>
    <row r="126" customFormat="false" ht="15.75" hidden="false" customHeight="true" outlineLevel="0" collapsed="false">
      <c r="A126" s="68" t="n">
        <v>122</v>
      </c>
      <c r="B126" s="78"/>
      <c r="C126" s="80"/>
      <c r="D126" s="80"/>
      <c r="E126" s="80"/>
      <c r="F126" s="80"/>
      <c r="G126" s="88"/>
      <c r="H126" s="80"/>
      <c r="I126" s="80"/>
      <c r="J126" s="80"/>
      <c r="K126" s="80"/>
      <c r="L126" s="83" t="str">
        <f aca="false">IF(G126="","",IF(L125="",G126,L125+G126))</f>
        <v/>
      </c>
      <c r="M126" s="80"/>
    </row>
    <row r="127" customFormat="false" ht="15.75" hidden="false" customHeight="true" outlineLevel="0" collapsed="false">
      <c r="A127" s="66" t="n">
        <v>123</v>
      </c>
      <c r="B127" s="70"/>
      <c r="C127" s="72"/>
      <c r="D127" s="72"/>
      <c r="E127" s="72"/>
      <c r="F127" s="72"/>
      <c r="G127" s="87"/>
      <c r="H127" s="72"/>
      <c r="I127" s="72"/>
      <c r="J127" s="72"/>
      <c r="K127" s="72"/>
      <c r="L127" s="75" t="str">
        <f aca="false">IF(G127="","",IF(L126="",G127,L126+G127))</f>
        <v/>
      </c>
      <c r="M127" s="72"/>
    </row>
    <row r="128" customFormat="false" ht="15.75" hidden="false" customHeight="true" outlineLevel="0" collapsed="false">
      <c r="A128" s="68" t="n">
        <v>124</v>
      </c>
      <c r="B128" s="78"/>
      <c r="C128" s="80"/>
      <c r="D128" s="80"/>
      <c r="E128" s="80"/>
      <c r="F128" s="80"/>
      <c r="G128" s="88"/>
      <c r="H128" s="80"/>
      <c r="I128" s="80"/>
      <c r="J128" s="80"/>
      <c r="K128" s="80"/>
      <c r="L128" s="83" t="str">
        <f aca="false">IF(G128="","",IF(L127="",G128,L127+G128))</f>
        <v/>
      </c>
      <c r="M128" s="80"/>
    </row>
    <row r="129" customFormat="false" ht="15.75" hidden="false" customHeight="true" outlineLevel="0" collapsed="false">
      <c r="A129" s="66" t="n">
        <v>125</v>
      </c>
      <c r="B129" s="70"/>
      <c r="C129" s="72"/>
      <c r="D129" s="72"/>
      <c r="E129" s="72"/>
      <c r="F129" s="72"/>
      <c r="G129" s="87"/>
      <c r="H129" s="72"/>
      <c r="I129" s="72"/>
      <c r="J129" s="72"/>
      <c r="K129" s="72"/>
      <c r="L129" s="75" t="str">
        <f aca="false">IF(G129="","",IF(L128="",G129,L128+G129))</f>
        <v/>
      </c>
      <c r="M129" s="72"/>
    </row>
    <row r="130" customFormat="false" ht="15.75" hidden="false" customHeight="true" outlineLevel="0" collapsed="false">
      <c r="A130" s="68" t="n">
        <v>126</v>
      </c>
      <c r="B130" s="78"/>
      <c r="C130" s="80"/>
      <c r="D130" s="80"/>
      <c r="E130" s="80"/>
      <c r="F130" s="80"/>
      <c r="G130" s="88"/>
      <c r="H130" s="80"/>
      <c r="I130" s="80"/>
      <c r="J130" s="80"/>
      <c r="K130" s="80"/>
      <c r="L130" s="83" t="str">
        <f aca="false">IF(G130="","",IF(L129="",G130,L129+G130))</f>
        <v/>
      </c>
      <c r="M130" s="80"/>
    </row>
    <row r="131" customFormat="false" ht="15.75" hidden="false" customHeight="true" outlineLevel="0" collapsed="false">
      <c r="A131" s="66" t="n">
        <v>127</v>
      </c>
      <c r="B131" s="70"/>
      <c r="C131" s="72"/>
      <c r="D131" s="72"/>
      <c r="E131" s="72"/>
      <c r="F131" s="72"/>
      <c r="G131" s="87"/>
      <c r="H131" s="72"/>
      <c r="I131" s="72"/>
      <c r="J131" s="72"/>
      <c r="K131" s="72"/>
      <c r="L131" s="75" t="str">
        <f aca="false">IF(G131="","",IF(L130="",G131,L130+G131))</f>
        <v/>
      </c>
      <c r="M131" s="72"/>
    </row>
    <row r="132" customFormat="false" ht="15.75" hidden="false" customHeight="true" outlineLevel="0" collapsed="false">
      <c r="A132" s="68" t="n">
        <v>128</v>
      </c>
      <c r="B132" s="78"/>
      <c r="C132" s="80"/>
      <c r="D132" s="80"/>
      <c r="E132" s="80"/>
      <c r="F132" s="80"/>
      <c r="G132" s="88"/>
      <c r="H132" s="80"/>
      <c r="I132" s="80"/>
      <c r="J132" s="80"/>
      <c r="K132" s="80"/>
      <c r="L132" s="83" t="str">
        <f aca="false">IF(G132="","",IF(L131="",G132,L131+G132))</f>
        <v/>
      </c>
      <c r="M132" s="80"/>
    </row>
    <row r="133" customFormat="false" ht="15.75" hidden="false" customHeight="true" outlineLevel="0" collapsed="false">
      <c r="A133" s="66" t="n">
        <v>129</v>
      </c>
      <c r="B133" s="70"/>
      <c r="C133" s="72"/>
      <c r="D133" s="72"/>
      <c r="E133" s="72"/>
      <c r="F133" s="72"/>
      <c r="G133" s="87"/>
      <c r="H133" s="72"/>
      <c r="I133" s="72"/>
      <c r="J133" s="72"/>
      <c r="K133" s="72"/>
      <c r="L133" s="75" t="str">
        <f aca="false">IF(G133="","",IF(L132="",G133,L132+G133))</f>
        <v/>
      </c>
      <c r="M133" s="72"/>
    </row>
    <row r="134" customFormat="false" ht="15.75" hidden="false" customHeight="true" outlineLevel="0" collapsed="false">
      <c r="A134" s="68" t="n">
        <v>130</v>
      </c>
      <c r="B134" s="78"/>
      <c r="C134" s="80"/>
      <c r="D134" s="80"/>
      <c r="E134" s="80"/>
      <c r="F134" s="80"/>
      <c r="G134" s="88"/>
      <c r="H134" s="80"/>
      <c r="I134" s="80"/>
      <c r="J134" s="80"/>
      <c r="K134" s="80"/>
      <c r="L134" s="83" t="str">
        <f aca="false">IF(G134="","",IF(L133="",G134,L133+G134))</f>
        <v/>
      </c>
      <c r="M134" s="80"/>
    </row>
    <row r="135" customFormat="false" ht="15.75" hidden="false" customHeight="true" outlineLevel="0" collapsed="false">
      <c r="A135" s="66" t="n">
        <v>131</v>
      </c>
      <c r="B135" s="70"/>
      <c r="C135" s="72"/>
      <c r="D135" s="72"/>
      <c r="E135" s="72"/>
      <c r="F135" s="72"/>
      <c r="G135" s="87"/>
      <c r="H135" s="72"/>
      <c r="I135" s="72"/>
      <c r="J135" s="72"/>
      <c r="K135" s="72"/>
      <c r="L135" s="75" t="str">
        <f aca="false">IF(G135="","",IF(L134="",G135,L134+G135))</f>
        <v/>
      </c>
      <c r="M135" s="72"/>
    </row>
    <row r="136" customFormat="false" ht="15.75" hidden="false" customHeight="true" outlineLevel="0" collapsed="false">
      <c r="A136" s="68" t="n">
        <v>132</v>
      </c>
      <c r="B136" s="78"/>
      <c r="C136" s="80"/>
      <c r="D136" s="80"/>
      <c r="E136" s="80"/>
      <c r="F136" s="80"/>
      <c r="G136" s="88"/>
      <c r="H136" s="80"/>
      <c r="I136" s="80"/>
      <c r="J136" s="80"/>
      <c r="K136" s="80"/>
      <c r="L136" s="83" t="str">
        <f aca="false">IF(G136="","",IF(L135="",G136,L135+G136))</f>
        <v/>
      </c>
      <c r="M136" s="80"/>
    </row>
    <row r="137" customFormat="false" ht="15.75" hidden="false" customHeight="true" outlineLevel="0" collapsed="false">
      <c r="A137" s="66" t="n">
        <v>133</v>
      </c>
      <c r="B137" s="70"/>
      <c r="C137" s="72"/>
      <c r="D137" s="72"/>
      <c r="E137" s="72"/>
      <c r="F137" s="72"/>
      <c r="G137" s="87"/>
      <c r="H137" s="72"/>
      <c r="I137" s="72"/>
      <c r="J137" s="72"/>
      <c r="K137" s="72"/>
      <c r="L137" s="75" t="str">
        <f aca="false">IF(G137="","",IF(L136="",G137,L136+G137))</f>
        <v/>
      </c>
      <c r="M137" s="72"/>
    </row>
    <row r="138" customFormat="false" ht="15.75" hidden="false" customHeight="true" outlineLevel="0" collapsed="false">
      <c r="A138" s="68" t="n">
        <v>134</v>
      </c>
      <c r="B138" s="78"/>
      <c r="C138" s="80"/>
      <c r="D138" s="80"/>
      <c r="E138" s="80"/>
      <c r="F138" s="80"/>
      <c r="G138" s="88"/>
      <c r="H138" s="80"/>
      <c r="I138" s="80"/>
      <c r="J138" s="80"/>
      <c r="K138" s="80"/>
      <c r="L138" s="83" t="str">
        <f aca="false">IF(G138="","",IF(L137="",G138,L137+G138))</f>
        <v/>
      </c>
      <c r="M138" s="80"/>
    </row>
    <row r="139" customFormat="false" ht="15.75" hidden="false" customHeight="true" outlineLevel="0" collapsed="false">
      <c r="A139" s="66" t="n">
        <v>135</v>
      </c>
      <c r="B139" s="70"/>
      <c r="C139" s="72"/>
      <c r="D139" s="72"/>
      <c r="E139" s="72"/>
      <c r="F139" s="72"/>
      <c r="G139" s="87"/>
      <c r="H139" s="72"/>
      <c r="I139" s="72"/>
      <c r="J139" s="72"/>
      <c r="K139" s="72"/>
      <c r="L139" s="75" t="str">
        <f aca="false">IF(G139="","",IF(L138="",G139,L138+G139))</f>
        <v/>
      </c>
      <c r="M139" s="72"/>
    </row>
    <row r="140" customFormat="false" ht="15.75" hidden="false" customHeight="true" outlineLevel="0" collapsed="false">
      <c r="A140" s="68" t="n">
        <v>136</v>
      </c>
      <c r="B140" s="78"/>
      <c r="C140" s="80"/>
      <c r="D140" s="80"/>
      <c r="E140" s="80"/>
      <c r="F140" s="80"/>
      <c r="G140" s="88"/>
      <c r="H140" s="80"/>
      <c r="I140" s="80"/>
      <c r="J140" s="80"/>
      <c r="K140" s="80"/>
      <c r="L140" s="83" t="str">
        <f aca="false">IF(G140="","",IF(L139="",G140,L139+G140))</f>
        <v/>
      </c>
      <c r="M140" s="80"/>
    </row>
    <row r="141" customFormat="false" ht="15.75" hidden="false" customHeight="true" outlineLevel="0" collapsed="false">
      <c r="A141" s="66" t="n">
        <v>137</v>
      </c>
      <c r="B141" s="70"/>
      <c r="C141" s="72"/>
      <c r="D141" s="72"/>
      <c r="E141" s="72"/>
      <c r="F141" s="72"/>
      <c r="G141" s="87"/>
      <c r="H141" s="72"/>
      <c r="I141" s="72"/>
      <c r="J141" s="72"/>
      <c r="K141" s="72"/>
      <c r="L141" s="75" t="str">
        <f aca="false">IF(G141="","",IF(L140="",G141,L140+G141))</f>
        <v/>
      </c>
      <c r="M141" s="72"/>
    </row>
    <row r="142" customFormat="false" ht="15.75" hidden="false" customHeight="true" outlineLevel="0" collapsed="false">
      <c r="A142" s="68" t="n">
        <v>138</v>
      </c>
      <c r="B142" s="78"/>
      <c r="C142" s="80"/>
      <c r="D142" s="80"/>
      <c r="E142" s="80"/>
      <c r="F142" s="80"/>
      <c r="G142" s="88"/>
      <c r="H142" s="80"/>
      <c r="I142" s="80"/>
      <c r="J142" s="80"/>
      <c r="K142" s="80"/>
      <c r="L142" s="83" t="str">
        <f aca="false">IF(G142="","",IF(L141="",G142,L141+G142))</f>
        <v/>
      </c>
      <c r="M142" s="80"/>
    </row>
    <row r="143" customFormat="false" ht="15.75" hidden="false" customHeight="true" outlineLevel="0" collapsed="false">
      <c r="A143" s="66" t="n">
        <v>139</v>
      </c>
      <c r="B143" s="70"/>
      <c r="C143" s="72"/>
      <c r="D143" s="72"/>
      <c r="E143" s="72"/>
      <c r="F143" s="72"/>
      <c r="G143" s="87"/>
      <c r="H143" s="72"/>
      <c r="I143" s="72"/>
      <c r="J143" s="72"/>
      <c r="K143" s="72"/>
      <c r="L143" s="75" t="str">
        <f aca="false">IF(G143="","",IF(L142="",G143,L142+G143))</f>
        <v/>
      </c>
      <c r="M143" s="72"/>
    </row>
    <row r="144" customFormat="false" ht="15.75" hidden="false" customHeight="true" outlineLevel="0" collapsed="false">
      <c r="A144" s="68" t="n">
        <v>140</v>
      </c>
      <c r="B144" s="78"/>
      <c r="C144" s="80"/>
      <c r="D144" s="80"/>
      <c r="E144" s="80"/>
      <c r="F144" s="80"/>
      <c r="G144" s="88"/>
      <c r="H144" s="80"/>
      <c r="I144" s="80"/>
      <c r="J144" s="80"/>
      <c r="K144" s="80"/>
      <c r="L144" s="83" t="str">
        <f aca="false">IF(G144="","",IF(L143="",G144,L143+G144))</f>
        <v/>
      </c>
      <c r="M144" s="80"/>
    </row>
    <row r="145" customFormat="false" ht="15.75" hidden="false" customHeight="true" outlineLevel="0" collapsed="false">
      <c r="A145" s="66" t="n">
        <v>141</v>
      </c>
      <c r="B145" s="70"/>
      <c r="C145" s="72"/>
      <c r="D145" s="72"/>
      <c r="E145" s="72"/>
      <c r="F145" s="72"/>
      <c r="G145" s="87"/>
      <c r="H145" s="72"/>
      <c r="I145" s="72"/>
      <c r="J145" s="72"/>
      <c r="K145" s="72"/>
      <c r="L145" s="75" t="str">
        <f aca="false">IF(G145="","",IF(L144="",G145,L144+G145))</f>
        <v/>
      </c>
      <c r="M145" s="72"/>
    </row>
    <row r="146" customFormat="false" ht="15.75" hidden="false" customHeight="true" outlineLevel="0" collapsed="false">
      <c r="A146" s="68" t="n">
        <v>142</v>
      </c>
      <c r="B146" s="78"/>
      <c r="C146" s="80"/>
      <c r="D146" s="80"/>
      <c r="E146" s="80"/>
      <c r="F146" s="80"/>
      <c r="G146" s="88"/>
      <c r="H146" s="80"/>
      <c r="I146" s="80"/>
      <c r="J146" s="80"/>
      <c r="K146" s="80"/>
      <c r="L146" s="83" t="str">
        <f aca="false">IF(G146="","",IF(L145="",G146,L145+G146))</f>
        <v/>
      </c>
      <c r="M146" s="80"/>
    </row>
    <row r="147" customFormat="false" ht="15.75" hidden="false" customHeight="true" outlineLevel="0" collapsed="false">
      <c r="A147" s="66" t="n">
        <v>143</v>
      </c>
      <c r="B147" s="70"/>
      <c r="C147" s="72"/>
      <c r="D147" s="72"/>
      <c r="E147" s="72"/>
      <c r="F147" s="72"/>
      <c r="G147" s="87"/>
      <c r="H147" s="72"/>
      <c r="I147" s="72"/>
      <c r="J147" s="72"/>
      <c r="K147" s="72"/>
      <c r="L147" s="75" t="str">
        <f aca="false">IF(G147="","",IF(L146="",G147,L146+G147))</f>
        <v/>
      </c>
      <c r="M147" s="72"/>
    </row>
    <row r="148" customFormat="false" ht="15.75" hidden="false" customHeight="true" outlineLevel="0" collapsed="false">
      <c r="A148" s="68" t="n">
        <v>144</v>
      </c>
      <c r="B148" s="78"/>
      <c r="C148" s="80"/>
      <c r="D148" s="80"/>
      <c r="E148" s="80"/>
      <c r="F148" s="80"/>
      <c r="G148" s="88"/>
      <c r="H148" s="80"/>
      <c r="I148" s="80"/>
      <c r="J148" s="80"/>
      <c r="K148" s="80"/>
      <c r="L148" s="83" t="str">
        <f aca="false">IF(G148="","",IF(L147="",G148,L147+G148))</f>
        <v/>
      </c>
      <c r="M148" s="80"/>
    </row>
    <row r="149" customFormat="false" ht="15.75" hidden="false" customHeight="true" outlineLevel="0" collapsed="false">
      <c r="A149" s="66" t="n">
        <v>145</v>
      </c>
      <c r="B149" s="70"/>
      <c r="C149" s="72"/>
      <c r="D149" s="72"/>
      <c r="E149" s="72"/>
      <c r="F149" s="72"/>
      <c r="G149" s="87"/>
      <c r="H149" s="72"/>
      <c r="I149" s="72"/>
      <c r="J149" s="72"/>
      <c r="K149" s="72"/>
      <c r="L149" s="75" t="str">
        <f aca="false">IF(G149="","",IF(L148="",G149,L148+G149))</f>
        <v/>
      </c>
      <c r="M149" s="72"/>
    </row>
    <row r="150" customFormat="false" ht="15.75" hidden="false" customHeight="true" outlineLevel="0" collapsed="false">
      <c r="A150" s="68" t="n">
        <v>146</v>
      </c>
      <c r="B150" s="78"/>
      <c r="C150" s="80"/>
      <c r="D150" s="80"/>
      <c r="E150" s="80"/>
      <c r="F150" s="80"/>
      <c r="G150" s="88"/>
      <c r="H150" s="80"/>
      <c r="I150" s="80"/>
      <c r="J150" s="80"/>
      <c r="K150" s="80"/>
      <c r="L150" s="83" t="str">
        <f aca="false">IF(G150="","",IF(L149="",G150,L149+G150))</f>
        <v/>
      </c>
      <c r="M150" s="80"/>
    </row>
    <row r="151" customFormat="false" ht="15.75" hidden="false" customHeight="true" outlineLevel="0" collapsed="false">
      <c r="A151" s="66" t="n">
        <v>147</v>
      </c>
      <c r="B151" s="70"/>
      <c r="C151" s="72"/>
      <c r="D151" s="72"/>
      <c r="E151" s="72"/>
      <c r="F151" s="72"/>
      <c r="G151" s="87"/>
      <c r="H151" s="72"/>
      <c r="I151" s="72"/>
      <c r="J151" s="72"/>
      <c r="K151" s="72"/>
      <c r="L151" s="75" t="str">
        <f aca="false">IF(G151="","",IF(L150="",G151,L150+G151))</f>
        <v/>
      </c>
      <c r="M151" s="72"/>
    </row>
    <row r="152" customFormat="false" ht="15.75" hidden="false" customHeight="true" outlineLevel="0" collapsed="false">
      <c r="A152" s="68" t="n">
        <v>148</v>
      </c>
      <c r="B152" s="78"/>
      <c r="C152" s="80"/>
      <c r="D152" s="80"/>
      <c r="E152" s="80"/>
      <c r="F152" s="80"/>
      <c r="G152" s="88"/>
      <c r="H152" s="80"/>
      <c r="I152" s="80"/>
      <c r="J152" s="80"/>
      <c r="K152" s="80"/>
      <c r="L152" s="83" t="str">
        <f aca="false">IF(G152="","",IF(L151="",G152,L151+G152))</f>
        <v/>
      </c>
      <c r="M152" s="80"/>
    </row>
    <row r="153" customFormat="false" ht="15.75" hidden="false" customHeight="true" outlineLevel="0" collapsed="false">
      <c r="A153" s="66" t="n">
        <v>149</v>
      </c>
      <c r="B153" s="70"/>
      <c r="C153" s="72"/>
      <c r="D153" s="72"/>
      <c r="E153" s="72"/>
      <c r="F153" s="72"/>
      <c r="G153" s="87"/>
      <c r="H153" s="72"/>
      <c r="I153" s="72"/>
      <c r="J153" s="72"/>
      <c r="K153" s="72"/>
      <c r="L153" s="75" t="str">
        <f aca="false">IF(G153="","",IF(L152="",G153,L152+G153))</f>
        <v/>
      </c>
      <c r="M153" s="72"/>
    </row>
    <row r="154" customFormat="false" ht="15.75" hidden="false" customHeight="true" outlineLevel="0" collapsed="false">
      <c r="A154" s="68" t="n">
        <v>150</v>
      </c>
      <c r="B154" s="78"/>
      <c r="C154" s="80"/>
      <c r="D154" s="80"/>
      <c r="E154" s="80"/>
      <c r="F154" s="80"/>
      <c r="G154" s="88"/>
      <c r="H154" s="80"/>
      <c r="I154" s="80"/>
      <c r="J154" s="80"/>
      <c r="K154" s="80"/>
      <c r="L154" s="83" t="str">
        <f aca="false">IF(G154="","",IF(L153="",G154,L153+G154))</f>
        <v/>
      </c>
      <c r="M154" s="80"/>
    </row>
    <row r="155" customFormat="false" ht="15.75" hidden="false" customHeight="true" outlineLevel="0" collapsed="false">
      <c r="A155" s="66" t="n">
        <v>151</v>
      </c>
      <c r="B155" s="70"/>
      <c r="C155" s="72"/>
      <c r="D155" s="72"/>
      <c r="E155" s="72"/>
      <c r="F155" s="72"/>
      <c r="G155" s="87"/>
      <c r="H155" s="72"/>
      <c r="I155" s="72"/>
      <c r="J155" s="72"/>
      <c r="K155" s="72"/>
      <c r="L155" s="75" t="str">
        <f aca="false">IF(G155="","",IF(L154="",G155,L154+G155))</f>
        <v/>
      </c>
      <c r="M155" s="72"/>
    </row>
    <row r="156" customFormat="false" ht="15.75" hidden="false" customHeight="true" outlineLevel="0" collapsed="false">
      <c r="A156" s="68" t="n">
        <v>152</v>
      </c>
      <c r="B156" s="78"/>
      <c r="C156" s="80"/>
      <c r="D156" s="80"/>
      <c r="E156" s="80"/>
      <c r="F156" s="80"/>
      <c r="G156" s="88"/>
      <c r="H156" s="80"/>
      <c r="I156" s="80"/>
      <c r="J156" s="80"/>
      <c r="K156" s="80"/>
      <c r="L156" s="83" t="str">
        <f aca="false">IF(G156="","",IF(L155="",G156,L155+G156))</f>
        <v/>
      </c>
      <c r="M156" s="80"/>
    </row>
    <row r="157" customFormat="false" ht="15.75" hidden="false" customHeight="true" outlineLevel="0" collapsed="false">
      <c r="A157" s="66" t="n">
        <v>153</v>
      </c>
      <c r="B157" s="70"/>
      <c r="C157" s="72"/>
      <c r="D157" s="72"/>
      <c r="E157" s="72"/>
      <c r="F157" s="72"/>
      <c r="G157" s="87"/>
      <c r="H157" s="72"/>
      <c r="I157" s="72"/>
      <c r="J157" s="72"/>
      <c r="K157" s="72"/>
      <c r="L157" s="75" t="str">
        <f aca="false">IF(G157="","",IF(L156="",G157,L156+G157))</f>
        <v/>
      </c>
      <c r="M157" s="72"/>
    </row>
    <row r="158" customFormat="false" ht="15.75" hidden="false" customHeight="true" outlineLevel="0" collapsed="false">
      <c r="A158" s="68" t="n">
        <v>154</v>
      </c>
      <c r="B158" s="78"/>
      <c r="C158" s="80"/>
      <c r="D158" s="80"/>
      <c r="E158" s="80"/>
      <c r="F158" s="80"/>
      <c r="G158" s="88"/>
      <c r="H158" s="80"/>
      <c r="I158" s="80"/>
      <c r="J158" s="80"/>
      <c r="K158" s="80"/>
      <c r="L158" s="83" t="str">
        <f aca="false">IF(G158="","",IF(L157="",G158,L157+G158))</f>
        <v/>
      </c>
      <c r="M158" s="80"/>
    </row>
    <row r="159" customFormat="false" ht="15.75" hidden="false" customHeight="true" outlineLevel="0" collapsed="false">
      <c r="A159" s="66" t="n">
        <v>155</v>
      </c>
      <c r="B159" s="70"/>
      <c r="C159" s="72"/>
      <c r="D159" s="72"/>
      <c r="E159" s="72"/>
      <c r="F159" s="72"/>
      <c r="G159" s="87"/>
      <c r="H159" s="72"/>
      <c r="I159" s="72"/>
      <c r="J159" s="72"/>
      <c r="K159" s="72"/>
      <c r="L159" s="75" t="str">
        <f aca="false">IF(G159="","",IF(L158="",G159,L158+G159))</f>
        <v/>
      </c>
      <c r="M159" s="72"/>
    </row>
    <row r="160" customFormat="false" ht="15.75" hidden="false" customHeight="true" outlineLevel="0" collapsed="false">
      <c r="A160" s="68" t="n">
        <v>156</v>
      </c>
      <c r="B160" s="78"/>
      <c r="C160" s="80"/>
      <c r="D160" s="80"/>
      <c r="E160" s="80"/>
      <c r="F160" s="80"/>
      <c r="G160" s="88"/>
      <c r="H160" s="80"/>
      <c r="I160" s="80"/>
      <c r="J160" s="80"/>
      <c r="K160" s="80"/>
      <c r="L160" s="83" t="str">
        <f aca="false">IF(G160="","",IF(L159="",G160,L159+G160))</f>
        <v/>
      </c>
      <c r="M160" s="80"/>
    </row>
    <row r="161" customFormat="false" ht="15.75" hidden="false" customHeight="true" outlineLevel="0" collapsed="false">
      <c r="A161" s="66" t="n">
        <v>157</v>
      </c>
      <c r="B161" s="70"/>
      <c r="C161" s="72"/>
      <c r="D161" s="72"/>
      <c r="E161" s="72"/>
      <c r="F161" s="72"/>
      <c r="G161" s="87"/>
      <c r="H161" s="72"/>
      <c r="I161" s="72"/>
      <c r="J161" s="72"/>
      <c r="K161" s="72"/>
      <c r="L161" s="75" t="str">
        <f aca="false">IF(G161="","",IF(L160="",G161,L160+G161))</f>
        <v/>
      </c>
      <c r="M161" s="72"/>
    </row>
    <row r="162" customFormat="false" ht="15.75" hidden="false" customHeight="true" outlineLevel="0" collapsed="false">
      <c r="A162" s="68" t="n">
        <v>158</v>
      </c>
      <c r="B162" s="78"/>
      <c r="C162" s="80"/>
      <c r="D162" s="80"/>
      <c r="E162" s="80"/>
      <c r="F162" s="80"/>
      <c r="G162" s="88"/>
      <c r="H162" s="80"/>
      <c r="I162" s="80"/>
      <c r="J162" s="80"/>
      <c r="K162" s="80"/>
      <c r="L162" s="83" t="str">
        <f aca="false">IF(G162="","",IF(L161="",G162,L161+G162))</f>
        <v/>
      </c>
      <c r="M162" s="80"/>
    </row>
    <row r="163" customFormat="false" ht="15.75" hidden="false" customHeight="true" outlineLevel="0" collapsed="false">
      <c r="A163" s="66" t="n">
        <v>159</v>
      </c>
      <c r="B163" s="70"/>
      <c r="C163" s="72"/>
      <c r="D163" s="72"/>
      <c r="E163" s="72"/>
      <c r="F163" s="72"/>
      <c r="G163" s="87"/>
      <c r="H163" s="72"/>
      <c r="I163" s="72"/>
      <c r="J163" s="72"/>
      <c r="K163" s="72"/>
      <c r="L163" s="75" t="str">
        <f aca="false">IF(G163="","",IF(L162="",G163,L162+G163))</f>
        <v/>
      </c>
      <c r="M163" s="72"/>
    </row>
    <row r="164" customFormat="false" ht="15.75" hidden="false" customHeight="true" outlineLevel="0" collapsed="false">
      <c r="A164" s="68" t="n">
        <v>160</v>
      </c>
      <c r="B164" s="78"/>
      <c r="C164" s="80"/>
      <c r="D164" s="80"/>
      <c r="E164" s="80"/>
      <c r="F164" s="80"/>
      <c r="G164" s="88"/>
      <c r="H164" s="80"/>
      <c r="I164" s="80"/>
      <c r="J164" s="80"/>
      <c r="K164" s="80"/>
      <c r="L164" s="83" t="str">
        <f aca="false">IF(G164="","",IF(L163="",G164,L163+G164))</f>
        <v/>
      </c>
      <c r="M164" s="80"/>
    </row>
    <row r="165" customFormat="false" ht="15.75" hidden="false" customHeight="true" outlineLevel="0" collapsed="false">
      <c r="A165" s="66" t="n">
        <v>161</v>
      </c>
      <c r="B165" s="70"/>
      <c r="C165" s="72"/>
      <c r="D165" s="72"/>
      <c r="E165" s="72"/>
      <c r="F165" s="72"/>
      <c r="G165" s="87"/>
      <c r="H165" s="72"/>
      <c r="I165" s="72"/>
      <c r="J165" s="72"/>
      <c r="K165" s="72"/>
      <c r="L165" s="75" t="str">
        <f aca="false">IF(G165="","",IF(L164="",G165,L164+G165))</f>
        <v/>
      </c>
      <c r="M165" s="72"/>
    </row>
    <row r="166" customFormat="false" ht="15.75" hidden="false" customHeight="true" outlineLevel="0" collapsed="false">
      <c r="A166" s="68" t="n">
        <v>162</v>
      </c>
      <c r="B166" s="78"/>
      <c r="C166" s="80"/>
      <c r="D166" s="80"/>
      <c r="E166" s="80"/>
      <c r="F166" s="80"/>
      <c r="G166" s="88"/>
      <c r="H166" s="80"/>
      <c r="I166" s="80"/>
      <c r="J166" s="80"/>
      <c r="K166" s="80"/>
      <c r="L166" s="83" t="str">
        <f aca="false">IF(G166="","",IF(L165="",G166,L165+G166))</f>
        <v/>
      </c>
      <c r="M166" s="80"/>
    </row>
    <row r="167" customFormat="false" ht="15.75" hidden="false" customHeight="true" outlineLevel="0" collapsed="false">
      <c r="A167" s="66" t="n">
        <v>163</v>
      </c>
      <c r="B167" s="70"/>
      <c r="C167" s="72"/>
      <c r="D167" s="72"/>
      <c r="E167" s="72"/>
      <c r="F167" s="72"/>
      <c r="G167" s="87"/>
      <c r="H167" s="72"/>
      <c r="I167" s="72"/>
      <c r="J167" s="72"/>
      <c r="K167" s="72"/>
      <c r="L167" s="75" t="str">
        <f aca="false">IF(G167="","",IF(L166="",G167,L166+G167))</f>
        <v/>
      </c>
      <c r="M167" s="72"/>
    </row>
    <row r="168" customFormat="false" ht="15.75" hidden="false" customHeight="true" outlineLevel="0" collapsed="false">
      <c r="A168" s="68" t="n">
        <v>164</v>
      </c>
      <c r="B168" s="78"/>
      <c r="C168" s="80"/>
      <c r="D168" s="80"/>
      <c r="E168" s="80"/>
      <c r="F168" s="80"/>
      <c r="G168" s="88"/>
      <c r="H168" s="80"/>
      <c r="I168" s="80"/>
      <c r="J168" s="80"/>
      <c r="K168" s="80"/>
      <c r="L168" s="83" t="str">
        <f aca="false">IF(G168="","",IF(L167="",G168,L167+G168))</f>
        <v/>
      </c>
      <c r="M168" s="80"/>
    </row>
    <row r="169" customFormat="false" ht="15.75" hidden="false" customHeight="true" outlineLevel="0" collapsed="false">
      <c r="A169" s="66" t="n">
        <v>165</v>
      </c>
      <c r="B169" s="70"/>
      <c r="C169" s="72"/>
      <c r="D169" s="72"/>
      <c r="E169" s="72"/>
      <c r="F169" s="72"/>
      <c r="G169" s="87"/>
      <c r="H169" s="72"/>
      <c r="I169" s="72"/>
      <c r="J169" s="72"/>
      <c r="K169" s="72"/>
      <c r="L169" s="75" t="str">
        <f aca="false">IF(G169="","",IF(L168="",G169,L168+G169))</f>
        <v/>
      </c>
      <c r="M169" s="72"/>
    </row>
    <row r="170" customFormat="false" ht="15.75" hidden="false" customHeight="true" outlineLevel="0" collapsed="false">
      <c r="A170" s="68" t="n">
        <v>166</v>
      </c>
      <c r="B170" s="78"/>
      <c r="C170" s="80"/>
      <c r="D170" s="80"/>
      <c r="E170" s="80"/>
      <c r="F170" s="80"/>
      <c r="G170" s="88"/>
      <c r="H170" s="80"/>
      <c r="I170" s="80"/>
      <c r="J170" s="80"/>
      <c r="K170" s="80"/>
      <c r="L170" s="83" t="str">
        <f aca="false">IF(G170="","",IF(L169="",G170,L169+G170))</f>
        <v/>
      </c>
      <c r="M170" s="80"/>
    </row>
    <row r="171" customFormat="false" ht="15.75" hidden="false" customHeight="true" outlineLevel="0" collapsed="false">
      <c r="A171" s="66" t="n">
        <v>167</v>
      </c>
      <c r="B171" s="70"/>
      <c r="C171" s="72"/>
      <c r="D171" s="72"/>
      <c r="E171" s="72"/>
      <c r="F171" s="72"/>
      <c r="G171" s="87"/>
      <c r="H171" s="72"/>
      <c r="I171" s="72"/>
      <c r="J171" s="72"/>
      <c r="K171" s="72"/>
      <c r="L171" s="75" t="str">
        <f aca="false">IF(G171="","",IF(L170="",G171,L170+G171))</f>
        <v/>
      </c>
      <c r="M171" s="72"/>
    </row>
    <row r="172" customFormat="false" ht="15.75" hidden="false" customHeight="true" outlineLevel="0" collapsed="false">
      <c r="A172" s="68" t="n">
        <v>168</v>
      </c>
      <c r="B172" s="78"/>
      <c r="C172" s="80"/>
      <c r="D172" s="80"/>
      <c r="E172" s="80"/>
      <c r="F172" s="80"/>
      <c r="G172" s="88"/>
      <c r="H172" s="80"/>
      <c r="I172" s="80"/>
      <c r="J172" s="80"/>
      <c r="K172" s="80"/>
      <c r="L172" s="83" t="str">
        <f aca="false">IF(G172="","",IF(L171="",G172,L171+G172))</f>
        <v/>
      </c>
      <c r="M172" s="80"/>
    </row>
    <row r="173" customFormat="false" ht="15.75" hidden="false" customHeight="true" outlineLevel="0" collapsed="false">
      <c r="A173" s="66" t="n">
        <v>169</v>
      </c>
      <c r="B173" s="70"/>
      <c r="C173" s="72"/>
      <c r="D173" s="72"/>
      <c r="E173" s="72"/>
      <c r="F173" s="72"/>
      <c r="G173" s="87"/>
      <c r="H173" s="72"/>
      <c r="I173" s="72"/>
      <c r="J173" s="72"/>
      <c r="K173" s="72"/>
      <c r="L173" s="75" t="str">
        <f aca="false">IF(G173="","",IF(L172="",G173,L172+G173))</f>
        <v/>
      </c>
      <c r="M173" s="72"/>
    </row>
    <row r="174" customFormat="false" ht="15.75" hidden="false" customHeight="true" outlineLevel="0" collapsed="false">
      <c r="A174" s="68" t="n">
        <v>170</v>
      </c>
      <c r="B174" s="78"/>
      <c r="C174" s="80"/>
      <c r="D174" s="80"/>
      <c r="E174" s="80"/>
      <c r="F174" s="80"/>
      <c r="G174" s="88"/>
      <c r="H174" s="80"/>
      <c r="I174" s="80"/>
      <c r="J174" s="80"/>
      <c r="K174" s="80"/>
      <c r="L174" s="83" t="str">
        <f aca="false">IF(G174="","",IF(L173="",G174,L173+G174))</f>
        <v/>
      </c>
      <c r="M174" s="80"/>
    </row>
    <row r="175" customFormat="false" ht="15.75" hidden="false" customHeight="true" outlineLevel="0" collapsed="false">
      <c r="A175" s="66" t="n">
        <v>171</v>
      </c>
      <c r="B175" s="70"/>
      <c r="C175" s="72"/>
      <c r="D175" s="72"/>
      <c r="E175" s="72"/>
      <c r="F175" s="72"/>
      <c r="G175" s="87"/>
      <c r="H175" s="72"/>
      <c r="I175" s="72"/>
      <c r="J175" s="72"/>
      <c r="K175" s="72"/>
      <c r="L175" s="75" t="str">
        <f aca="false">IF(G175="","",IF(L174="",G175,L174+G175))</f>
        <v/>
      </c>
      <c r="M175" s="72"/>
    </row>
    <row r="176" customFormat="false" ht="15.75" hidden="false" customHeight="true" outlineLevel="0" collapsed="false">
      <c r="A176" s="68" t="n">
        <v>172</v>
      </c>
      <c r="B176" s="78"/>
      <c r="C176" s="80"/>
      <c r="D176" s="80"/>
      <c r="E176" s="80"/>
      <c r="F176" s="80"/>
      <c r="G176" s="88"/>
      <c r="H176" s="80"/>
      <c r="I176" s="80"/>
      <c r="J176" s="80"/>
      <c r="K176" s="80"/>
      <c r="L176" s="83" t="str">
        <f aca="false">IF(G176="","",IF(L175="",G176,L175+G176))</f>
        <v/>
      </c>
      <c r="M176" s="80"/>
    </row>
    <row r="177" customFormat="false" ht="15.75" hidden="false" customHeight="true" outlineLevel="0" collapsed="false">
      <c r="A177" s="66" t="n">
        <v>173</v>
      </c>
      <c r="B177" s="70"/>
      <c r="C177" s="72"/>
      <c r="D177" s="72"/>
      <c r="E177" s="72"/>
      <c r="F177" s="72"/>
      <c r="G177" s="87"/>
      <c r="H177" s="72"/>
      <c r="I177" s="72"/>
      <c r="J177" s="72"/>
      <c r="K177" s="72"/>
      <c r="L177" s="75" t="str">
        <f aca="false">IF(G177="","",IF(L176="",G177,L176+G177))</f>
        <v/>
      </c>
      <c r="M177" s="72"/>
    </row>
    <row r="178" customFormat="false" ht="15.75" hidden="false" customHeight="true" outlineLevel="0" collapsed="false">
      <c r="A178" s="68" t="n">
        <v>174</v>
      </c>
      <c r="B178" s="78"/>
      <c r="C178" s="80"/>
      <c r="D178" s="80"/>
      <c r="E178" s="80"/>
      <c r="F178" s="80"/>
      <c r="G178" s="88"/>
      <c r="H178" s="80"/>
      <c r="I178" s="80"/>
      <c r="J178" s="80"/>
      <c r="K178" s="80"/>
      <c r="L178" s="83" t="str">
        <f aca="false">IF(G178="","",IF(L177="",G178,L177+G178))</f>
        <v/>
      </c>
      <c r="M178" s="80"/>
    </row>
    <row r="179" customFormat="false" ht="15.75" hidden="false" customHeight="true" outlineLevel="0" collapsed="false">
      <c r="A179" s="66" t="n">
        <v>175</v>
      </c>
      <c r="B179" s="70"/>
      <c r="C179" s="72"/>
      <c r="D179" s="72"/>
      <c r="E179" s="72"/>
      <c r="F179" s="72"/>
      <c r="G179" s="87"/>
      <c r="H179" s="72"/>
      <c r="I179" s="72"/>
      <c r="J179" s="72"/>
      <c r="K179" s="72"/>
      <c r="L179" s="75" t="str">
        <f aca="false">IF(G179="","",IF(L178="",G179,L178+G179))</f>
        <v/>
      </c>
      <c r="M179" s="72"/>
    </row>
    <row r="180" customFormat="false" ht="15.75" hidden="false" customHeight="true" outlineLevel="0" collapsed="false">
      <c r="A180" s="68" t="n">
        <v>176</v>
      </c>
      <c r="B180" s="78"/>
      <c r="C180" s="80"/>
      <c r="D180" s="80"/>
      <c r="E180" s="80"/>
      <c r="F180" s="80"/>
      <c r="G180" s="88"/>
      <c r="H180" s="80"/>
      <c r="I180" s="80"/>
      <c r="J180" s="80"/>
      <c r="K180" s="80"/>
      <c r="L180" s="83" t="str">
        <f aca="false">IF(G180="","",IF(L179="",G180,L179+G180))</f>
        <v/>
      </c>
      <c r="M180" s="80"/>
    </row>
    <row r="181" customFormat="false" ht="15.75" hidden="false" customHeight="true" outlineLevel="0" collapsed="false">
      <c r="A181" s="66" t="n">
        <v>177</v>
      </c>
      <c r="B181" s="70"/>
      <c r="C181" s="72"/>
      <c r="D181" s="72"/>
      <c r="E181" s="72"/>
      <c r="F181" s="72"/>
      <c r="G181" s="87"/>
      <c r="H181" s="72"/>
      <c r="I181" s="72"/>
      <c r="J181" s="72"/>
      <c r="K181" s="72"/>
      <c r="L181" s="75" t="str">
        <f aca="false">IF(G181="","",IF(L180="",G181,L180+G181))</f>
        <v/>
      </c>
      <c r="M181" s="72"/>
    </row>
    <row r="182" customFormat="false" ht="15.75" hidden="false" customHeight="true" outlineLevel="0" collapsed="false">
      <c r="A182" s="68" t="n">
        <v>178</v>
      </c>
      <c r="B182" s="78"/>
      <c r="C182" s="80"/>
      <c r="D182" s="80"/>
      <c r="E182" s="80"/>
      <c r="F182" s="80"/>
      <c r="G182" s="88"/>
      <c r="H182" s="80"/>
      <c r="I182" s="80"/>
      <c r="J182" s="80"/>
      <c r="K182" s="80"/>
      <c r="L182" s="83" t="str">
        <f aca="false">IF(G182="","",IF(L181="",G182,L181+G182))</f>
        <v/>
      </c>
      <c r="M182" s="80"/>
    </row>
    <row r="183" customFormat="false" ht="15.75" hidden="false" customHeight="true" outlineLevel="0" collapsed="false">
      <c r="A183" s="66" t="n">
        <v>179</v>
      </c>
      <c r="B183" s="70"/>
      <c r="C183" s="72"/>
      <c r="D183" s="72"/>
      <c r="E183" s="72"/>
      <c r="F183" s="72"/>
      <c r="G183" s="87"/>
      <c r="H183" s="72"/>
      <c r="I183" s="72"/>
      <c r="J183" s="72"/>
      <c r="K183" s="72"/>
      <c r="L183" s="75" t="str">
        <f aca="false">IF(G183="","",IF(L182="",G183,L182+G183))</f>
        <v/>
      </c>
      <c r="M183" s="72"/>
    </row>
    <row r="184" customFormat="false" ht="15.75" hidden="false" customHeight="true" outlineLevel="0" collapsed="false">
      <c r="A184" s="68" t="n">
        <v>180</v>
      </c>
      <c r="B184" s="78"/>
      <c r="C184" s="80"/>
      <c r="D184" s="80"/>
      <c r="E184" s="80"/>
      <c r="F184" s="80"/>
      <c r="G184" s="88"/>
      <c r="H184" s="80"/>
      <c r="I184" s="80"/>
      <c r="J184" s="80"/>
      <c r="K184" s="80"/>
      <c r="L184" s="83" t="str">
        <f aca="false">IF(G184="","",IF(L183="",G184,L183+G184))</f>
        <v/>
      </c>
      <c r="M184" s="80"/>
    </row>
    <row r="185" customFormat="false" ht="15.75" hidden="false" customHeight="true" outlineLevel="0" collapsed="false">
      <c r="A185" s="66" t="n">
        <v>181</v>
      </c>
      <c r="B185" s="70"/>
      <c r="C185" s="72"/>
      <c r="D185" s="72"/>
      <c r="E185" s="72"/>
      <c r="F185" s="72"/>
      <c r="G185" s="87"/>
      <c r="H185" s="72"/>
      <c r="I185" s="72"/>
      <c r="J185" s="72"/>
      <c r="K185" s="72"/>
      <c r="L185" s="75" t="str">
        <f aca="false">IF(G185="","",IF(L184="",G185,L184+G185))</f>
        <v/>
      </c>
      <c r="M185" s="72"/>
    </row>
    <row r="186" customFormat="false" ht="15.75" hidden="false" customHeight="true" outlineLevel="0" collapsed="false">
      <c r="A186" s="68" t="n">
        <v>182</v>
      </c>
      <c r="B186" s="78"/>
      <c r="C186" s="80"/>
      <c r="D186" s="80"/>
      <c r="E186" s="80"/>
      <c r="F186" s="80"/>
      <c r="G186" s="88"/>
      <c r="H186" s="80"/>
      <c r="I186" s="80"/>
      <c r="J186" s="80"/>
      <c r="K186" s="80"/>
      <c r="L186" s="83" t="str">
        <f aca="false">IF(G186="","",IF(L185="",G186,L185+G186))</f>
        <v/>
      </c>
      <c r="M186" s="80"/>
    </row>
    <row r="187" customFormat="false" ht="15.75" hidden="false" customHeight="true" outlineLevel="0" collapsed="false">
      <c r="A187" s="66" t="n">
        <v>183</v>
      </c>
      <c r="B187" s="70"/>
      <c r="C187" s="72"/>
      <c r="D187" s="72"/>
      <c r="E187" s="72"/>
      <c r="F187" s="72"/>
      <c r="G187" s="87"/>
      <c r="H187" s="72"/>
      <c r="I187" s="72"/>
      <c r="J187" s="72"/>
      <c r="K187" s="72"/>
      <c r="L187" s="75" t="str">
        <f aca="false">IF(G187="","",IF(L186="",G187,L186+G187))</f>
        <v/>
      </c>
      <c r="M187" s="72"/>
    </row>
    <row r="188" customFormat="false" ht="15.75" hidden="false" customHeight="true" outlineLevel="0" collapsed="false">
      <c r="A188" s="68" t="n">
        <v>184</v>
      </c>
      <c r="B188" s="78"/>
      <c r="C188" s="80"/>
      <c r="D188" s="80"/>
      <c r="E188" s="80"/>
      <c r="F188" s="80"/>
      <c r="G188" s="88"/>
      <c r="H188" s="80"/>
      <c r="I188" s="80"/>
      <c r="J188" s="80"/>
      <c r="K188" s="80"/>
      <c r="L188" s="83" t="str">
        <f aca="false">IF(G188="","",IF(L187="",G188,L187+G188))</f>
        <v/>
      </c>
      <c r="M188" s="80"/>
    </row>
    <row r="189" customFormat="false" ht="15.75" hidden="false" customHeight="true" outlineLevel="0" collapsed="false">
      <c r="A189" s="66" t="n">
        <v>185</v>
      </c>
      <c r="B189" s="70"/>
      <c r="C189" s="72"/>
      <c r="D189" s="72"/>
      <c r="E189" s="72"/>
      <c r="F189" s="72"/>
      <c r="G189" s="87"/>
      <c r="H189" s="72"/>
      <c r="I189" s="72"/>
      <c r="J189" s="72"/>
      <c r="K189" s="72"/>
      <c r="L189" s="75" t="str">
        <f aca="false">IF(G189="","",IF(L188="",G189,L188+G189))</f>
        <v/>
      </c>
      <c r="M189" s="72"/>
    </row>
    <row r="190" customFormat="false" ht="15.75" hidden="false" customHeight="true" outlineLevel="0" collapsed="false">
      <c r="A190" s="68" t="n">
        <v>186</v>
      </c>
      <c r="B190" s="78"/>
      <c r="C190" s="80"/>
      <c r="D190" s="80"/>
      <c r="E190" s="80"/>
      <c r="F190" s="80"/>
      <c r="G190" s="88"/>
      <c r="H190" s="80"/>
      <c r="I190" s="80"/>
      <c r="J190" s="80"/>
      <c r="K190" s="80"/>
      <c r="L190" s="83" t="str">
        <f aca="false">IF(G190="","",IF(L189="",G190,L189+G190))</f>
        <v/>
      </c>
      <c r="M190" s="80"/>
    </row>
    <row r="191" customFormat="false" ht="15.75" hidden="false" customHeight="true" outlineLevel="0" collapsed="false">
      <c r="A191" s="66" t="n">
        <v>187</v>
      </c>
      <c r="B191" s="70"/>
      <c r="C191" s="72"/>
      <c r="D191" s="72"/>
      <c r="E191" s="72"/>
      <c r="F191" s="72"/>
      <c r="G191" s="87"/>
      <c r="H191" s="72"/>
      <c r="I191" s="72"/>
      <c r="J191" s="72"/>
      <c r="K191" s="72"/>
      <c r="L191" s="75" t="str">
        <f aca="false">IF(G191="","",IF(L190="",G191,L190+G191))</f>
        <v/>
      </c>
      <c r="M191" s="72"/>
    </row>
    <row r="192" customFormat="false" ht="15.75" hidden="false" customHeight="true" outlineLevel="0" collapsed="false">
      <c r="A192" s="68" t="n">
        <v>188</v>
      </c>
      <c r="B192" s="78"/>
      <c r="C192" s="80"/>
      <c r="D192" s="80"/>
      <c r="E192" s="80"/>
      <c r="F192" s="80"/>
      <c r="G192" s="88"/>
      <c r="H192" s="80"/>
      <c r="I192" s="80"/>
      <c r="J192" s="80"/>
      <c r="K192" s="80"/>
      <c r="L192" s="83" t="str">
        <f aca="false">IF(G192="","",IF(L191="",G192,L191+G192))</f>
        <v/>
      </c>
      <c r="M192" s="80"/>
    </row>
    <row r="193" customFormat="false" ht="15.75" hidden="false" customHeight="true" outlineLevel="0" collapsed="false">
      <c r="A193" s="66" t="n">
        <v>189</v>
      </c>
      <c r="B193" s="70"/>
      <c r="C193" s="72"/>
      <c r="D193" s="72"/>
      <c r="E193" s="72"/>
      <c r="F193" s="72"/>
      <c r="G193" s="87"/>
      <c r="H193" s="72"/>
      <c r="I193" s="72"/>
      <c r="J193" s="72"/>
      <c r="K193" s="72"/>
      <c r="L193" s="75" t="str">
        <f aca="false">IF(G193="","",IF(L192="",G193,L192+G193))</f>
        <v/>
      </c>
      <c r="M193" s="72"/>
    </row>
    <row r="194" customFormat="false" ht="15.75" hidden="false" customHeight="true" outlineLevel="0" collapsed="false">
      <c r="A194" s="68" t="n">
        <v>190</v>
      </c>
      <c r="B194" s="78"/>
      <c r="C194" s="80"/>
      <c r="D194" s="80"/>
      <c r="E194" s="80"/>
      <c r="F194" s="80"/>
      <c r="G194" s="88"/>
      <c r="H194" s="80"/>
      <c r="I194" s="80"/>
      <c r="J194" s="80"/>
      <c r="K194" s="80"/>
      <c r="L194" s="83" t="str">
        <f aca="false">IF(G194="","",IF(L193="",G194,L193+G194))</f>
        <v/>
      </c>
      <c r="M194" s="80"/>
    </row>
    <row r="195" customFormat="false" ht="15.75" hidden="false" customHeight="true" outlineLevel="0" collapsed="false">
      <c r="A195" s="66" t="n">
        <v>191</v>
      </c>
      <c r="B195" s="70"/>
      <c r="C195" s="72"/>
      <c r="D195" s="72"/>
      <c r="E195" s="72"/>
      <c r="F195" s="72"/>
      <c r="G195" s="87"/>
      <c r="H195" s="72"/>
      <c r="I195" s="72"/>
      <c r="J195" s="72"/>
      <c r="K195" s="72"/>
      <c r="L195" s="75" t="str">
        <f aca="false">IF(G195="","",IF(L194="",G195,L194+G195))</f>
        <v/>
      </c>
      <c r="M195" s="72"/>
    </row>
    <row r="196" customFormat="false" ht="15.75" hidden="false" customHeight="true" outlineLevel="0" collapsed="false">
      <c r="A196" s="68" t="n">
        <v>192</v>
      </c>
      <c r="B196" s="78"/>
      <c r="C196" s="80"/>
      <c r="D196" s="80"/>
      <c r="E196" s="80"/>
      <c r="F196" s="80"/>
      <c r="G196" s="88"/>
      <c r="H196" s="80"/>
      <c r="I196" s="80"/>
      <c r="J196" s="80"/>
      <c r="K196" s="80"/>
      <c r="L196" s="83" t="str">
        <f aca="false">IF(G196="","",IF(L195="",G196,L195+G196))</f>
        <v/>
      </c>
      <c r="M196" s="80"/>
    </row>
    <row r="197" customFormat="false" ht="15.75" hidden="false" customHeight="true" outlineLevel="0" collapsed="false">
      <c r="A197" s="66" t="n">
        <v>193</v>
      </c>
      <c r="B197" s="70"/>
      <c r="C197" s="72"/>
      <c r="D197" s="72"/>
      <c r="E197" s="72"/>
      <c r="F197" s="72"/>
      <c r="G197" s="87"/>
      <c r="H197" s="72"/>
      <c r="I197" s="72"/>
      <c r="J197" s="72"/>
      <c r="K197" s="72"/>
      <c r="L197" s="75" t="str">
        <f aca="false">IF(G197="","",IF(L196="",G197,L196+G197))</f>
        <v/>
      </c>
      <c r="M197" s="72"/>
    </row>
    <row r="198" customFormat="false" ht="15.75" hidden="false" customHeight="true" outlineLevel="0" collapsed="false">
      <c r="A198" s="68" t="n">
        <v>194</v>
      </c>
      <c r="B198" s="78"/>
      <c r="C198" s="80"/>
      <c r="D198" s="80"/>
      <c r="E198" s="80"/>
      <c r="F198" s="80"/>
      <c r="G198" s="88"/>
      <c r="H198" s="80"/>
      <c r="I198" s="80"/>
      <c r="J198" s="80"/>
      <c r="K198" s="80"/>
      <c r="L198" s="83" t="str">
        <f aca="false">IF(G198="","",IF(L197="",G198,L197+G198))</f>
        <v/>
      </c>
      <c r="M198" s="80"/>
    </row>
    <row r="199" customFormat="false" ht="15.75" hidden="false" customHeight="true" outlineLevel="0" collapsed="false">
      <c r="A199" s="66" t="n">
        <v>195</v>
      </c>
      <c r="B199" s="70"/>
      <c r="C199" s="72"/>
      <c r="D199" s="72"/>
      <c r="E199" s="72"/>
      <c r="F199" s="72"/>
      <c r="G199" s="87"/>
      <c r="H199" s="72"/>
      <c r="I199" s="72"/>
      <c r="J199" s="72"/>
      <c r="K199" s="72"/>
      <c r="L199" s="75" t="str">
        <f aca="false">IF(G199="","",IF(L198="",G199,L198+G199))</f>
        <v/>
      </c>
      <c r="M199" s="72"/>
    </row>
    <row r="200" customFormat="false" ht="15.75" hidden="false" customHeight="true" outlineLevel="0" collapsed="false">
      <c r="A200" s="68" t="n">
        <v>196</v>
      </c>
      <c r="B200" s="78"/>
      <c r="C200" s="80"/>
      <c r="D200" s="80"/>
      <c r="E200" s="80"/>
      <c r="F200" s="80"/>
      <c r="G200" s="88"/>
      <c r="H200" s="80"/>
      <c r="I200" s="80"/>
      <c r="J200" s="80"/>
      <c r="K200" s="80"/>
      <c r="L200" s="83" t="str">
        <f aca="false">IF(G200="","",IF(L199="",G200,L199+G200))</f>
        <v/>
      </c>
      <c r="M200" s="80"/>
    </row>
    <row r="201" customFormat="false" ht="15.75" hidden="false" customHeight="true" outlineLevel="0" collapsed="false">
      <c r="A201" s="66" t="n">
        <v>197</v>
      </c>
      <c r="B201" s="70"/>
      <c r="C201" s="72"/>
      <c r="D201" s="72"/>
      <c r="E201" s="72"/>
      <c r="F201" s="72"/>
      <c r="G201" s="87"/>
      <c r="H201" s="72"/>
      <c r="I201" s="72"/>
      <c r="J201" s="72"/>
      <c r="K201" s="72"/>
      <c r="L201" s="75" t="str">
        <f aca="false">IF(G201="","",IF(L200="",G201,L200+G201))</f>
        <v/>
      </c>
      <c r="M201" s="72"/>
    </row>
    <row r="202" customFormat="false" ht="15.75" hidden="false" customHeight="true" outlineLevel="0" collapsed="false">
      <c r="A202" s="68" t="n">
        <v>198</v>
      </c>
      <c r="B202" s="78"/>
      <c r="C202" s="80"/>
      <c r="D202" s="80"/>
      <c r="E202" s="80"/>
      <c r="F202" s="80"/>
      <c r="G202" s="88"/>
      <c r="H202" s="80"/>
      <c r="I202" s="80"/>
      <c r="J202" s="80"/>
      <c r="K202" s="80"/>
      <c r="L202" s="83" t="str">
        <f aca="false">IF(G202="","",IF(L201="",G202,L201+G202))</f>
        <v/>
      </c>
      <c r="M202" s="80"/>
    </row>
    <row r="203" customFormat="false" ht="15.75" hidden="false" customHeight="true" outlineLevel="0" collapsed="false">
      <c r="A203" s="66" t="n">
        <v>199</v>
      </c>
      <c r="B203" s="70"/>
      <c r="C203" s="72"/>
      <c r="D203" s="72"/>
      <c r="E203" s="72"/>
      <c r="F203" s="72"/>
      <c r="G203" s="87"/>
      <c r="H203" s="72"/>
      <c r="I203" s="72"/>
      <c r="J203" s="72"/>
      <c r="K203" s="72"/>
      <c r="L203" s="75" t="str">
        <f aca="false">IF(G203="","",IF(L202="",G203,L202+G203))</f>
        <v/>
      </c>
      <c r="M203" s="72"/>
    </row>
    <row r="204" customFormat="false" ht="15.75" hidden="false" customHeight="true" outlineLevel="0" collapsed="false">
      <c r="A204" s="68" t="n">
        <v>200</v>
      </c>
      <c r="B204" s="78"/>
      <c r="C204" s="80"/>
      <c r="D204" s="80"/>
      <c r="E204" s="80"/>
      <c r="F204" s="80"/>
      <c r="G204" s="88"/>
      <c r="H204" s="80"/>
      <c r="I204" s="80"/>
      <c r="J204" s="80"/>
      <c r="K204" s="80"/>
      <c r="L204" s="83" t="str">
        <f aca="false">IF(G204="","",IF(L203="",G204,L203+G204))</f>
        <v/>
      </c>
      <c r="M204" s="80"/>
    </row>
    <row r="205" customFormat="false" ht="15.75" hidden="false" customHeight="true" outlineLevel="0" collapsed="false">
      <c r="A205" s="66" t="n">
        <v>201</v>
      </c>
      <c r="B205" s="70"/>
      <c r="C205" s="72"/>
      <c r="D205" s="72"/>
      <c r="E205" s="72"/>
      <c r="F205" s="72"/>
      <c r="G205" s="87"/>
      <c r="H205" s="72"/>
      <c r="I205" s="72"/>
      <c r="J205" s="72"/>
      <c r="K205" s="72"/>
      <c r="L205" s="75" t="str">
        <f aca="false">IF(G205="","",IF(L204="",G205,L204+G205))</f>
        <v/>
      </c>
      <c r="M205" s="72"/>
    </row>
    <row r="206" customFormat="false" ht="15.75" hidden="false" customHeight="true" outlineLevel="0" collapsed="false">
      <c r="A206" s="68" t="n">
        <v>202</v>
      </c>
      <c r="B206" s="78"/>
      <c r="C206" s="80"/>
      <c r="D206" s="80"/>
      <c r="E206" s="80"/>
      <c r="F206" s="80"/>
      <c r="G206" s="88"/>
      <c r="H206" s="80"/>
      <c r="I206" s="80"/>
      <c r="J206" s="80"/>
      <c r="K206" s="80"/>
      <c r="L206" s="83" t="str">
        <f aca="false">IF(G206="","",IF(L205="",G206,L205+G206))</f>
        <v/>
      </c>
      <c r="M206" s="80"/>
    </row>
    <row r="207" customFormat="false" ht="15.75" hidden="false" customHeight="true" outlineLevel="0" collapsed="false">
      <c r="A207" s="66" t="n">
        <v>203</v>
      </c>
      <c r="B207" s="70"/>
      <c r="C207" s="72"/>
      <c r="D207" s="72"/>
      <c r="E207" s="72"/>
      <c r="F207" s="72"/>
      <c r="G207" s="87"/>
      <c r="H207" s="72"/>
      <c r="I207" s="72"/>
      <c r="J207" s="72"/>
      <c r="K207" s="72"/>
      <c r="L207" s="75" t="str">
        <f aca="false">IF(G207="","",IF(L206="",G207,L206+G207))</f>
        <v/>
      </c>
      <c r="M207" s="72"/>
    </row>
    <row r="208" customFormat="false" ht="15.75" hidden="false" customHeight="true" outlineLevel="0" collapsed="false">
      <c r="A208" s="68" t="n">
        <v>204</v>
      </c>
      <c r="B208" s="78"/>
      <c r="C208" s="80"/>
      <c r="D208" s="80"/>
      <c r="E208" s="80"/>
      <c r="F208" s="80"/>
      <c r="G208" s="88"/>
      <c r="H208" s="80"/>
      <c r="I208" s="80"/>
      <c r="J208" s="80"/>
      <c r="K208" s="80"/>
      <c r="L208" s="83" t="str">
        <f aca="false">IF(G208="","",IF(L207="",G208,L207+G208))</f>
        <v/>
      </c>
      <c r="M208" s="80"/>
    </row>
    <row r="209" customFormat="false" ht="15.75" hidden="false" customHeight="true" outlineLevel="0" collapsed="false">
      <c r="A209" s="66" t="n">
        <v>205</v>
      </c>
      <c r="B209" s="70"/>
      <c r="C209" s="72"/>
      <c r="D209" s="72"/>
      <c r="E209" s="72"/>
      <c r="F209" s="72"/>
      <c r="G209" s="87"/>
      <c r="H209" s="72"/>
      <c r="I209" s="72"/>
      <c r="J209" s="72"/>
      <c r="K209" s="72"/>
      <c r="L209" s="75" t="str">
        <f aca="false">IF(G209="","",IF(L208="",G209,L208+G209))</f>
        <v/>
      </c>
      <c r="M209" s="72"/>
    </row>
    <row r="210" customFormat="false" ht="15.75" hidden="false" customHeight="true" outlineLevel="0" collapsed="false">
      <c r="A210" s="68" t="n">
        <v>206</v>
      </c>
      <c r="B210" s="78"/>
      <c r="C210" s="80"/>
      <c r="D210" s="80"/>
      <c r="E210" s="80"/>
      <c r="F210" s="80"/>
      <c r="G210" s="88"/>
      <c r="H210" s="80"/>
      <c r="I210" s="80"/>
      <c r="J210" s="80"/>
      <c r="K210" s="80"/>
      <c r="L210" s="83" t="str">
        <f aca="false">IF(G210="","",IF(L209="",G210,L209+G210))</f>
        <v/>
      </c>
      <c r="M210" s="80"/>
    </row>
    <row r="211" customFormat="false" ht="15.75" hidden="false" customHeight="true" outlineLevel="0" collapsed="false">
      <c r="A211" s="66" t="n">
        <v>207</v>
      </c>
      <c r="B211" s="70"/>
      <c r="C211" s="72"/>
      <c r="D211" s="72"/>
      <c r="E211" s="72"/>
      <c r="F211" s="72"/>
      <c r="G211" s="87"/>
      <c r="H211" s="72"/>
      <c r="I211" s="72"/>
      <c r="J211" s="72"/>
      <c r="K211" s="72"/>
      <c r="L211" s="75" t="str">
        <f aca="false">IF(G211="","",IF(L210="",G211,L210+G211))</f>
        <v/>
      </c>
      <c r="M211" s="72"/>
    </row>
    <row r="212" customFormat="false" ht="15.75" hidden="false" customHeight="true" outlineLevel="0" collapsed="false">
      <c r="A212" s="68" t="n">
        <v>208</v>
      </c>
      <c r="B212" s="78"/>
      <c r="C212" s="80"/>
      <c r="D212" s="80"/>
      <c r="E212" s="80"/>
      <c r="F212" s="80"/>
      <c r="G212" s="88"/>
      <c r="H212" s="80"/>
      <c r="I212" s="80"/>
      <c r="J212" s="80"/>
      <c r="K212" s="80"/>
      <c r="L212" s="83" t="str">
        <f aca="false">IF(G212="","",IF(L211="",G212,L211+G212))</f>
        <v/>
      </c>
      <c r="M212" s="80"/>
    </row>
    <row r="213" customFormat="false" ht="15.75" hidden="false" customHeight="true" outlineLevel="0" collapsed="false">
      <c r="A213" s="66" t="n">
        <v>209</v>
      </c>
      <c r="B213" s="70"/>
      <c r="C213" s="72"/>
      <c r="D213" s="72"/>
      <c r="E213" s="72"/>
      <c r="F213" s="72"/>
      <c r="G213" s="87"/>
      <c r="H213" s="72"/>
      <c r="I213" s="72"/>
      <c r="J213" s="72"/>
      <c r="K213" s="72"/>
      <c r="L213" s="75" t="str">
        <f aca="false">IF(G213="","",IF(L212="",G213,L212+G213))</f>
        <v/>
      </c>
      <c r="M213" s="72"/>
    </row>
    <row r="214" customFormat="false" ht="15.75" hidden="false" customHeight="true" outlineLevel="0" collapsed="false">
      <c r="A214" s="68" t="n">
        <v>210</v>
      </c>
      <c r="B214" s="78"/>
      <c r="C214" s="80"/>
      <c r="D214" s="80"/>
      <c r="E214" s="80"/>
      <c r="F214" s="80"/>
      <c r="G214" s="88"/>
      <c r="H214" s="80"/>
      <c r="I214" s="80"/>
      <c r="J214" s="80"/>
      <c r="K214" s="80"/>
      <c r="L214" s="83" t="str">
        <f aca="false">IF(G214="","",IF(L213="",G214,L213+G214))</f>
        <v/>
      </c>
      <c r="M214" s="80"/>
    </row>
    <row r="215" customFormat="false" ht="15.75" hidden="false" customHeight="true" outlineLevel="0" collapsed="false">
      <c r="A215" s="66" t="n">
        <v>211</v>
      </c>
      <c r="B215" s="70"/>
      <c r="C215" s="72"/>
      <c r="D215" s="72"/>
      <c r="E215" s="72"/>
      <c r="F215" s="72"/>
      <c r="G215" s="87"/>
      <c r="H215" s="72"/>
      <c r="I215" s="72"/>
      <c r="J215" s="72"/>
      <c r="K215" s="72"/>
      <c r="L215" s="75" t="str">
        <f aca="false">IF(G215="","",IF(L214="",G215,L214+G215))</f>
        <v/>
      </c>
      <c r="M215" s="72"/>
    </row>
    <row r="216" customFormat="false" ht="15.75" hidden="false" customHeight="true" outlineLevel="0" collapsed="false">
      <c r="A216" s="68" t="n">
        <v>212</v>
      </c>
      <c r="B216" s="78"/>
      <c r="C216" s="80"/>
      <c r="D216" s="80"/>
      <c r="E216" s="80"/>
      <c r="F216" s="80"/>
      <c r="G216" s="88"/>
      <c r="H216" s="80"/>
      <c r="I216" s="80"/>
      <c r="J216" s="80"/>
      <c r="K216" s="80"/>
      <c r="L216" s="83" t="str">
        <f aca="false">IF(G216="","",IF(L215="",G216,L215+G216))</f>
        <v/>
      </c>
      <c r="M216" s="80"/>
    </row>
    <row r="217" customFormat="false" ht="15.75" hidden="false" customHeight="true" outlineLevel="0" collapsed="false">
      <c r="A217" s="66" t="n">
        <v>213</v>
      </c>
      <c r="B217" s="70"/>
      <c r="C217" s="72"/>
      <c r="D217" s="72"/>
      <c r="E217" s="72"/>
      <c r="F217" s="72"/>
      <c r="G217" s="87"/>
      <c r="H217" s="72"/>
      <c r="I217" s="72"/>
      <c r="J217" s="72"/>
      <c r="K217" s="72"/>
      <c r="L217" s="75" t="str">
        <f aca="false">IF(G217="","",IF(L216="",G217,L216+G217))</f>
        <v/>
      </c>
      <c r="M217" s="72"/>
    </row>
    <row r="218" customFormat="false" ht="15.75" hidden="false" customHeight="true" outlineLevel="0" collapsed="false">
      <c r="A218" s="68" t="n">
        <v>214</v>
      </c>
      <c r="B218" s="78"/>
      <c r="C218" s="80"/>
      <c r="D218" s="80"/>
      <c r="E218" s="80"/>
      <c r="F218" s="80"/>
      <c r="G218" s="88"/>
      <c r="H218" s="80"/>
      <c r="I218" s="80"/>
      <c r="J218" s="80"/>
      <c r="K218" s="80"/>
      <c r="L218" s="83" t="str">
        <f aca="false">IF(G218="","",IF(L217="",G218,L217+G218))</f>
        <v/>
      </c>
      <c r="M218" s="80"/>
    </row>
    <row r="219" customFormat="false" ht="15.75" hidden="false" customHeight="true" outlineLevel="0" collapsed="false">
      <c r="A219" s="66" t="n">
        <v>215</v>
      </c>
      <c r="B219" s="70"/>
      <c r="C219" s="72"/>
      <c r="D219" s="72"/>
      <c r="E219" s="72"/>
      <c r="F219" s="72"/>
      <c r="G219" s="87"/>
      <c r="H219" s="72"/>
      <c r="I219" s="72"/>
      <c r="J219" s="72"/>
      <c r="K219" s="72"/>
      <c r="L219" s="75" t="str">
        <f aca="false">IF(G219="","",IF(L218="",G219,L218+G219))</f>
        <v/>
      </c>
      <c r="M219" s="72"/>
    </row>
    <row r="220" customFormat="false" ht="15.75" hidden="false" customHeight="true" outlineLevel="0" collapsed="false">
      <c r="A220" s="68" t="n">
        <v>216</v>
      </c>
      <c r="B220" s="78"/>
      <c r="C220" s="80"/>
      <c r="D220" s="80"/>
      <c r="E220" s="80"/>
      <c r="F220" s="80"/>
      <c r="G220" s="88"/>
      <c r="H220" s="80"/>
      <c r="I220" s="80"/>
      <c r="J220" s="80"/>
      <c r="K220" s="80"/>
      <c r="L220" s="83" t="str">
        <f aca="false">IF(G220="","",IF(L219="",G220,L219+G220))</f>
        <v/>
      </c>
      <c r="M220" s="80"/>
    </row>
    <row r="221" customFormat="false" ht="15.75" hidden="false" customHeight="true" outlineLevel="0" collapsed="false">
      <c r="A221" s="66" t="n">
        <v>217</v>
      </c>
      <c r="B221" s="70"/>
      <c r="C221" s="72"/>
      <c r="D221" s="72"/>
      <c r="E221" s="72"/>
      <c r="F221" s="72"/>
      <c r="G221" s="87"/>
      <c r="H221" s="72"/>
      <c r="I221" s="72"/>
      <c r="J221" s="72"/>
      <c r="K221" s="72"/>
      <c r="L221" s="75" t="str">
        <f aca="false">IF(G221="","",IF(L220="",G221,L220+G221))</f>
        <v/>
      </c>
      <c r="M221" s="72"/>
    </row>
    <row r="222" customFormat="false" ht="15.75" hidden="false" customHeight="true" outlineLevel="0" collapsed="false">
      <c r="A222" s="68" t="n">
        <v>218</v>
      </c>
      <c r="B222" s="78"/>
      <c r="C222" s="80"/>
      <c r="D222" s="80"/>
      <c r="E222" s="80"/>
      <c r="F222" s="80"/>
      <c r="G222" s="88"/>
      <c r="H222" s="80"/>
      <c r="I222" s="80"/>
      <c r="J222" s="80"/>
      <c r="K222" s="80"/>
      <c r="L222" s="83" t="str">
        <f aca="false">IF(G222="","",IF(L221="",G222,L221+G222))</f>
        <v/>
      </c>
      <c r="M222" s="80"/>
    </row>
    <row r="223" customFormat="false" ht="15.75" hidden="false" customHeight="true" outlineLevel="0" collapsed="false">
      <c r="A223" s="66" t="n">
        <v>219</v>
      </c>
      <c r="B223" s="70"/>
      <c r="C223" s="72"/>
      <c r="D223" s="72"/>
      <c r="E223" s="72"/>
      <c r="F223" s="72"/>
      <c r="G223" s="87"/>
      <c r="H223" s="72"/>
      <c r="I223" s="72"/>
      <c r="J223" s="72"/>
      <c r="K223" s="72"/>
      <c r="L223" s="75" t="str">
        <f aca="false">IF(G223="","",IF(L222="",G223,L222+G223))</f>
        <v/>
      </c>
      <c r="M223" s="72"/>
    </row>
    <row r="224" customFormat="false" ht="15.75" hidden="false" customHeight="true" outlineLevel="0" collapsed="false">
      <c r="A224" s="68" t="n">
        <v>220</v>
      </c>
      <c r="B224" s="78"/>
      <c r="C224" s="80"/>
      <c r="D224" s="80"/>
      <c r="E224" s="80"/>
      <c r="F224" s="80"/>
      <c r="G224" s="88"/>
      <c r="H224" s="80"/>
      <c r="I224" s="80"/>
      <c r="J224" s="80"/>
      <c r="K224" s="80"/>
      <c r="L224" s="83" t="str">
        <f aca="false">IF(G224="","",IF(L223="",G224,L223+G224))</f>
        <v/>
      </c>
      <c r="M224" s="80"/>
    </row>
    <row r="225" customFormat="false" ht="15.75" hidden="false" customHeight="true" outlineLevel="0" collapsed="false">
      <c r="A225" s="66" t="n">
        <v>221</v>
      </c>
      <c r="B225" s="70"/>
      <c r="C225" s="72"/>
      <c r="D225" s="72"/>
      <c r="E225" s="72"/>
      <c r="F225" s="72"/>
      <c r="G225" s="87"/>
      <c r="H225" s="72"/>
      <c r="I225" s="72"/>
      <c r="J225" s="72"/>
      <c r="K225" s="72"/>
      <c r="L225" s="75" t="str">
        <f aca="false">IF(G225="","",IF(L224="",G225,L224+G225))</f>
        <v/>
      </c>
      <c r="M225" s="72"/>
    </row>
    <row r="226" customFormat="false" ht="15.75" hidden="false" customHeight="true" outlineLevel="0" collapsed="false">
      <c r="A226" s="68" t="n">
        <v>222</v>
      </c>
      <c r="B226" s="78"/>
      <c r="C226" s="80"/>
      <c r="D226" s="80"/>
      <c r="E226" s="80"/>
      <c r="F226" s="80"/>
      <c r="G226" s="88"/>
      <c r="H226" s="80"/>
      <c r="I226" s="80"/>
      <c r="J226" s="80"/>
      <c r="K226" s="80"/>
      <c r="L226" s="83" t="str">
        <f aca="false">IF(G226="","",IF(L225="",G226,L225+G226))</f>
        <v/>
      </c>
      <c r="M226" s="80"/>
    </row>
    <row r="227" customFormat="false" ht="15.75" hidden="false" customHeight="true" outlineLevel="0" collapsed="false">
      <c r="A227" s="66" t="n">
        <v>223</v>
      </c>
      <c r="B227" s="70"/>
      <c r="C227" s="72"/>
      <c r="D227" s="72"/>
      <c r="E227" s="72"/>
      <c r="F227" s="72"/>
      <c r="G227" s="87"/>
      <c r="H227" s="72"/>
      <c r="I227" s="72"/>
      <c r="J227" s="72"/>
      <c r="K227" s="72"/>
      <c r="L227" s="75" t="str">
        <f aca="false">IF(G227="","",IF(L226="",G227,L226+G227))</f>
        <v/>
      </c>
      <c r="M227" s="72"/>
    </row>
    <row r="228" customFormat="false" ht="15.75" hidden="false" customHeight="true" outlineLevel="0" collapsed="false">
      <c r="A228" s="68" t="n">
        <v>224</v>
      </c>
      <c r="B228" s="78"/>
      <c r="C228" s="80"/>
      <c r="D228" s="80"/>
      <c r="E228" s="80"/>
      <c r="F228" s="80"/>
      <c r="G228" s="88"/>
      <c r="H228" s="80"/>
      <c r="I228" s="80"/>
      <c r="J228" s="80"/>
      <c r="K228" s="80"/>
      <c r="L228" s="83" t="str">
        <f aca="false">IF(G228="","",IF(L227="",G228,L227+G228))</f>
        <v/>
      </c>
      <c r="M228" s="80"/>
    </row>
    <row r="229" customFormat="false" ht="15.75" hidden="false" customHeight="true" outlineLevel="0" collapsed="false">
      <c r="A229" s="66" t="n">
        <v>225</v>
      </c>
      <c r="B229" s="70"/>
      <c r="C229" s="72"/>
      <c r="D229" s="72"/>
      <c r="E229" s="72"/>
      <c r="F229" s="72"/>
      <c r="G229" s="87"/>
      <c r="H229" s="72"/>
      <c r="I229" s="72"/>
      <c r="J229" s="72"/>
      <c r="K229" s="72"/>
      <c r="L229" s="75" t="str">
        <f aca="false">IF(G229="","",IF(L228="",G229,L228+G229))</f>
        <v/>
      </c>
      <c r="M229" s="72"/>
    </row>
    <row r="230" customFormat="false" ht="15.75" hidden="false" customHeight="true" outlineLevel="0" collapsed="false">
      <c r="A230" s="68" t="n">
        <v>226</v>
      </c>
      <c r="B230" s="78"/>
      <c r="C230" s="80"/>
      <c r="D230" s="80"/>
      <c r="E230" s="80"/>
      <c r="F230" s="80"/>
      <c r="G230" s="88"/>
      <c r="H230" s="80"/>
      <c r="I230" s="80"/>
      <c r="J230" s="80"/>
      <c r="K230" s="80"/>
      <c r="L230" s="83" t="str">
        <f aca="false">IF(G230="","",IF(L229="",G230,L229+G230))</f>
        <v/>
      </c>
      <c r="M230" s="80"/>
    </row>
    <row r="231" customFormat="false" ht="15.75" hidden="false" customHeight="true" outlineLevel="0" collapsed="false">
      <c r="A231" s="66" t="n">
        <v>227</v>
      </c>
      <c r="B231" s="70"/>
      <c r="C231" s="72"/>
      <c r="D231" s="72"/>
      <c r="E231" s="72"/>
      <c r="F231" s="72"/>
      <c r="G231" s="87"/>
      <c r="H231" s="72"/>
      <c r="I231" s="72"/>
      <c r="J231" s="72"/>
      <c r="K231" s="72"/>
      <c r="L231" s="75" t="str">
        <f aca="false">IF(G231="","",IF(L230="",G231,L230+G231))</f>
        <v/>
      </c>
      <c r="M231" s="72"/>
    </row>
    <row r="232" customFormat="false" ht="15.75" hidden="false" customHeight="true" outlineLevel="0" collapsed="false">
      <c r="A232" s="68" t="n">
        <v>228</v>
      </c>
      <c r="B232" s="78"/>
      <c r="C232" s="80"/>
      <c r="D232" s="80"/>
      <c r="E232" s="80"/>
      <c r="F232" s="80"/>
      <c r="G232" s="88"/>
      <c r="H232" s="80"/>
      <c r="I232" s="80"/>
      <c r="J232" s="80"/>
      <c r="K232" s="80"/>
      <c r="L232" s="83" t="str">
        <f aca="false">IF(G232="","",IF(L231="",G232,L231+G232))</f>
        <v/>
      </c>
      <c r="M232" s="80"/>
    </row>
    <row r="233" customFormat="false" ht="15.75" hidden="false" customHeight="true" outlineLevel="0" collapsed="false">
      <c r="A233" s="66" t="n">
        <v>229</v>
      </c>
      <c r="B233" s="70"/>
      <c r="C233" s="72"/>
      <c r="D233" s="72"/>
      <c r="E233" s="72"/>
      <c r="F233" s="72"/>
      <c r="G233" s="87"/>
      <c r="H233" s="72"/>
      <c r="I233" s="72"/>
      <c r="J233" s="72"/>
      <c r="K233" s="72"/>
      <c r="L233" s="75" t="str">
        <f aca="false">IF(G233="","",IF(L232="",G233,L232+G233))</f>
        <v/>
      </c>
      <c r="M233" s="72"/>
    </row>
    <row r="234" customFormat="false" ht="15.75" hidden="false" customHeight="true" outlineLevel="0" collapsed="false">
      <c r="A234" s="68" t="n">
        <v>230</v>
      </c>
      <c r="B234" s="78"/>
      <c r="C234" s="80"/>
      <c r="D234" s="80"/>
      <c r="E234" s="80"/>
      <c r="F234" s="80"/>
      <c r="G234" s="88"/>
      <c r="H234" s="80"/>
      <c r="I234" s="80"/>
      <c r="J234" s="80"/>
      <c r="K234" s="80"/>
      <c r="L234" s="83" t="str">
        <f aca="false">IF(G234="","",IF(L233="",G234,L233+G234))</f>
        <v/>
      </c>
      <c r="M234" s="80"/>
    </row>
    <row r="235" customFormat="false" ht="15.75" hidden="false" customHeight="true" outlineLevel="0" collapsed="false">
      <c r="A235" s="66" t="n">
        <v>231</v>
      </c>
      <c r="B235" s="70"/>
      <c r="C235" s="72"/>
      <c r="D235" s="72"/>
      <c r="E235" s="72"/>
      <c r="F235" s="72"/>
      <c r="G235" s="87"/>
      <c r="H235" s="72"/>
      <c r="I235" s="72"/>
      <c r="J235" s="72"/>
      <c r="K235" s="72"/>
      <c r="L235" s="75" t="str">
        <f aca="false">IF(G235="","",IF(L234="",G235,L234+G235))</f>
        <v/>
      </c>
      <c r="M235" s="72"/>
    </row>
    <row r="236" customFormat="false" ht="15.75" hidden="false" customHeight="true" outlineLevel="0" collapsed="false">
      <c r="A236" s="68" t="n">
        <v>232</v>
      </c>
      <c r="B236" s="78"/>
      <c r="C236" s="80"/>
      <c r="D236" s="80"/>
      <c r="E236" s="80"/>
      <c r="F236" s="80"/>
      <c r="G236" s="88"/>
      <c r="H236" s="80"/>
      <c r="I236" s="80"/>
      <c r="J236" s="80"/>
      <c r="K236" s="80"/>
      <c r="L236" s="83" t="str">
        <f aca="false">IF(G236="","",IF(L235="",G236,L235+G236))</f>
        <v/>
      </c>
      <c r="M236" s="80"/>
    </row>
    <row r="237" customFormat="false" ht="15.75" hidden="false" customHeight="true" outlineLevel="0" collapsed="false">
      <c r="A237" s="66" t="n">
        <v>233</v>
      </c>
      <c r="B237" s="70"/>
      <c r="C237" s="72"/>
      <c r="D237" s="72"/>
      <c r="E237" s="72"/>
      <c r="F237" s="72"/>
      <c r="G237" s="87"/>
      <c r="H237" s="72"/>
      <c r="I237" s="72"/>
      <c r="J237" s="72"/>
      <c r="K237" s="72"/>
      <c r="L237" s="75" t="str">
        <f aca="false">IF(G237="","",IF(L236="",G237,L236+G237))</f>
        <v/>
      </c>
      <c r="M237" s="72"/>
    </row>
    <row r="238" customFormat="false" ht="15.75" hidden="false" customHeight="true" outlineLevel="0" collapsed="false">
      <c r="A238" s="68" t="n">
        <v>234</v>
      </c>
      <c r="B238" s="78"/>
      <c r="C238" s="80"/>
      <c r="D238" s="80"/>
      <c r="E238" s="80"/>
      <c r="F238" s="80"/>
      <c r="G238" s="88"/>
      <c r="H238" s="80"/>
      <c r="I238" s="80"/>
      <c r="J238" s="80"/>
      <c r="K238" s="80"/>
      <c r="L238" s="83" t="str">
        <f aca="false">IF(G238="","",IF(L237="",G238,L237+G238))</f>
        <v/>
      </c>
      <c r="M238" s="80"/>
    </row>
    <row r="239" customFormat="false" ht="15.75" hidden="false" customHeight="true" outlineLevel="0" collapsed="false">
      <c r="A239" s="66" t="n">
        <v>235</v>
      </c>
      <c r="B239" s="70"/>
      <c r="C239" s="72"/>
      <c r="D239" s="72"/>
      <c r="E239" s="72"/>
      <c r="F239" s="72"/>
      <c r="G239" s="87"/>
      <c r="H239" s="72"/>
      <c r="I239" s="72"/>
      <c r="J239" s="72"/>
      <c r="K239" s="72"/>
      <c r="L239" s="75" t="str">
        <f aca="false">IF(G239="","",IF(L238="",G239,L238+G239))</f>
        <v/>
      </c>
      <c r="M239" s="72"/>
    </row>
    <row r="240" customFormat="false" ht="15.75" hidden="false" customHeight="true" outlineLevel="0" collapsed="false">
      <c r="A240" s="68" t="n">
        <v>236</v>
      </c>
      <c r="B240" s="78"/>
      <c r="C240" s="80"/>
      <c r="D240" s="80"/>
      <c r="E240" s="80"/>
      <c r="F240" s="80"/>
      <c r="G240" s="88"/>
      <c r="H240" s="80"/>
      <c r="I240" s="80"/>
      <c r="J240" s="80"/>
      <c r="K240" s="80"/>
      <c r="L240" s="83" t="str">
        <f aca="false">IF(G240="","",IF(L239="",G240,L239+G240))</f>
        <v/>
      </c>
      <c r="M240" s="80"/>
    </row>
    <row r="241" customFormat="false" ht="15.75" hidden="false" customHeight="true" outlineLevel="0" collapsed="false">
      <c r="A241" s="66" t="n">
        <v>237</v>
      </c>
      <c r="B241" s="70"/>
      <c r="C241" s="72"/>
      <c r="D241" s="72"/>
      <c r="E241" s="72"/>
      <c r="F241" s="72"/>
      <c r="G241" s="87"/>
      <c r="H241" s="72"/>
      <c r="I241" s="72"/>
      <c r="J241" s="72"/>
      <c r="K241" s="72"/>
      <c r="L241" s="75" t="str">
        <f aca="false">IF(G241="","",IF(L240="",G241,L240+G241))</f>
        <v/>
      </c>
      <c r="M241" s="72"/>
    </row>
    <row r="242" customFormat="false" ht="15.75" hidden="false" customHeight="true" outlineLevel="0" collapsed="false">
      <c r="A242" s="68" t="n">
        <v>238</v>
      </c>
      <c r="B242" s="78"/>
      <c r="C242" s="80"/>
      <c r="D242" s="80"/>
      <c r="E242" s="80"/>
      <c r="F242" s="80"/>
      <c r="G242" s="88"/>
      <c r="H242" s="80"/>
      <c r="I242" s="80"/>
      <c r="J242" s="80"/>
      <c r="K242" s="80"/>
      <c r="L242" s="83" t="str">
        <f aca="false">IF(G242="","",IF(L241="",G242,L241+G242))</f>
        <v/>
      </c>
      <c r="M242" s="80"/>
    </row>
    <row r="243" customFormat="false" ht="15.75" hidden="false" customHeight="true" outlineLevel="0" collapsed="false">
      <c r="A243" s="66" t="n">
        <v>239</v>
      </c>
      <c r="B243" s="70"/>
      <c r="C243" s="72"/>
      <c r="D243" s="72"/>
      <c r="E243" s="72"/>
      <c r="F243" s="72"/>
      <c r="G243" s="87"/>
      <c r="H243" s="72"/>
      <c r="I243" s="72"/>
      <c r="J243" s="72"/>
      <c r="K243" s="72"/>
      <c r="L243" s="75" t="str">
        <f aca="false">IF(G243="","",IF(L242="",G243,L242+G243))</f>
        <v/>
      </c>
      <c r="M243" s="72"/>
    </row>
    <row r="244" customFormat="false" ht="15.75" hidden="false" customHeight="true" outlineLevel="0" collapsed="false">
      <c r="A244" s="68" t="n">
        <v>240</v>
      </c>
      <c r="B244" s="78"/>
      <c r="C244" s="80"/>
      <c r="D244" s="80"/>
      <c r="E244" s="80"/>
      <c r="F244" s="80"/>
      <c r="G244" s="88"/>
      <c r="H244" s="80"/>
      <c r="I244" s="80"/>
      <c r="J244" s="80"/>
      <c r="K244" s="80"/>
      <c r="L244" s="83" t="str">
        <f aca="false">IF(G244="","",IF(L243="",G244,L243+G244))</f>
        <v/>
      </c>
      <c r="M244" s="80"/>
    </row>
    <row r="245" customFormat="false" ht="15.75" hidden="false" customHeight="true" outlineLevel="0" collapsed="false">
      <c r="A245" s="66" t="n">
        <v>241</v>
      </c>
      <c r="B245" s="70"/>
      <c r="C245" s="72"/>
      <c r="D245" s="72"/>
      <c r="E245" s="72"/>
      <c r="F245" s="72"/>
      <c r="G245" s="87"/>
      <c r="H245" s="72"/>
      <c r="I245" s="72"/>
      <c r="J245" s="72"/>
      <c r="K245" s="72"/>
      <c r="L245" s="75" t="str">
        <f aca="false">IF(G245="","",IF(L244="",G245,L244+G245))</f>
        <v/>
      </c>
      <c r="M245" s="72"/>
    </row>
    <row r="246" customFormat="false" ht="15.75" hidden="false" customHeight="true" outlineLevel="0" collapsed="false">
      <c r="A246" s="68" t="n">
        <v>242</v>
      </c>
      <c r="B246" s="78"/>
      <c r="C246" s="80"/>
      <c r="D246" s="80"/>
      <c r="E246" s="80"/>
      <c r="F246" s="80"/>
      <c r="G246" s="88"/>
      <c r="H246" s="80"/>
      <c r="I246" s="80"/>
      <c r="J246" s="80"/>
      <c r="K246" s="80"/>
      <c r="L246" s="83" t="str">
        <f aca="false">IF(G246="","",IF(L245="",G246,L245+G246))</f>
        <v/>
      </c>
      <c r="M246" s="80"/>
    </row>
    <row r="247" customFormat="false" ht="15.75" hidden="false" customHeight="true" outlineLevel="0" collapsed="false">
      <c r="A247" s="66" t="n">
        <v>243</v>
      </c>
      <c r="B247" s="70"/>
      <c r="C247" s="72"/>
      <c r="D247" s="72"/>
      <c r="E247" s="72"/>
      <c r="F247" s="72"/>
      <c r="G247" s="87"/>
      <c r="H247" s="72"/>
      <c r="I247" s="72"/>
      <c r="J247" s="72"/>
      <c r="K247" s="72"/>
      <c r="L247" s="75" t="str">
        <f aca="false">IF(G247="","",IF(L246="",G247,L246+G247))</f>
        <v/>
      </c>
      <c r="M247" s="72"/>
    </row>
    <row r="248" customFormat="false" ht="15.75" hidden="false" customHeight="true" outlineLevel="0" collapsed="false">
      <c r="A248" s="68" t="n">
        <v>244</v>
      </c>
      <c r="B248" s="78"/>
      <c r="C248" s="80"/>
      <c r="D248" s="80"/>
      <c r="E248" s="80"/>
      <c r="F248" s="80"/>
      <c r="G248" s="88"/>
      <c r="H248" s="80"/>
      <c r="I248" s="80"/>
      <c r="J248" s="80"/>
      <c r="K248" s="80"/>
      <c r="L248" s="83" t="str">
        <f aca="false">IF(G248="","",IF(L247="",G248,L247+G248))</f>
        <v/>
      </c>
      <c r="M248" s="80"/>
    </row>
    <row r="249" customFormat="false" ht="15.75" hidden="false" customHeight="true" outlineLevel="0" collapsed="false">
      <c r="A249" s="66" t="n">
        <v>245</v>
      </c>
      <c r="B249" s="70"/>
      <c r="C249" s="72"/>
      <c r="D249" s="72"/>
      <c r="E249" s="72"/>
      <c r="F249" s="72"/>
      <c r="G249" s="87"/>
      <c r="H249" s="72"/>
      <c r="I249" s="72"/>
      <c r="J249" s="72"/>
      <c r="K249" s="72"/>
      <c r="L249" s="75" t="str">
        <f aca="false">IF(G249="","",IF(L248="",G249,L248+G249))</f>
        <v/>
      </c>
      <c r="M249" s="72"/>
    </row>
    <row r="250" customFormat="false" ht="15.75" hidden="false" customHeight="true" outlineLevel="0" collapsed="false">
      <c r="A250" s="68" t="n">
        <v>246</v>
      </c>
      <c r="B250" s="78"/>
      <c r="C250" s="80"/>
      <c r="D250" s="80"/>
      <c r="E250" s="80"/>
      <c r="F250" s="80"/>
      <c r="G250" s="88"/>
      <c r="H250" s="80"/>
      <c r="I250" s="80"/>
      <c r="J250" s="80"/>
      <c r="K250" s="80"/>
      <c r="L250" s="83" t="str">
        <f aca="false">IF(G250="","",IF(L249="",G250,L249+G250))</f>
        <v/>
      </c>
      <c r="M250" s="80"/>
    </row>
    <row r="251" customFormat="false" ht="15.75" hidden="false" customHeight="true" outlineLevel="0" collapsed="false">
      <c r="A251" s="66" t="n">
        <v>247</v>
      </c>
      <c r="B251" s="70"/>
      <c r="C251" s="72"/>
      <c r="D251" s="72"/>
      <c r="E251" s="72"/>
      <c r="F251" s="72"/>
      <c r="G251" s="87"/>
      <c r="H251" s="72"/>
      <c r="I251" s="72"/>
      <c r="J251" s="72"/>
      <c r="K251" s="72"/>
      <c r="L251" s="75" t="str">
        <f aca="false">IF(G251="","",IF(L250="",G251,L250+G251))</f>
        <v/>
      </c>
      <c r="M251" s="72"/>
    </row>
    <row r="252" customFormat="false" ht="15.75" hidden="false" customHeight="true" outlineLevel="0" collapsed="false">
      <c r="A252" s="68" t="n">
        <v>248</v>
      </c>
      <c r="B252" s="78"/>
      <c r="C252" s="80"/>
      <c r="D252" s="80"/>
      <c r="E252" s="80"/>
      <c r="F252" s="80"/>
      <c r="G252" s="88"/>
      <c r="H252" s="80"/>
      <c r="I252" s="80"/>
      <c r="J252" s="80"/>
      <c r="K252" s="80"/>
      <c r="L252" s="83" t="str">
        <f aca="false">IF(G252="","",IF(L251="",G252,L251+G252))</f>
        <v/>
      </c>
      <c r="M252" s="80"/>
    </row>
    <row r="253" customFormat="false" ht="15.75" hidden="false" customHeight="true" outlineLevel="0" collapsed="false">
      <c r="A253" s="66" t="n">
        <v>249</v>
      </c>
      <c r="B253" s="70"/>
      <c r="C253" s="72"/>
      <c r="D253" s="72"/>
      <c r="E253" s="72"/>
      <c r="F253" s="72"/>
      <c r="G253" s="87"/>
      <c r="H253" s="72"/>
      <c r="I253" s="72"/>
      <c r="J253" s="72"/>
      <c r="K253" s="72"/>
      <c r="L253" s="75" t="str">
        <f aca="false">IF(G253="","",IF(L252="",G253,L252+G253))</f>
        <v/>
      </c>
      <c r="M253" s="72"/>
    </row>
    <row r="254" customFormat="false" ht="15.75" hidden="false" customHeight="true" outlineLevel="0" collapsed="false">
      <c r="A254" s="68" t="n">
        <v>250</v>
      </c>
      <c r="B254" s="78"/>
      <c r="C254" s="80"/>
      <c r="D254" s="80"/>
      <c r="E254" s="80"/>
      <c r="F254" s="80"/>
      <c r="G254" s="88"/>
      <c r="H254" s="80"/>
      <c r="I254" s="80"/>
      <c r="J254" s="80"/>
      <c r="K254" s="80"/>
      <c r="L254" s="83" t="str">
        <f aca="false">IF(G254="","",IF(L253="",G254,L253+G254))</f>
        <v/>
      </c>
      <c r="M254" s="80"/>
    </row>
    <row r="255" customFormat="false" ht="15.75" hidden="false" customHeight="true" outlineLevel="0" collapsed="false">
      <c r="A255" s="66" t="n">
        <v>251</v>
      </c>
      <c r="B255" s="70"/>
      <c r="C255" s="72"/>
      <c r="D255" s="72"/>
      <c r="E255" s="72"/>
      <c r="F255" s="72"/>
      <c r="G255" s="87"/>
      <c r="H255" s="72"/>
      <c r="I255" s="72"/>
      <c r="J255" s="72"/>
      <c r="K255" s="72"/>
      <c r="L255" s="75" t="str">
        <f aca="false">IF(G255="","",IF(L254="",G255,L254+G255))</f>
        <v/>
      </c>
      <c r="M255" s="72"/>
    </row>
    <row r="256" customFormat="false" ht="15.75" hidden="false" customHeight="true" outlineLevel="0" collapsed="false">
      <c r="A256" s="68" t="n">
        <v>252</v>
      </c>
      <c r="B256" s="78"/>
      <c r="C256" s="80"/>
      <c r="D256" s="80"/>
      <c r="E256" s="80"/>
      <c r="F256" s="80"/>
      <c r="G256" s="88"/>
      <c r="H256" s="80"/>
      <c r="I256" s="80"/>
      <c r="J256" s="80"/>
      <c r="K256" s="80"/>
      <c r="L256" s="83" t="str">
        <f aca="false">IF(G256="","",IF(L255="",G256,L255+G256))</f>
        <v/>
      </c>
      <c r="M256" s="80"/>
    </row>
    <row r="257" customFormat="false" ht="15.75" hidden="false" customHeight="true" outlineLevel="0" collapsed="false">
      <c r="A257" s="66" t="n">
        <v>253</v>
      </c>
      <c r="B257" s="70"/>
      <c r="C257" s="72"/>
      <c r="D257" s="72"/>
      <c r="E257" s="72"/>
      <c r="F257" s="72"/>
      <c r="G257" s="87"/>
      <c r="H257" s="72"/>
      <c r="I257" s="72"/>
      <c r="J257" s="72"/>
      <c r="K257" s="72"/>
      <c r="L257" s="75" t="str">
        <f aca="false">IF(G257="","",IF(L256="",G257,L256+G257))</f>
        <v/>
      </c>
      <c r="M257" s="72"/>
    </row>
    <row r="258" customFormat="false" ht="15.75" hidden="false" customHeight="true" outlineLevel="0" collapsed="false">
      <c r="A258" s="68" t="n">
        <v>254</v>
      </c>
      <c r="B258" s="78"/>
      <c r="C258" s="80"/>
      <c r="D258" s="80"/>
      <c r="E258" s="80"/>
      <c r="F258" s="80"/>
      <c r="G258" s="88"/>
      <c r="H258" s="80"/>
      <c r="I258" s="80"/>
      <c r="J258" s="80"/>
      <c r="K258" s="80"/>
      <c r="L258" s="83" t="str">
        <f aca="false">IF(G258="","",IF(L257="",G258,L257+G258))</f>
        <v/>
      </c>
      <c r="M258" s="80"/>
    </row>
    <row r="259" customFormat="false" ht="15.75" hidden="false" customHeight="true" outlineLevel="0" collapsed="false">
      <c r="A259" s="66" t="n">
        <v>255</v>
      </c>
      <c r="B259" s="70"/>
      <c r="C259" s="72"/>
      <c r="D259" s="72"/>
      <c r="E259" s="72"/>
      <c r="F259" s="72"/>
      <c r="G259" s="87"/>
      <c r="H259" s="72"/>
      <c r="I259" s="72"/>
      <c r="J259" s="72"/>
      <c r="K259" s="72"/>
      <c r="L259" s="75" t="str">
        <f aca="false">IF(G259="","",IF(L258="",G259,L258+G259))</f>
        <v/>
      </c>
      <c r="M259" s="72"/>
    </row>
    <row r="260" customFormat="false" ht="15.75" hidden="false" customHeight="true" outlineLevel="0" collapsed="false">
      <c r="A260" s="68" t="n">
        <v>256</v>
      </c>
      <c r="B260" s="78"/>
      <c r="C260" s="80"/>
      <c r="D260" s="80"/>
      <c r="E260" s="80"/>
      <c r="F260" s="80"/>
      <c r="G260" s="88"/>
      <c r="H260" s="80"/>
      <c r="I260" s="80"/>
      <c r="J260" s="80"/>
      <c r="K260" s="80"/>
      <c r="L260" s="83" t="str">
        <f aca="false">IF(G260="","",IF(L259="",G260,L259+G260))</f>
        <v/>
      </c>
      <c r="M260" s="80"/>
    </row>
    <row r="261" customFormat="false" ht="15.75" hidden="false" customHeight="true" outlineLevel="0" collapsed="false">
      <c r="A261" s="66" t="n">
        <v>257</v>
      </c>
      <c r="B261" s="70"/>
      <c r="C261" s="72"/>
      <c r="D261" s="72"/>
      <c r="E261" s="72"/>
      <c r="F261" s="72"/>
      <c r="G261" s="87"/>
      <c r="H261" s="72"/>
      <c r="I261" s="72"/>
      <c r="J261" s="72"/>
      <c r="K261" s="72"/>
      <c r="L261" s="75" t="str">
        <f aca="false">IF(G261="","",IF(L260="",G261,L260+G261))</f>
        <v/>
      </c>
      <c r="M261" s="72"/>
    </row>
    <row r="262" customFormat="false" ht="15.75" hidden="false" customHeight="true" outlineLevel="0" collapsed="false">
      <c r="A262" s="68" t="n">
        <v>258</v>
      </c>
      <c r="B262" s="78"/>
      <c r="C262" s="80"/>
      <c r="D262" s="80"/>
      <c r="E262" s="80"/>
      <c r="F262" s="80"/>
      <c r="G262" s="88"/>
      <c r="H262" s="80"/>
      <c r="I262" s="80"/>
      <c r="J262" s="80"/>
      <c r="K262" s="80"/>
      <c r="L262" s="83" t="str">
        <f aca="false">IF(G262="","",IF(L261="",G262,L261+G262))</f>
        <v/>
      </c>
      <c r="M262" s="80"/>
    </row>
    <row r="263" customFormat="false" ht="15.75" hidden="false" customHeight="true" outlineLevel="0" collapsed="false">
      <c r="A263" s="66" t="n">
        <v>259</v>
      </c>
      <c r="B263" s="70"/>
      <c r="C263" s="72"/>
      <c r="D263" s="72"/>
      <c r="E263" s="72"/>
      <c r="F263" s="72"/>
      <c r="G263" s="87"/>
      <c r="H263" s="72"/>
      <c r="I263" s="72"/>
      <c r="J263" s="72"/>
      <c r="K263" s="72"/>
      <c r="L263" s="75" t="str">
        <f aca="false">IF(G263="","",IF(L262="",G263,L262+G263))</f>
        <v/>
      </c>
      <c r="M263" s="72"/>
    </row>
    <row r="264" customFormat="false" ht="15.75" hidden="false" customHeight="true" outlineLevel="0" collapsed="false">
      <c r="A264" s="68" t="n">
        <v>260</v>
      </c>
      <c r="B264" s="78"/>
      <c r="C264" s="80"/>
      <c r="D264" s="80"/>
      <c r="E264" s="80"/>
      <c r="F264" s="80"/>
      <c r="G264" s="88"/>
      <c r="H264" s="80"/>
      <c r="I264" s="80"/>
      <c r="J264" s="80"/>
      <c r="K264" s="80"/>
      <c r="L264" s="83" t="str">
        <f aca="false">IF(G264="","",IF(L263="",G264,L263+G264))</f>
        <v/>
      </c>
      <c r="M264" s="80"/>
    </row>
    <row r="265" customFormat="false" ht="15.75" hidden="false" customHeight="true" outlineLevel="0" collapsed="false">
      <c r="A265" s="66" t="n">
        <v>261</v>
      </c>
      <c r="B265" s="70"/>
      <c r="C265" s="72"/>
      <c r="D265" s="72"/>
      <c r="E265" s="72"/>
      <c r="F265" s="72"/>
      <c r="G265" s="87"/>
      <c r="H265" s="72"/>
      <c r="I265" s="72"/>
      <c r="J265" s="72"/>
      <c r="K265" s="72"/>
      <c r="L265" s="75" t="str">
        <f aca="false">IF(G265="","",IF(L264="",G265,L264+G265))</f>
        <v/>
      </c>
      <c r="M265" s="72"/>
    </row>
    <row r="266" customFormat="false" ht="15.75" hidden="false" customHeight="true" outlineLevel="0" collapsed="false">
      <c r="A266" s="68" t="n">
        <v>262</v>
      </c>
      <c r="B266" s="78"/>
      <c r="C266" s="80"/>
      <c r="D266" s="80"/>
      <c r="E266" s="80"/>
      <c r="F266" s="80"/>
      <c r="G266" s="88"/>
      <c r="H266" s="80"/>
      <c r="I266" s="80"/>
      <c r="J266" s="80"/>
      <c r="K266" s="80"/>
      <c r="L266" s="83" t="str">
        <f aca="false">IF(G266="","",IF(L265="",G266,L265+G266))</f>
        <v/>
      </c>
      <c r="M266" s="80"/>
    </row>
    <row r="267" customFormat="false" ht="15.75" hidden="false" customHeight="true" outlineLevel="0" collapsed="false">
      <c r="A267" s="66" t="n">
        <v>263</v>
      </c>
      <c r="B267" s="70"/>
      <c r="C267" s="72"/>
      <c r="D267" s="72"/>
      <c r="E267" s="72"/>
      <c r="F267" s="72"/>
      <c r="G267" s="87"/>
      <c r="H267" s="72"/>
      <c r="I267" s="72"/>
      <c r="J267" s="72"/>
      <c r="K267" s="72"/>
      <c r="L267" s="75" t="str">
        <f aca="false">IF(G267="","",IF(L266="",G267,L266+G267))</f>
        <v/>
      </c>
      <c r="M267" s="72"/>
    </row>
    <row r="268" customFormat="false" ht="15.75" hidden="false" customHeight="true" outlineLevel="0" collapsed="false">
      <c r="A268" s="68" t="n">
        <v>264</v>
      </c>
      <c r="B268" s="78"/>
      <c r="C268" s="80"/>
      <c r="D268" s="80"/>
      <c r="E268" s="80"/>
      <c r="F268" s="80"/>
      <c r="G268" s="88"/>
      <c r="H268" s="80"/>
      <c r="I268" s="80"/>
      <c r="J268" s="80"/>
      <c r="K268" s="80"/>
      <c r="L268" s="83" t="str">
        <f aca="false">IF(G268="","",IF(L267="",G268,L267+G268))</f>
        <v/>
      </c>
      <c r="M268" s="80"/>
    </row>
    <row r="269" customFormat="false" ht="15.75" hidden="false" customHeight="true" outlineLevel="0" collapsed="false">
      <c r="A269" s="66" t="n">
        <v>265</v>
      </c>
      <c r="B269" s="70"/>
      <c r="C269" s="72"/>
      <c r="D269" s="72"/>
      <c r="E269" s="72"/>
      <c r="F269" s="72"/>
      <c r="G269" s="87"/>
      <c r="H269" s="72"/>
      <c r="I269" s="72"/>
      <c r="J269" s="72"/>
      <c r="K269" s="72"/>
      <c r="L269" s="75" t="str">
        <f aca="false">IF(G269="","",IF(L268="",G269,L268+G269))</f>
        <v/>
      </c>
      <c r="M269" s="72"/>
    </row>
    <row r="270" customFormat="false" ht="15.75" hidden="false" customHeight="true" outlineLevel="0" collapsed="false">
      <c r="A270" s="68" t="n">
        <v>266</v>
      </c>
      <c r="B270" s="78"/>
      <c r="C270" s="80"/>
      <c r="D270" s="80"/>
      <c r="E270" s="80"/>
      <c r="F270" s="80"/>
      <c r="G270" s="88"/>
      <c r="H270" s="80"/>
      <c r="I270" s="80"/>
      <c r="J270" s="80"/>
      <c r="K270" s="80"/>
      <c r="L270" s="83" t="str">
        <f aca="false">IF(G270="","",IF(L269="",G270,L269+G270))</f>
        <v/>
      </c>
      <c r="M270" s="80"/>
    </row>
    <row r="271" customFormat="false" ht="15.75" hidden="false" customHeight="true" outlineLevel="0" collapsed="false">
      <c r="A271" s="66" t="n">
        <v>267</v>
      </c>
      <c r="B271" s="70"/>
      <c r="C271" s="72"/>
      <c r="D271" s="72"/>
      <c r="E271" s="72"/>
      <c r="F271" s="72"/>
      <c r="G271" s="87"/>
      <c r="H271" s="72"/>
      <c r="I271" s="72"/>
      <c r="J271" s="72"/>
      <c r="K271" s="72"/>
      <c r="L271" s="75" t="str">
        <f aca="false">IF(G271="","",IF(L270="",G271,L270+G271))</f>
        <v/>
      </c>
      <c r="M271" s="72"/>
    </row>
    <row r="272" customFormat="false" ht="15.75" hidden="false" customHeight="true" outlineLevel="0" collapsed="false">
      <c r="A272" s="68" t="n">
        <v>268</v>
      </c>
      <c r="B272" s="78"/>
      <c r="C272" s="80"/>
      <c r="D272" s="80"/>
      <c r="E272" s="80"/>
      <c r="F272" s="80"/>
      <c r="G272" s="88"/>
      <c r="H272" s="80"/>
      <c r="I272" s="80"/>
      <c r="J272" s="80"/>
      <c r="K272" s="80"/>
      <c r="L272" s="83" t="str">
        <f aca="false">IF(G272="","",IF(L271="",G272,L271+G272))</f>
        <v/>
      </c>
      <c r="M272" s="80"/>
    </row>
    <row r="273" customFormat="false" ht="15.75" hidden="false" customHeight="true" outlineLevel="0" collapsed="false">
      <c r="A273" s="66" t="n">
        <v>269</v>
      </c>
      <c r="B273" s="70"/>
      <c r="C273" s="72"/>
      <c r="D273" s="72"/>
      <c r="E273" s="72"/>
      <c r="F273" s="72"/>
      <c r="G273" s="87"/>
      <c r="H273" s="72"/>
      <c r="I273" s="72"/>
      <c r="J273" s="72"/>
      <c r="K273" s="72"/>
      <c r="L273" s="75" t="str">
        <f aca="false">IF(G273="","",IF(L272="",G273,L272+G273))</f>
        <v/>
      </c>
      <c r="M273" s="72"/>
    </row>
    <row r="274" customFormat="false" ht="15.75" hidden="false" customHeight="true" outlineLevel="0" collapsed="false">
      <c r="A274" s="68" t="n">
        <v>270</v>
      </c>
      <c r="B274" s="78"/>
      <c r="C274" s="80"/>
      <c r="D274" s="80"/>
      <c r="E274" s="80"/>
      <c r="F274" s="80"/>
      <c r="G274" s="88"/>
      <c r="H274" s="80"/>
      <c r="I274" s="80"/>
      <c r="J274" s="80"/>
      <c r="K274" s="80"/>
      <c r="L274" s="83" t="str">
        <f aca="false">IF(G274="","",IF(L273="",G274,L273+G274))</f>
        <v/>
      </c>
      <c r="M274" s="80"/>
    </row>
    <row r="275" customFormat="false" ht="15.75" hidden="false" customHeight="true" outlineLevel="0" collapsed="false">
      <c r="A275" s="66" t="n">
        <v>271</v>
      </c>
      <c r="B275" s="70"/>
      <c r="C275" s="72"/>
      <c r="D275" s="72"/>
      <c r="E275" s="72"/>
      <c r="F275" s="72"/>
      <c r="G275" s="87"/>
      <c r="H275" s="72"/>
      <c r="I275" s="72"/>
      <c r="J275" s="72"/>
      <c r="K275" s="72"/>
      <c r="L275" s="75" t="str">
        <f aca="false">IF(G275="","",IF(L274="",G275,L274+G275))</f>
        <v/>
      </c>
      <c r="M275" s="72"/>
    </row>
    <row r="276" customFormat="false" ht="15.75" hidden="false" customHeight="true" outlineLevel="0" collapsed="false">
      <c r="A276" s="68" t="n">
        <v>272</v>
      </c>
      <c r="B276" s="78"/>
      <c r="C276" s="80"/>
      <c r="D276" s="80"/>
      <c r="E276" s="80"/>
      <c r="F276" s="80"/>
      <c r="G276" s="88"/>
      <c r="H276" s="80"/>
      <c r="I276" s="80"/>
      <c r="J276" s="80"/>
      <c r="K276" s="80"/>
      <c r="L276" s="83" t="str">
        <f aca="false">IF(G276="","",IF(L275="",G276,L275+G276))</f>
        <v/>
      </c>
      <c r="M276" s="80"/>
    </row>
    <row r="277" customFormat="false" ht="15.75" hidden="false" customHeight="true" outlineLevel="0" collapsed="false">
      <c r="A277" s="66" t="n">
        <v>273</v>
      </c>
      <c r="B277" s="70"/>
      <c r="C277" s="72"/>
      <c r="D277" s="72"/>
      <c r="E277" s="72"/>
      <c r="F277" s="72"/>
      <c r="G277" s="87"/>
      <c r="H277" s="72"/>
      <c r="I277" s="72"/>
      <c r="J277" s="72"/>
      <c r="K277" s="72"/>
      <c r="L277" s="75" t="str">
        <f aca="false">IF(G277="","",IF(L276="",G277,L276+G277))</f>
        <v/>
      </c>
      <c r="M277" s="72"/>
    </row>
    <row r="278" customFormat="false" ht="15.75" hidden="false" customHeight="true" outlineLevel="0" collapsed="false">
      <c r="A278" s="68" t="n">
        <v>274</v>
      </c>
      <c r="B278" s="78"/>
      <c r="C278" s="80"/>
      <c r="D278" s="80"/>
      <c r="E278" s="80"/>
      <c r="F278" s="80"/>
      <c r="G278" s="88"/>
      <c r="H278" s="80"/>
      <c r="I278" s="80"/>
      <c r="J278" s="80"/>
      <c r="K278" s="80"/>
      <c r="L278" s="83" t="str">
        <f aca="false">IF(G278="","",IF(L277="",G278,L277+G278))</f>
        <v/>
      </c>
      <c r="M278" s="80"/>
    </row>
    <row r="279" customFormat="false" ht="15.75" hidden="false" customHeight="true" outlineLevel="0" collapsed="false">
      <c r="A279" s="66" t="n">
        <v>275</v>
      </c>
      <c r="B279" s="70"/>
      <c r="C279" s="72"/>
      <c r="D279" s="72"/>
      <c r="E279" s="72"/>
      <c r="F279" s="72"/>
      <c r="G279" s="87"/>
      <c r="H279" s="72"/>
      <c r="I279" s="72"/>
      <c r="J279" s="72"/>
      <c r="K279" s="72"/>
      <c r="L279" s="75" t="str">
        <f aca="false">IF(G279="","",IF(L278="",G279,L278+G279))</f>
        <v/>
      </c>
      <c r="M279" s="72"/>
    </row>
    <row r="280" customFormat="false" ht="15.75" hidden="false" customHeight="true" outlineLevel="0" collapsed="false">
      <c r="A280" s="68" t="n">
        <v>276</v>
      </c>
      <c r="B280" s="78"/>
      <c r="C280" s="80"/>
      <c r="D280" s="80"/>
      <c r="E280" s="80"/>
      <c r="F280" s="80"/>
      <c r="G280" s="88"/>
      <c r="H280" s="80"/>
      <c r="I280" s="80"/>
      <c r="J280" s="80"/>
      <c r="K280" s="80"/>
      <c r="L280" s="83" t="str">
        <f aca="false">IF(G280="","",IF(L279="",G280,L279+G280))</f>
        <v/>
      </c>
      <c r="M280" s="80"/>
    </row>
    <row r="281" customFormat="false" ht="15.75" hidden="false" customHeight="true" outlineLevel="0" collapsed="false">
      <c r="A281" s="66" t="n">
        <v>277</v>
      </c>
      <c r="B281" s="70"/>
      <c r="C281" s="72"/>
      <c r="D281" s="72"/>
      <c r="E281" s="72"/>
      <c r="F281" s="72"/>
      <c r="G281" s="87"/>
      <c r="H281" s="72"/>
      <c r="I281" s="72"/>
      <c r="J281" s="72"/>
      <c r="K281" s="72"/>
      <c r="L281" s="75" t="str">
        <f aca="false">IF(G281="","",IF(L280="",G281,L280+G281))</f>
        <v/>
      </c>
      <c r="M281" s="72"/>
    </row>
    <row r="282" customFormat="false" ht="15.75" hidden="false" customHeight="true" outlineLevel="0" collapsed="false">
      <c r="A282" s="68" t="n">
        <v>278</v>
      </c>
      <c r="B282" s="78"/>
      <c r="C282" s="80"/>
      <c r="D282" s="80"/>
      <c r="E282" s="80"/>
      <c r="F282" s="80"/>
      <c r="G282" s="88"/>
      <c r="H282" s="80"/>
      <c r="I282" s="80"/>
      <c r="J282" s="80"/>
      <c r="K282" s="80"/>
      <c r="L282" s="83" t="str">
        <f aca="false">IF(G282="","",IF(L281="",G282,L281+G282))</f>
        <v/>
      </c>
      <c r="M282" s="80"/>
    </row>
    <row r="283" customFormat="false" ht="15.75" hidden="false" customHeight="true" outlineLevel="0" collapsed="false">
      <c r="A283" s="66" t="n">
        <v>279</v>
      </c>
      <c r="B283" s="70"/>
      <c r="C283" s="72"/>
      <c r="D283" s="72"/>
      <c r="E283" s="72"/>
      <c r="F283" s="72"/>
      <c r="G283" s="87"/>
      <c r="H283" s="72"/>
      <c r="I283" s="72"/>
      <c r="J283" s="72"/>
      <c r="K283" s="72"/>
      <c r="L283" s="75" t="str">
        <f aca="false">IF(G283="","",IF(L282="",G283,L282+G283))</f>
        <v/>
      </c>
      <c r="M283" s="72"/>
    </row>
    <row r="284" customFormat="false" ht="15.75" hidden="false" customHeight="true" outlineLevel="0" collapsed="false">
      <c r="A284" s="68" t="n">
        <v>280</v>
      </c>
      <c r="B284" s="78"/>
      <c r="C284" s="80"/>
      <c r="D284" s="80"/>
      <c r="E284" s="80"/>
      <c r="F284" s="80"/>
      <c r="G284" s="88"/>
      <c r="H284" s="80"/>
      <c r="I284" s="80"/>
      <c r="J284" s="80"/>
      <c r="K284" s="80"/>
      <c r="L284" s="83" t="str">
        <f aca="false">IF(G284="","",IF(L283="",G284,L283+G284))</f>
        <v/>
      </c>
      <c r="M284" s="80"/>
    </row>
    <row r="285" customFormat="false" ht="15.75" hidden="false" customHeight="true" outlineLevel="0" collapsed="false">
      <c r="A285" s="66" t="n">
        <v>281</v>
      </c>
      <c r="B285" s="70"/>
      <c r="C285" s="72"/>
      <c r="D285" s="72"/>
      <c r="E285" s="72"/>
      <c r="F285" s="72"/>
      <c r="G285" s="87"/>
      <c r="H285" s="72"/>
      <c r="I285" s="72"/>
      <c r="J285" s="72"/>
      <c r="K285" s="72"/>
      <c r="L285" s="75" t="str">
        <f aca="false">IF(G285="","",IF(L284="",G285,L284+G285))</f>
        <v/>
      </c>
      <c r="M285" s="72"/>
    </row>
    <row r="286" customFormat="false" ht="15.75" hidden="false" customHeight="true" outlineLevel="0" collapsed="false">
      <c r="A286" s="68" t="n">
        <v>282</v>
      </c>
      <c r="B286" s="78"/>
      <c r="C286" s="80"/>
      <c r="D286" s="80"/>
      <c r="E286" s="80"/>
      <c r="F286" s="80"/>
      <c r="G286" s="88"/>
      <c r="H286" s="80"/>
      <c r="I286" s="80"/>
      <c r="J286" s="80"/>
      <c r="K286" s="80"/>
      <c r="L286" s="83" t="str">
        <f aca="false">IF(G286="","",IF(L285="",G286,L285+G286))</f>
        <v/>
      </c>
      <c r="M286" s="80"/>
    </row>
    <row r="287" customFormat="false" ht="15.75" hidden="false" customHeight="true" outlineLevel="0" collapsed="false">
      <c r="A287" s="66" t="n">
        <v>283</v>
      </c>
      <c r="B287" s="70"/>
      <c r="C287" s="72"/>
      <c r="D287" s="72"/>
      <c r="E287" s="72"/>
      <c r="F287" s="72"/>
      <c r="G287" s="87"/>
      <c r="H287" s="72"/>
      <c r="I287" s="72"/>
      <c r="J287" s="72"/>
      <c r="K287" s="72"/>
      <c r="L287" s="75" t="str">
        <f aca="false">IF(G287="","",IF(L286="",G287,L286+G287))</f>
        <v/>
      </c>
      <c r="M287" s="72"/>
    </row>
    <row r="288" customFormat="false" ht="15.75" hidden="false" customHeight="true" outlineLevel="0" collapsed="false">
      <c r="A288" s="68" t="n">
        <v>284</v>
      </c>
      <c r="B288" s="78"/>
      <c r="C288" s="80"/>
      <c r="D288" s="80"/>
      <c r="E288" s="80"/>
      <c r="F288" s="80"/>
      <c r="G288" s="88"/>
      <c r="H288" s="80"/>
      <c r="I288" s="80"/>
      <c r="J288" s="80"/>
      <c r="K288" s="80"/>
      <c r="L288" s="83" t="str">
        <f aca="false">IF(G288="","",IF(L287="",G288,L287+G288))</f>
        <v/>
      </c>
      <c r="M288" s="80"/>
    </row>
    <row r="289" customFormat="false" ht="15.75" hidden="false" customHeight="true" outlineLevel="0" collapsed="false">
      <c r="A289" s="66" t="n">
        <v>285</v>
      </c>
      <c r="B289" s="70"/>
      <c r="C289" s="72"/>
      <c r="D289" s="72"/>
      <c r="E289" s="72"/>
      <c r="F289" s="72"/>
      <c r="G289" s="87"/>
      <c r="H289" s="72"/>
      <c r="I289" s="72"/>
      <c r="J289" s="72"/>
      <c r="K289" s="72"/>
      <c r="L289" s="75" t="str">
        <f aca="false">IF(G289="","",IF(L288="",G289,L288+G289))</f>
        <v/>
      </c>
      <c r="M289" s="72"/>
    </row>
    <row r="290" customFormat="false" ht="15.75" hidden="false" customHeight="true" outlineLevel="0" collapsed="false">
      <c r="A290" s="68" t="n">
        <v>286</v>
      </c>
      <c r="B290" s="78"/>
      <c r="C290" s="80"/>
      <c r="D290" s="80"/>
      <c r="E290" s="80"/>
      <c r="F290" s="80"/>
      <c r="G290" s="88"/>
      <c r="H290" s="80"/>
      <c r="I290" s="80"/>
      <c r="J290" s="80"/>
      <c r="K290" s="80"/>
      <c r="L290" s="83" t="str">
        <f aca="false">IF(G290="","",IF(L289="",G290,L289+G290))</f>
        <v/>
      </c>
      <c r="M290" s="80"/>
    </row>
    <row r="291" customFormat="false" ht="15.75" hidden="false" customHeight="true" outlineLevel="0" collapsed="false">
      <c r="A291" s="66" t="n">
        <v>287</v>
      </c>
      <c r="B291" s="70"/>
      <c r="C291" s="72"/>
      <c r="D291" s="72"/>
      <c r="E291" s="72"/>
      <c r="F291" s="72"/>
      <c r="G291" s="87"/>
      <c r="H291" s="72"/>
      <c r="I291" s="72"/>
      <c r="J291" s="72"/>
      <c r="K291" s="72"/>
      <c r="L291" s="75" t="str">
        <f aca="false">IF(G291="","",IF(L290="",G291,L290+G291))</f>
        <v/>
      </c>
      <c r="M291" s="72"/>
    </row>
    <row r="292" customFormat="false" ht="15.75" hidden="false" customHeight="true" outlineLevel="0" collapsed="false">
      <c r="A292" s="68" t="n">
        <v>288</v>
      </c>
      <c r="B292" s="78"/>
      <c r="C292" s="80"/>
      <c r="D292" s="80"/>
      <c r="E292" s="80"/>
      <c r="F292" s="80"/>
      <c r="G292" s="88"/>
      <c r="H292" s="80"/>
      <c r="I292" s="80"/>
      <c r="J292" s="80"/>
      <c r="K292" s="80"/>
      <c r="L292" s="83" t="str">
        <f aca="false">IF(G292="","",IF(L291="",G292,L291+G292))</f>
        <v/>
      </c>
      <c r="M292" s="80"/>
    </row>
    <row r="293" customFormat="false" ht="15.75" hidden="false" customHeight="true" outlineLevel="0" collapsed="false">
      <c r="A293" s="66" t="n">
        <v>289</v>
      </c>
      <c r="B293" s="70"/>
      <c r="C293" s="72"/>
      <c r="D293" s="72"/>
      <c r="E293" s="72"/>
      <c r="F293" s="72"/>
      <c r="G293" s="87"/>
      <c r="H293" s="72"/>
      <c r="I293" s="72"/>
      <c r="J293" s="72"/>
      <c r="K293" s="72"/>
      <c r="L293" s="75" t="str">
        <f aca="false">IF(G293="","",IF(L292="",G293,L292+G293))</f>
        <v/>
      </c>
      <c r="M293" s="72"/>
    </row>
    <row r="294" customFormat="false" ht="15.75" hidden="false" customHeight="true" outlineLevel="0" collapsed="false">
      <c r="A294" s="68" t="n">
        <v>290</v>
      </c>
      <c r="B294" s="78"/>
      <c r="C294" s="80"/>
      <c r="D294" s="80"/>
      <c r="E294" s="80"/>
      <c r="F294" s="80"/>
      <c r="G294" s="88"/>
      <c r="H294" s="80"/>
      <c r="I294" s="80"/>
      <c r="J294" s="80"/>
      <c r="K294" s="80"/>
      <c r="L294" s="83" t="str">
        <f aca="false">IF(G294="","",IF(L293="",G294,L293+G294))</f>
        <v/>
      </c>
      <c r="M294" s="80"/>
    </row>
    <row r="295" customFormat="false" ht="15.75" hidden="false" customHeight="true" outlineLevel="0" collapsed="false">
      <c r="A295" s="66" t="n">
        <v>291</v>
      </c>
      <c r="B295" s="70"/>
      <c r="C295" s="72"/>
      <c r="D295" s="72"/>
      <c r="E295" s="72"/>
      <c r="F295" s="72"/>
      <c r="G295" s="87"/>
      <c r="H295" s="72"/>
      <c r="I295" s="72"/>
      <c r="J295" s="72"/>
      <c r="K295" s="72"/>
      <c r="L295" s="75" t="str">
        <f aca="false">IF(G295="","",IF(L294="",G295,L294+G295))</f>
        <v/>
      </c>
      <c r="M295" s="72"/>
    </row>
    <row r="296" customFormat="false" ht="15.75" hidden="false" customHeight="true" outlineLevel="0" collapsed="false">
      <c r="A296" s="68" t="n">
        <v>292</v>
      </c>
      <c r="B296" s="78"/>
      <c r="C296" s="80"/>
      <c r="D296" s="80"/>
      <c r="E296" s="80"/>
      <c r="F296" s="80"/>
      <c r="G296" s="88"/>
      <c r="H296" s="80"/>
      <c r="I296" s="80"/>
      <c r="J296" s="80"/>
      <c r="K296" s="80"/>
      <c r="L296" s="83" t="str">
        <f aca="false">IF(G296="","",IF(L295="",G296,L295+G296))</f>
        <v/>
      </c>
      <c r="M296" s="80"/>
    </row>
    <row r="297" customFormat="false" ht="15.75" hidden="false" customHeight="true" outlineLevel="0" collapsed="false">
      <c r="A297" s="66" t="n">
        <v>293</v>
      </c>
      <c r="B297" s="70"/>
      <c r="C297" s="72"/>
      <c r="D297" s="72"/>
      <c r="E297" s="72"/>
      <c r="F297" s="72"/>
      <c r="G297" s="87"/>
      <c r="H297" s="72"/>
      <c r="I297" s="72"/>
      <c r="J297" s="72"/>
      <c r="K297" s="72"/>
      <c r="L297" s="75" t="str">
        <f aca="false">IF(G297="","",IF(L296="",G297,L296+G297))</f>
        <v/>
      </c>
      <c r="M297" s="72"/>
    </row>
    <row r="298" customFormat="false" ht="15.75" hidden="false" customHeight="true" outlineLevel="0" collapsed="false">
      <c r="A298" s="68" t="n">
        <v>294</v>
      </c>
      <c r="B298" s="78"/>
      <c r="C298" s="80"/>
      <c r="D298" s="80"/>
      <c r="E298" s="80"/>
      <c r="F298" s="80"/>
      <c r="G298" s="88"/>
      <c r="H298" s="80"/>
      <c r="I298" s="80"/>
      <c r="J298" s="80"/>
      <c r="K298" s="80"/>
      <c r="L298" s="83" t="str">
        <f aca="false">IF(G298="","",IF(L297="",G298,L297+G298))</f>
        <v/>
      </c>
      <c r="M298" s="80"/>
    </row>
    <row r="299" customFormat="false" ht="15.75" hidden="false" customHeight="true" outlineLevel="0" collapsed="false">
      <c r="A299" s="66" t="n">
        <v>295</v>
      </c>
      <c r="B299" s="70"/>
      <c r="C299" s="72"/>
      <c r="D299" s="72"/>
      <c r="E299" s="72"/>
      <c r="F299" s="72"/>
      <c r="G299" s="87"/>
      <c r="H299" s="72"/>
      <c r="I299" s="72"/>
      <c r="J299" s="72"/>
      <c r="K299" s="72"/>
      <c r="L299" s="75" t="str">
        <f aca="false">IF(G299="","",IF(L298="",G299,L298+G299))</f>
        <v/>
      </c>
      <c r="M299" s="72"/>
    </row>
    <row r="300" customFormat="false" ht="15.75" hidden="false" customHeight="true" outlineLevel="0" collapsed="false">
      <c r="A300" s="68" t="n">
        <v>296</v>
      </c>
      <c r="B300" s="78"/>
      <c r="C300" s="80"/>
      <c r="D300" s="80"/>
      <c r="E300" s="80"/>
      <c r="F300" s="80"/>
      <c r="G300" s="88"/>
      <c r="H300" s="80"/>
      <c r="I300" s="80"/>
      <c r="J300" s="80"/>
      <c r="K300" s="80"/>
      <c r="L300" s="83" t="str">
        <f aca="false">IF(G300="","",IF(L299="",G300,L299+G300))</f>
        <v/>
      </c>
      <c r="M300" s="80"/>
    </row>
    <row r="301" customFormat="false" ht="15.75" hidden="false" customHeight="true" outlineLevel="0" collapsed="false">
      <c r="A301" s="66" t="n">
        <v>297</v>
      </c>
      <c r="B301" s="70"/>
      <c r="C301" s="72"/>
      <c r="D301" s="72"/>
      <c r="E301" s="72"/>
      <c r="F301" s="72"/>
      <c r="G301" s="87"/>
      <c r="H301" s="72"/>
      <c r="I301" s="72"/>
      <c r="J301" s="72"/>
      <c r="K301" s="72"/>
      <c r="L301" s="75" t="str">
        <f aca="false">IF(G301="","",IF(L300="",G301,L300+G301))</f>
        <v/>
      </c>
      <c r="M301" s="72"/>
    </row>
    <row r="302" customFormat="false" ht="15.75" hidden="false" customHeight="true" outlineLevel="0" collapsed="false">
      <c r="A302" s="68" t="n">
        <v>298</v>
      </c>
      <c r="B302" s="78"/>
      <c r="C302" s="80"/>
      <c r="D302" s="80"/>
      <c r="E302" s="80"/>
      <c r="F302" s="80"/>
      <c r="G302" s="88"/>
      <c r="H302" s="80"/>
      <c r="I302" s="80"/>
      <c r="J302" s="80"/>
      <c r="K302" s="80"/>
      <c r="L302" s="83" t="str">
        <f aca="false">IF(G302="","",IF(L301="",G302,L301+G302))</f>
        <v/>
      </c>
      <c r="M302" s="80"/>
    </row>
    <row r="303" customFormat="false" ht="15.75" hidden="false" customHeight="true" outlineLevel="0" collapsed="false">
      <c r="A303" s="66" t="n">
        <v>299</v>
      </c>
      <c r="B303" s="70"/>
      <c r="C303" s="72"/>
      <c r="D303" s="72"/>
      <c r="E303" s="72"/>
      <c r="F303" s="72"/>
      <c r="G303" s="87"/>
      <c r="H303" s="72"/>
      <c r="I303" s="72"/>
      <c r="J303" s="72"/>
      <c r="K303" s="72"/>
      <c r="L303" s="75" t="str">
        <f aca="false">IF(G303="","",IF(L302="",G303,L302+G303))</f>
        <v/>
      </c>
      <c r="M303" s="72"/>
    </row>
    <row r="304" customFormat="false" ht="15.75" hidden="false" customHeight="true" outlineLevel="0" collapsed="false">
      <c r="A304" s="68" t="n">
        <v>300</v>
      </c>
      <c r="B304" s="78"/>
      <c r="C304" s="80"/>
      <c r="D304" s="80"/>
      <c r="E304" s="80"/>
      <c r="F304" s="80"/>
      <c r="G304" s="88"/>
      <c r="H304" s="80"/>
      <c r="I304" s="80"/>
      <c r="J304" s="80"/>
      <c r="K304" s="80"/>
      <c r="L304" s="83" t="str">
        <f aca="false">IF(G304="","",IF(L303="",G304,L303+G304))</f>
        <v/>
      </c>
      <c r="M304" s="80"/>
    </row>
    <row r="305" customFormat="false" ht="15.75" hidden="false" customHeight="true" outlineLevel="0" collapsed="false">
      <c r="A305" s="66" t="n">
        <v>301</v>
      </c>
      <c r="B305" s="70"/>
      <c r="C305" s="72"/>
      <c r="D305" s="72"/>
      <c r="E305" s="72"/>
      <c r="F305" s="72"/>
      <c r="G305" s="87"/>
      <c r="H305" s="72"/>
      <c r="I305" s="72"/>
      <c r="J305" s="72"/>
      <c r="K305" s="72"/>
      <c r="L305" s="75" t="str">
        <f aca="false">IF(G305="","",IF(L304="",G305,L304+G305))</f>
        <v/>
      </c>
      <c r="M305" s="72"/>
    </row>
    <row r="306" customFormat="false" ht="15.75" hidden="false" customHeight="true" outlineLevel="0" collapsed="false">
      <c r="A306" s="68" t="n">
        <v>302</v>
      </c>
      <c r="B306" s="78"/>
      <c r="C306" s="80"/>
      <c r="D306" s="80"/>
      <c r="E306" s="80"/>
      <c r="F306" s="80"/>
      <c r="G306" s="88"/>
      <c r="H306" s="80"/>
      <c r="I306" s="80"/>
      <c r="J306" s="80"/>
      <c r="K306" s="80"/>
      <c r="L306" s="83" t="str">
        <f aca="false">IF(G306="","",IF(L305="",G306,L305+G306))</f>
        <v/>
      </c>
      <c r="M306" s="80"/>
    </row>
    <row r="307" customFormat="false" ht="15.75" hidden="false" customHeight="true" outlineLevel="0" collapsed="false">
      <c r="A307" s="66" t="n">
        <v>303</v>
      </c>
      <c r="B307" s="70"/>
      <c r="C307" s="72"/>
      <c r="D307" s="72"/>
      <c r="E307" s="72"/>
      <c r="F307" s="72"/>
      <c r="G307" s="87"/>
      <c r="H307" s="72"/>
      <c r="I307" s="72"/>
      <c r="J307" s="72"/>
      <c r="K307" s="72"/>
      <c r="L307" s="75" t="str">
        <f aca="false">IF(G307="","",IF(L306="",G307,L306+G307))</f>
        <v/>
      </c>
      <c r="M307" s="72"/>
    </row>
    <row r="308" customFormat="false" ht="15.75" hidden="false" customHeight="true" outlineLevel="0" collapsed="false">
      <c r="A308" s="68" t="n">
        <v>304</v>
      </c>
      <c r="B308" s="78"/>
      <c r="C308" s="80"/>
      <c r="D308" s="80"/>
      <c r="E308" s="80"/>
      <c r="F308" s="80"/>
      <c r="G308" s="88"/>
      <c r="H308" s="80"/>
      <c r="I308" s="80"/>
      <c r="J308" s="80"/>
      <c r="K308" s="80"/>
      <c r="L308" s="83" t="str">
        <f aca="false">IF(G308="","",IF(L307="",G308,L307+G308))</f>
        <v/>
      </c>
      <c r="M308" s="80"/>
    </row>
    <row r="309" customFormat="false" ht="15.75" hidden="false" customHeight="true" outlineLevel="0" collapsed="false">
      <c r="A309" s="66" t="n">
        <v>305</v>
      </c>
      <c r="B309" s="70"/>
      <c r="C309" s="72"/>
      <c r="D309" s="72"/>
      <c r="E309" s="72"/>
      <c r="F309" s="72"/>
      <c r="G309" s="87"/>
      <c r="H309" s="72"/>
      <c r="I309" s="72"/>
      <c r="J309" s="72"/>
      <c r="K309" s="72"/>
      <c r="L309" s="75" t="str">
        <f aca="false">IF(G309="","",IF(L308="",G309,L308+G309))</f>
        <v/>
      </c>
      <c r="M309" s="72"/>
    </row>
    <row r="310" customFormat="false" ht="15.75" hidden="false" customHeight="true" outlineLevel="0" collapsed="false">
      <c r="A310" s="68" t="n">
        <v>306</v>
      </c>
      <c r="B310" s="78"/>
      <c r="C310" s="80"/>
      <c r="D310" s="80"/>
      <c r="E310" s="80"/>
      <c r="F310" s="80"/>
      <c r="G310" s="88"/>
      <c r="H310" s="80"/>
      <c r="I310" s="80"/>
      <c r="J310" s="80"/>
      <c r="K310" s="80"/>
      <c r="L310" s="83" t="str">
        <f aca="false">IF(G310="","",IF(L309="",G310,L309+G310))</f>
        <v/>
      </c>
      <c r="M310" s="80"/>
    </row>
    <row r="311" customFormat="false" ht="15.75" hidden="false" customHeight="true" outlineLevel="0" collapsed="false">
      <c r="A311" s="66" t="n">
        <v>307</v>
      </c>
      <c r="B311" s="70"/>
      <c r="C311" s="72"/>
      <c r="D311" s="72"/>
      <c r="E311" s="72"/>
      <c r="F311" s="72"/>
      <c r="G311" s="87"/>
      <c r="H311" s="72"/>
      <c r="I311" s="72"/>
      <c r="J311" s="72"/>
      <c r="K311" s="72"/>
      <c r="L311" s="75" t="str">
        <f aca="false">IF(G311="","",IF(L310="",G311,L310+G311))</f>
        <v/>
      </c>
      <c r="M311" s="72"/>
    </row>
    <row r="312" customFormat="false" ht="15.75" hidden="false" customHeight="true" outlineLevel="0" collapsed="false">
      <c r="A312" s="68" t="n">
        <v>308</v>
      </c>
      <c r="B312" s="78"/>
      <c r="C312" s="80"/>
      <c r="D312" s="80"/>
      <c r="E312" s="80"/>
      <c r="F312" s="80"/>
      <c r="G312" s="88"/>
      <c r="H312" s="80"/>
      <c r="I312" s="80"/>
      <c r="J312" s="80"/>
      <c r="K312" s="80"/>
      <c r="L312" s="83" t="str">
        <f aca="false">IF(G312="","",IF(L311="",G312,L311+G312))</f>
        <v/>
      </c>
      <c r="M312" s="80"/>
    </row>
    <row r="313" customFormat="false" ht="15.75" hidden="false" customHeight="true" outlineLevel="0" collapsed="false">
      <c r="A313" s="66" t="n">
        <v>309</v>
      </c>
      <c r="B313" s="70"/>
      <c r="C313" s="72"/>
      <c r="D313" s="72"/>
      <c r="E313" s="72"/>
      <c r="F313" s="72"/>
      <c r="G313" s="87"/>
      <c r="H313" s="72"/>
      <c r="I313" s="72"/>
      <c r="J313" s="72"/>
      <c r="K313" s="72"/>
      <c r="L313" s="75" t="str">
        <f aca="false">IF(G313="","",IF(L312="",G313,L312+G313))</f>
        <v/>
      </c>
      <c r="M313" s="72"/>
    </row>
    <row r="314" customFormat="false" ht="15.75" hidden="false" customHeight="true" outlineLevel="0" collapsed="false">
      <c r="A314" s="68" t="n">
        <v>310</v>
      </c>
      <c r="B314" s="78"/>
      <c r="C314" s="80"/>
      <c r="D314" s="80"/>
      <c r="E314" s="80"/>
      <c r="F314" s="80"/>
      <c r="G314" s="88"/>
      <c r="H314" s="80"/>
      <c r="I314" s="80"/>
      <c r="J314" s="80"/>
      <c r="K314" s="80"/>
      <c r="L314" s="83" t="str">
        <f aca="false">IF(G314="","",IF(L313="",G314,L313+G314))</f>
        <v/>
      </c>
      <c r="M314" s="80"/>
    </row>
    <row r="315" customFormat="false" ht="15.75" hidden="false" customHeight="true" outlineLevel="0" collapsed="false">
      <c r="A315" s="66" t="n">
        <v>311</v>
      </c>
      <c r="B315" s="70"/>
      <c r="C315" s="72"/>
      <c r="D315" s="72"/>
      <c r="E315" s="72"/>
      <c r="F315" s="72"/>
      <c r="G315" s="87"/>
      <c r="H315" s="72"/>
      <c r="I315" s="72"/>
      <c r="J315" s="72"/>
      <c r="K315" s="72"/>
      <c r="L315" s="75" t="str">
        <f aca="false">IF(G315="","",IF(L314="",G315,L314+G315))</f>
        <v/>
      </c>
      <c r="M315" s="72"/>
    </row>
    <row r="316" customFormat="false" ht="15.75" hidden="false" customHeight="true" outlineLevel="0" collapsed="false">
      <c r="A316" s="68" t="n">
        <v>312</v>
      </c>
      <c r="B316" s="78"/>
      <c r="C316" s="80"/>
      <c r="D316" s="80"/>
      <c r="E316" s="80"/>
      <c r="F316" s="80"/>
      <c r="G316" s="88"/>
      <c r="H316" s="80"/>
      <c r="I316" s="80"/>
      <c r="J316" s="80"/>
      <c r="K316" s="80"/>
      <c r="L316" s="83" t="str">
        <f aca="false">IF(G316="","",IF(L315="",G316,L315+G316))</f>
        <v/>
      </c>
      <c r="M316" s="80"/>
    </row>
    <row r="317" customFormat="false" ht="15.75" hidden="false" customHeight="true" outlineLevel="0" collapsed="false">
      <c r="A317" s="66" t="n">
        <v>313</v>
      </c>
      <c r="B317" s="70"/>
      <c r="C317" s="72"/>
      <c r="D317" s="72"/>
      <c r="E317" s="72"/>
      <c r="F317" s="72"/>
      <c r="G317" s="87"/>
      <c r="H317" s="72"/>
      <c r="I317" s="72"/>
      <c r="J317" s="72"/>
      <c r="K317" s="72"/>
      <c r="L317" s="75" t="str">
        <f aca="false">IF(G317="","",IF(L316="",G317,L316+G317))</f>
        <v/>
      </c>
      <c r="M317" s="72"/>
    </row>
    <row r="318" customFormat="false" ht="15.75" hidden="false" customHeight="true" outlineLevel="0" collapsed="false">
      <c r="A318" s="68" t="n">
        <v>314</v>
      </c>
      <c r="B318" s="78"/>
      <c r="C318" s="80"/>
      <c r="D318" s="80"/>
      <c r="E318" s="80"/>
      <c r="F318" s="80"/>
      <c r="G318" s="88"/>
      <c r="H318" s="80"/>
      <c r="I318" s="80"/>
      <c r="J318" s="80"/>
      <c r="K318" s="80"/>
      <c r="L318" s="83" t="str">
        <f aca="false">IF(G318="","",IF(L317="",G318,L317+G318))</f>
        <v/>
      </c>
      <c r="M318" s="80"/>
    </row>
    <row r="319" customFormat="false" ht="15.75" hidden="false" customHeight="true" outlineLevel="0" collapsed="false">
      <c r="A319" s="66" t="n">
        <v>315</v>
      </c>
      <c r="B319" s="70"/>
      <c r="C319" s="72"/>
      <c r="D319" s="72"/>
      <c r="E319" s="72"/>
      <c r="F319" s="72"/>
      <c r="G319" s="87"/>
      <c r="H319" s="72"/>
      <c r="I319" s="72"/>
      <c r="J319" s="72"/>
      <c r="K319" s="72"/>
      <c r="L319" s="75" t="str">
        <f aca="false">IF(G319="","",IF(L318="",G319,L318+G319))</f>
        <v/>
      </c>
      <c r="M319" s="72"/>
    </row>
    <row r="320" customFormat="false" ht="15.75" hidden="false" customHeight="true" outlineLevel="0" collapsed="false">
      <c r="A320" s="68" t="n">
        <v>316</v>
      </c>
      <c r="B320" s="78"/>
      <c r="C320" s="80"/>
      <c r="D320" s="80"/>
      <c r="E320" s="80"/>
      <c r="F320" s="80"/>
      <c r="G320" s="88"/>
      <c r="H320" s="80"/>
      <c r="I320" s="80"/>
      <c r="J320" s="80"/>
      <c r="K320" s="80"/>
      <c r="L320" s="83" t="str">
        <f aca="false">IF(G320="","",IF(L319="",G320,L319+G320))</f>
        <v/>
      </c>
      <c r="M320" s="80"/>
    </row>
    <row r="321" customFormat="false" ht="15.75" hidden="false" customHeight="true" outlineLevel="0" collapsed="false">
      <c r="A321" s="66" t="n">
        <v>317</v>
      </c>
      <c r="B321" s="70"/>
      <c r="C321" s="72"/>
      <c r="D321" s="72"/>
      <c r="E321" s="72"/>
      <c r="F321" s="72"/>
      <c r="G321" s="87"/>
      <c r="H321" s="72"/>
      <c r="I321" s="72"/>
      <c r="J321" s="72"/>
      <c r="K321" s="72"/>
      <c r="L321" s="75" t="str">
        <f aca="false">IF(G321="","",IF(L320="",G321,L320+G321))</f>
        <v/>
      </c>
      <c r="M321" s="72"/>
    </row>
    <row r="322" customFormat="false" ht="15.75" hidden="false" customHeight="true" outlineLevel="0" collapsed="false">
      <c r="A322" s="68" t="n">
        <v>318</v>
      </c>
      <c r="B322" s="78"/>
      <c r="C322" s="80"/>
      <c r="D322" s="80"/>
      <c r="E322" s="80"/>
      <c r="F322" s="80"/>
      <c r="G322" s="88"/>
      <c r="H322" s="80"/>
      <c r="I322" s="80"/>
      <c r="J322" s="80"/>
      <c r="K322" s="80"/>
      <c r="L322" s="83" t="str">
        <f aca="false">IF(G322="","",IF(L321="",G322,L321+G322))</f>
        <v/>
      </c>
      <c r="M322" s="80"/>
    </row>
    <row r="323" customFormat="false" ht="15.75" hidden="false" customHeight="true" outlineLevel="0" collapsed="false">
      <c r="A323" s="66" t="n">
        <v>319</v>
      </c>
      <c r="B323" s="70"/>
      <c r="C323" s="72"/>
      <c r="D323" s="72"/>
      <c r="E323" s="72"/>
      <c r="F323" s="72"/>
      <c r="G323" s="87"/>
      <c r="H323" s="72"/>
      <c r="I323" s="72"/>
      <c r="J323" s="72"/>
      <c r="K323" s="72"/>
      <c r="L323" s="75" t="str">
        <f aca="false">IF(G323="","",IF(L322="",G323,L322+G323))</f>
        <v/>
      </c>
      <c r="M323" s="72"/>
    </row>
    <row r="324" customFormat="false" ht="15.75" hidden="false" customHeight="true" outlineLevel="0" collapsed="false">
      <c r="A324" s="68" t="n">
        <v>320</v>
      </c>
      <c r="B324" s="78"/>
      <c r="C324" s="80"/>
      <c r="D324" s="80"/>
      <c r="E324" s="80"/>
      <c r="F324" s="80"/>
      <c r="G324" s="88"/>
      <c r="H324" s="80"/>
      <c r="I324" s="80"/>
      <c r="J324" s="80"/>
      <c r="K324" s="80"/>
      <c r="L324" s="83" t="str">
        <f aca="false">IF(G324="","",IF(L323="",G324,L323+G324))</f>
        <v/>
      </c>
      <c r="M324" s="80"/>
    </row>
    <row r="325" customFormat="false" ht="15.75" hidden="false" customHeight="true" outlineLevel="0" collapsed="false">
      <c r="A325" s="66" t="n">
        <v>321</v>
      </c>
      <c r="B325" s="70"/>
      <c r="C325" s="72"/>
      <c r="D325" s="72"/>
      <c r="E325" s="72"/>
      <c r="F325" s="72"/>
      <c r="G325" s="87"/>
      <c r="H325" s="72"/>
      <c r="I325" s="72"/>
      <c r="J325" s="72"/>
      <c r="K325" s="72"/>
      <c r="L325" s="75" t="str">
        <f aca="false">IF(G325="","",IF(L324="",G325,L324+G325))</f>
        <v/>
      </c>
      <c r="M325" s="72"/>
    </row>
    <row r="326" customFormat="false" ht="15.75" hidden="false" customHeight="true" outlineLevel="0" collapsed="false">
      <c r="A326" s="68" t="n">
        <v>322</v>
      </c>
      <c r="B326" s="78"/>
      <c r="C326" s="80"/>
      <c r="D326" s="80"/>
      <c r="E326" s="80"/>
      <c r="F326" s="80"/>
      <c r="G326" s="88"/>
      <c r="H326" s="80"/>
      <c r="I326" s="80"/>
      <c r="J326" s="80"/>
      <c r="K326" s="80"/>
      <c r="L326" s="83" t="str">
        <f aca="false">IF(G326="","",IF(L325="",G326,L325+G326))</f>
        <v/>
      </c>
      <c r="M326" s="80"/>
    </row>
    <row r="327" customFormat="false" ht="15.75" hidden="false" customHeight="true" outlineLevel="0" collapsed="false">
      <c r="A327" s="66" t="n">
        <v>323</v>
      </c>
      <c r="B327" s="70"/>
      <c r="C327" s="72"/>
      <c r="D327" s="72"/>
      <c r="E327" s="72"/>
      <c r="F327" s="72"/>
      <c r="G327" s="87"/>
      <c r="H327" s="72"/>
      <c r="I327" s="72"/>
      <c r="J327" s="72"/>
      <c r="K327" s="72"/>
      <c r="L327" s="75" t="str">
        <f aca="false">IF(G327="","",IF(L326="",G327,L326+G327))</f>
        <v/>
      </c>
      <c r="M327" s="72"/>
    </row>
    <row r="328" customFormat="false" ht="15.75" hidden="false" customHeight="true" outlineLevel="0" collapsed="false">
      <c r="A328" s="68" t="n">
        <v>324</v>
      </c>
      <c r="B328" s="78"/>
      <c r="C328" s="80"/>
      <c r="D328" s="80"/>
      <c r="E328" s="80"/>
      <c r="F328" s="80"/>
      <c r="G328" s="88"/>
      <c r="H328" s="80"/>
      <c r="I328" s="80"/>
      <c r="J328" s="80"/>
      <c r="K328" s="80"/>
      <c r="L328" s="83" t="str">
        <f aca="false">IF(G328="","",IF(L327="",G328,L327+G328))</f>
        <v/>
      </c>
      <c r="M328" s="80"/>
    </row>
    <row r="329" customFormat="false" ht="15.75" hidden="false" customHeight="true" outlineLevel="0" collapsed="false">
      <c r="A329" s="66" t="n">
        <v>325</v>
      </c>
      <c r="B329" s="70"/>
      <c r="C329" s="72"/>
      <c r="D329" s="72"/>
      <c r="E329" s="72"/>
      <c r="F329" s="72"/>
      <c r="G329" s="87"/>
      <c r="H329" s="72"/>
      <c r="I329" s="72"/>
      <c r="J329" s="72"/>
      <c r="K329" s="72"/>
      <c r="L329" s="75" t="str">
        <f aca="false">IF(G329="","",IF(L328="",G329,L328+G329))</f>
        <v/>
      </c>
      <c r="M329" s="72"/>
    </row>
    <row r="330" customFormat="false" ht="15.75" hidden="false" customHeight="true" outlineLevel="0" collapsed="false">
      <c r="A330" s="68" t="n">
        <v>326</v>
      </c>
      <c r="B330" s="78"/>
      <c r="C330" s="80"/>
      <c r="D330" s="80"/>
      <c r="E330" s="80"/>
      <c r="F330" s="80"/>
      <c r="G330" s="88"/>
      <c r="H330" s="80"/>
      <c r="I330" s="80"/>
      <c r="J330" s="80"/>
      <c r="K330" s="80"/>
      <c r="L330" s="83" t="str">
        <f aca="false">IF(G330="","",IF(L329="",G330,L329+G330))</f>
        <v/>
      </c>
      <c r="M330" s="80"/>
    </row>
    <row r="331" customFormat="false" ht="15.75" hidden="false" customHeight="true" outlineLevel="0" collapsed="false">
      <c r="A331" s="66" t="n">
        <v>327</v>
      </c>
      <c r="B331" s="70"/>
      <c r="C331" s="72"/>
      <c r="D331" s="72"/>
      <c r="E331" s="72"/>
      <c r="F331" s="72"/>
      <c r="G331" s="87"/>
      <c r="H331" s="72"/>
      <c r="I331" s="72"/>
      <c r="J331" s="72"/>
      <c r="K331" s="72"/>
      <c r="L331" s="75" t="str">
        <f aca="false">IF(G331="","",IF(L330="",G331,L330+G331))</f>
        <v/>
      </c>
      <c r="M331" s="72"/>
    </row>
    <row r="332" customFormat="false" ht="15.75" hidden="false" customHeight="true" outlineLevel="0" collapsed="false">
      <c r="A332" s="68" t="n">
        <v>328</v>
      </c>
      <c r="B332" s="78"/>
      <c r="C332" s="80"/>
      <c r="D332" s="80"/>
      <c r="E332" s="80"/>
      <c r="F332" s="80"/>
      <c r="G332" s="88"/>
      <c r="H332" s="80"/>
      <c r="I332" s="80"/>
      <c r="J332" s="80"/>
      <c r="K332" s="80"/>
      <c r="L332" s="83" t="str">
        <f aca="false">IF(G332="","",IF(L331="",G332,L331+G332))</f>
        <v/>
      </c>
      <c r="M332" s="80"/>
    </row>
    <row r="333" customFormat="false" ht="15.75" hidden="false" customHeight="true" outlineLevel="0" collapsed="false">
      <c r="A333" s="66" t="n">
        <v>329</v>
      </c>
      <c r="B333" s="70"/>
      <c r="C333" s="72"/>
      <c r="D333" s="72"/>
      <c r="E333" s="72"/>
      <c r="F333" s="72"/>
      <c r="G333" s="87"/>
      <c r="H333" s="72"/>
      <c r="I333" s="72"/>
      <c r="J333" s="72"/>
      <c r="K333" s="72"/>
      <c r="L333" s="75" t="str">
        <f aca="false">IF(G333="","",IF(L332="",G333,L332+G333))</f>
        <v/>
      </c>
      <c r="M333" s="72"/>
    </row>
    <row r="334" customFormat="false" ht="15.75" hidden="false" customHeight="true" outlineLevel="0" collapsed="false">
      <c r="A334" s="68" t="n">
        <v>330</v>
      </c>
      <c r="B334" s="78"/>
      <c r="C334" s="80"/>
      <c r="D334" s="80"/>
      <c r="E334" s="80"/>
      <c r="F334" s="80"/>
      <c r="G334" s="88"/>
      <c r="H334" s="80"/>
      <c r="I334" s="80"/>
      <c r="J334" s="80"/>
      <c r="K334" s="80"/>
      <c r="L334" s="83" t="str">
        <f aca="false">IF(G334="","",IF(L333="",G334,L333+G334))</f>
        <v/>
      </c>
      <c r="M334" s="80"/>
    </row>
    <row r="335" customFormat="false" ht="15.75" hidden="false" customHeight="true" outlineLevel="0" collapsed="false">
      <c r="A335" s="66" t="n">
        <v>331</v>
      </c>
      <c r="B335" s="70"/>
      <c r="C335" s="72"/>
      <c r="D335" s="72"/>
      <c r="E335" s="72"/>
      <c r="F335" s="72"/>
      <c r="G335" s="87"/>
      <c r="H335" s="72"/>
      <c r="I335" s="72"/>
      <c r="J335" s="72"/>
      <c r="K335" s="72"/>
      <c r="L335" s="75" t="str">
        <f aca="false">IF(G335="","",IF(L334="",G335,L334+G335))</f>
        <v/>
      </c>
      <c r="M335" s="72"/>
    </row>
    <row r="336" customFormat="false" ht="15.75" hidden="false" customHeight="true" outlineLevel="0" collapsed="false">
      <c r="A336" s="68" t="n">
        <v>332</v>
      </c>
      <c r="B336" s="78"/>
      <c r="C336" s="80"/>
      <c r="D336" s="80"/>
      <c r="E336" s="80"/>
      <c r="F336" s="80"/>
      <c r="G336" s="88"/>
      <c r="H336" s="80"/>
      <c r="I336" s="80"/>
      <c r="J336" s="80"/>
      <c r="K336" s="80"/>
      <c r="L336" s="83" t="str">
        <f aca="false">IF(G336="","",IF(L335="",G336,L335+G336))</f>
        <v/>
      </c>
      <c r="M336" s="80"/>
    </row>
    <row r="337" customFormat="false" ht="15.75" hidden="false" customHeight="true" outlineLevel="0" collapsed="false">
      <c r="A337" s="66" t="n">
        <v>333</v>
      </c>
      <c r="B337" s="70"/>
      <c r="C337" s="72"/>
      <c r="D337" s="72"/>
      <c r="E337" s="72"/>
      <c r="F337" s="72"/>
      <c r="G337" s="87"/>
      <c r="H337" s="72"/>
      <c r="I337" s="72"/>
      <c r="J337" s="72"/>
      <c r="K337" s="72"/>
      <c r="L337" s="75" t="str">
        <f aca="false">IF(G337="","",IF(L336="",G337,L336+G337))</f>
        <v/>
      </c>
      <c r="M337" s="72"/>
    </row>
    <row r="338" customFormat="false" ht="15.75" hidden="false" customHeight="true" outlineLevel="0" collapsed="false">
      <c r="A338" s="68" t="n">
        <v>334</v>
      </c>
      <c r="B338" s="78"/>
      <c r="C338" s="80"/>
      <c r="D338" s="80"/>
      <c r="E338" s="80"/>
      <c r="F338" s="80"/>
      <c r="G338" s="88"/>
      <c r="H338" s="80"/>
      <c r="I338" s="80"/>
      <c r="J338" s="80"/>
      <c r="K338" s="80"/>
      <c r="L338" s="83" t="str">
        <f aca="false">IF(G338="","",IF(L337="",G338,L337+G338))</f>
        <v/>
      </c>
      <c r="M338" s="80"/>
    </row>
    <row r="339" customFormat="false" ht="15.75" hidden="false" customHeight="true" outlineLevel="0" collapsed="false">
      <c r="A339" s="66" t="n">
        <v>335</v>
      </c>
      <c r="B339" s="70"/>
      <c r="C339" s="72"/>
      <c r="D339" s="72"/>
      <c r="E339" s="72"/>
      <c r="F339" s="72"/>
      <c r="G339" s="87"/>
      <c r="H339" s="72"/>
      <c r="I339" s="72"/>
      <c r="J339" s="72"/>
      <c r="K339" s="72"/>
      <c r="L339" s="75" t="str">
        <f aca="false">IF(G339="","",IF(L338="",G339,L338+G339))</f>
        <v/>
      </c>
      <c r="M339" s="72"/>
    </row>
    <row r="340" customFormat="false" ht="15.75" hidden="false" customHeight="true" outlineLevel="0" collapsed="false">
      <c r="A340" s="68" t="n">
        <v>336</v>
      </c>
      <c r="B340" s="78"/>
      <c r="C340" s="80"/>
      <c r="D340" s="80"/>
      <c r="E340" s="80"/>
      <c r="F340" s="80"/>
      <c r="G340" s="88"/>
      <c r="H340" s="80"/>
      <c r="I340" s="80"/>
      <c r="J340" s="80"/>
      <c r="K340" s="80"/>
      <c r="L340" s="83" t="str">
        <f aca="false">IF(G340="","",IF(L339="",G340,L339+G340))</f>
        <v/>
      </c>
      <c r="M340" s="80"/>
    </row>
    <row r="341" customFormat="false" ht="15.75" hidden="false" customHeight="true" outlineLevel="0" collapsed="false">
      <c r="A341" s="66" t="n">
        <v>337</v>
      </c>
      <c r="B341" s="70"/>
      <c r="C341" s="72"/>
      <c r="D341" s="72"/>
      <c r="E341" s="72"/>
      <c r="F341" s="72"/>
      <c r="G341" s="87"/>
      <c r="H341" s="72"/>
      <c r="I341" s="72"/>
      <c r="J341" s="72"/>
      <c r="K341" s="72"/>
      <c r="L341" s="75" t="str">
        <f aca="false">IF(G341="","",IF(L340="",G341,L340+G341))</f>
        <v/>
      </c>
      <c r="M341" s="72"/>
    </row>
    <row r="342" customFormat="false" ht="15.75" hidden="false" customHeight="true" outlineLevel="0" collapsed="false">
      <c r="A342" s="68" t="n">
        <v>338</v>
      </c>
      <c r="B342" s="78"/>
      <c r="C342" s="80"/>
      <c r="D342" s="80"/>
      <c r="E342" s="80"/>
      <c r="F342" s="80"/>
      <c r="G342" s="88"/>
      <c r="H342" s="80"/>
      <c r="I342" s="80"/>
      <c r="J342" s="80"/>
      <c r="K342" s="80"/>
      <c r="L342" s="83" t="str">
        <f aca="false">IF(G342="","",IF(L341="",G342,L341+G342))</f>
        <v/>
      </c>
      <c r="M342" s="80"/>
    </row>
    <row r="343" customFormat="false" ht="15.75" hidden="false" customHeight="true" outlineLevel="0" collapsed="false">
      <c r="A343" s="66" t="n">
        <v>339</v>
      </c>
      <c r="B343" s="70"/>
      <c r="C343" s="72"/>
      <c r="D343" s="72"/>
      <c r="E343" s="72"/>
      <c r="F343" s="72"/>
      <c r="G343" s="87"/>
      <c r="H343" s="72"/>
      <c r="I343" s="72"/>
      <c r="J343" s="72"/>
      <c r="K343" s="72"/>
      <c r="L343" s="75" t="str">
        <f aca="false">IF(G343="","",IF(L342="",G343,L342+G343))</f>
        <v/>
      </c>
      <c r="M343" s="72"/>
    </row>
    <row r="344" customFormat="false" ht="15.75" hidden="false" customHeight="true" outlineLevel="0" collapsed="false">
      <c r="A344" s="68" t="n">
        <v>340</v>
      </c>
      <c r="B344" s="78"/>
      <c r="C344" s="80"/>
      <c r="D344" s="80"/>
      <c r="E344" s="80"/>
      <c r="F344" s="80"/>
      <c r="G344" s="88"/>
      <c r="H344" s="80"/>
      <c r="I344" s="80"/>
      <c r="J344" s="80"/>
      <c r="K344" s="80"/>
      <c r="L344" s="83" t="str">
        <f aca="false">IF(G344="","",IF(L343="",G344,L343+G344))</f>
        <v/>
      </c>
      <c r="M344" s="80"/>
    </row>
    <row r="345" customFormat="false" ht="15.75" hidden="false" customHeight="true" outlineLevel="0" collapsed="false">
      <c r="A345" s="66" t="n">
        <v>341</v>
      </c>
      <c r="B345" s="70"/>
      <c r="C345" s="72"/>
      <c r="D345" s="72"/>
      <c r="E345" s="72"/>
      <c r="F345" s="72"/>
      <c r="G345" s="87"/>
      <c r="H345" s="72"/>
      <c r="I345" s="72"/>
      <c r="J345" s="72"/>
      <c r="K345" s="72"/>
      <c r="L345" s="75" t="str">
        <f aca="false">IF(G345="","",IF(L344="",G345,L344+G345))</f>
        <v/>
      </c>
      <c r="M345" s="72"/>
    </row>
    <row r="346" customFormat="false" ht="15.75" hidden="false" customHeight="true" outlineLevel="0" collapsed="false">
      <c r="A346" s="68" t="n">
        <v>342</v>
      </c>
      <c r="B346" s="78"/>
      <c r="C346" s="80"/>
      <c r="D346" s="80"/>
      <c r="E346" s="80"/>
      <c r="F346" s="80"/>
      <c r="G346" s="88"/>
      <c r="H346" s="80"/>
      <c r="I346" s="80"/>
      <c r="J346" s="80"/>
      <c r="K346" s="80"/>
      <c r="L346" s="83" t="str">
        <f aca="false">IF(G346="","",IF(L345="",G346,L345+G346))</f>
        <v/>
      </c>
      <c r="M346" s="80"/>
    </row>
    <row r="347" customFormat="false" ht="15.75" hidden="false" customHeight="true" outlineLevel="0" collapsed="false">
      <c r="A347" s="66" t="n">
        <v>343</v>
      </c>
      <c r="B347" s="70"/>
      <c r="C347" s="72"/>
      <c r="D347" s="72"/>
      <c r="E347" s="72"/>
      <c r="F347" s="72"/>
      <c r="G347" s="87"/>
      <c r="H347" s="72"/>
      <c r="I347" s="72"/>
      <c r="J347" s="72"/>
      <c r="K347" s="72"/>
      <c r="L347" s="75" t="str">
        <f aca="false">IF(G347="","",IF(L346="",G347,L346+G347))</f>
        <v/>
      </c>
      <c r="M347" s="72"/>
    </row>
    <row r="348" customFormat="false" ht="15.75" hidden="false" customHeight="true" outlineLevel="0" collapsed="false">
      <c r="A348" s="68" t="n">
        <v>344</v>
      </c>
      <c r="B348" s="78"/>
      <c r="C348" s="80"/>
      <c r="D348" s="80"/>
      <c r="E348" s="80"/>
      <c r="F348" s="80"/>
      <c r="G348" s="88"/>
      <c r="H348" s="80"/>
      <c r="I348" s="80"/>
      <c r="J348" s="80"/>
      <c r="K348" s="80"/>
      <c r="L348" s="83" t="str">
        <f aca="false">IF(G348="","",IF(L347="",G348,L347+G348))</f>
        <v/>
      </c>
      <c r="M348" s="80"/>
    </row>
    <row r="349" customFormat="false" ht="15.75" hidden="false" customHeight="true" outlineLevel="0" collapsed="false">
      <c r="A349" s="66" t="n">
        <v>345</v>
      </c>
      <c r="B349" s="70"/>
      <c r="C349" s="72"/>
      <c r="D349" s="72"/>
      <c r="E349" s="72"/>
      <c r="F349" s="72"/>
      <c r="G349" s="87"/>
      <c r="H349" s="72"/>
      <c r="I349" s="72"/>
      <c r="J349" s="72"/>
      <c r="K349" s="72"/>
      <c r="L349" s="75" t="str">
        <f aca="false">IF(G349="","",IF(L348="",G349,L348+G349))</f>
        <v/>
      </c>
      <c r="M349" s="72"/>
    </row>
    <row r="350" customFormat="false" ht="15.75" hidden="false" customHeight="true" outlineLevel="0" collapsed="false">
      <c r="A350" s="68" t="n">
        <v>346</v>
      </c>
      <c r="B350" s="78"/>
      <c r="C350" s="80"/>
      <c r="D350" s="80"/>
      <c r="E350" s="80"/>
      <c r="F350" s="80"/>
      <c r="G350" s="88"/>
      <c r="H350" s="80"/>
      <c r="I350" s="80"/>
      <c r="J350" s="80"/>
      <c r="K350" s="80"/>
      <c r="L350" s="83" t="str">
        <f aca="false">IF(G350="","",IF(L349="",G350,L349+G350))</f>
        <v/>
      </c>
      <c r="M350" s="80"/>
    </row>
    <row r="351" customFormat="false" ht="15.75" hidden="false" customHeight="true" outlineLevel="0" collapsed="false">
      <c r="A351" s="66" t="n">
        <v>347</v>
      </c>
      <c r="B351" s="70"/>
      <c r="C351" s="72"/>
      <c r="D351" s="72"/>
      <c r="E351" s="72"/>
      <c r="F351" s="72"/>
      <c r="G351" s="87"/>
      <c r="H351" s="72"/>
      <c r="I351" s="72"/>
      <c r="J351" s="72"/>
      <c r="K351" s="72"/>
      <c r="L351" s="75" t="str">
        <f aca="false">IF(G351="","",IF(L350="",G351,L350+G351))</f>
        <v/>
      </c>
      <c r="M351" s="72"/>
    </row>
    <row r="352" customFormat="false" ht="15.75" hidden="false" customHeight="true" outlineLevel="0" collapsed="false">
      <c r="A352" s="68" t="n">
        <v>348</v>
      </c>
      <c r="B352" s="78"/>
      <c r="C352" s="80"/>
      <c r="D352" s="80"/>
      <c r="E352" s="80"/>
      <c r="F352" s="80"/>
      <c r="G352" s="88"/>
      <c r="H352" s="80"/>
      <c r="I352" s="80"/>
      <c r="J352" s="80"/>
      <c r="K352" s="80"/>
      <c r="L352" s="83" t="str">
        <f aca="false">IF(G352="","",IF(L351="",G352,L351+G352))</f>
        <v/>
      </c>
      <c r="M352" s="80"/>
    </row>
    <row r="353" customFormat="false" ht="15.75" hidden="false" customHeight="true" outlineLevel="0" collapsed="false">
      <c r="A353" s="66" t="n">
        <v>349</v>
      </c>
      <c r="B353" s="70"/>
      <c r="C353" s="72"/>
      <c r="D353" s="72"/>
      <c r="E353" s="72"/>
      <c r="F353" s="72"/>
      <c r="G353" s="87"/>
      <c r="H353" s="72"/>
      <c r="I353" s="72"/>
      <c r="J353" s="72"/>
      <c r="K353" s="72"/>
      <c r="L353" s="75" t="str">
        <f aca="false">IF(G353="","",IF(L352="",G353,L352+G353))</f>
        <v/>
      </c>
      <c r="M353" s="72"/>
    </row>
    <row r="354" customFormat="false" ht="15.75" hidden="false" customHeight="true" outlineLevel="0" collapsed="false">
      <c r="A354" s="68" t="n">
        <v>350</v>
      </c>
      <c r="B354" s="78"/>
      <c r="C354" s="80"/>
      <c r="D354" s="80"/>
      <c r="E354" s="80"/>
      <c r="F354" s="80"/>
      <c r="G354" s="88"/>
      <c r="H354" s="80"/>
      <c r="I354" s="80"/>
      <c r="J354" s="80"/>
      <c r="K354" s="80"/>
      <c r="L354" s="83" t="str">
        <f aca="false">IF(G354="","",IF(L353="",G354,L353+G354))</f>
        <v/>
      </c>
      <c r="M354" s="80"/>
    </row>
    <row r="355" customFormat="false" ht="15.75" hidden="false" customHeight="true" outlineLevel="0" collapsed="false">
      <c r="A355" s="66" t="n">
        <v>351</v>
      </c>
      <c r="B355" s="70"/>
      <c r="C355" s="72"/>
      <c r="D355" s="72"/>
      <c r="E355" s="72"/>
      <c r="F355" s="72"/>
      <c r="G355" s="87"/>
      <c r="H355" s="72"/>
      <c r="I355" s="72"/>
      <c r="J355" s="72"/>
      <c r="K355" s="72"/>
      <c r="L355" s="75" t="str">
        <f aca="false">IF(G355="","",IF(L354="",G355,L354+G355))</f>
        <v/>
      </c>
      <c r="M355" s="72"/>
    </row>
    <row r="356" customFormat="false" ht="15.75" hidden="false" customHeight="true" outlineLevel="0" collapsed="false">
      <c r="A356" s="68" t="n">
        <v>352</v>
      </c>
      <c r="B356" s="78"/>
      <c r="C356" s="80"/>
      <c r="D356" s="80"/>
      <c r="E356" s="80"/>
      <c r="F356" s="80"/>
      <c r="G356" s="88"/>
      <c r="H356" s="80"/>
      <c r="I356" s="80"/>
      <c r="J356" s="80"/>
      <c r="K356" s="80"/>
      <c r="L356" s="83" t="str">
        <f aca="false">IF(G356="","",IF(L355="",G356,L355+G356))</f>
        <v/>
      </c>
      <c r="M356" s="80"/>
    </row>
    <row r="357" customFormat="false" ht="15.75" hidden="false" customHeight="true" outlineLevel="0" collapsed="false">
      <c r="A357" s="66" t="n">
        <v>353</v>
      </c>
      <c r="B357" s="70"/>
      <c r="C357" s="72"/>
      <c r="D357" s="72"/>
      <c r="E357" s="72"/>
      <c r="F357" s="72"/>
      <c r="G357" s="87"/>
      <c r="H357" s="72"/>
      <c r="I357" s="72"/>
      <c r="J357" s="72"/>
      <c r="K357" s="72"/>
      <c r="L357" s="75" t="str">
        <f aca="false">IF(G357="","",IF(L356="",G357,L356+G357))</f>
        <v/>
      </c>
      <c r="M357" s="72"/>
    </row>
    <row r="358" customFormat="false" ht="15.75" hidden="false" customHeight="true" outlineLevel="0" collapsed="false">
      <c r="A358" s="68" t="n">
        <v>354</v>
      </c>
      <c r="B358" s="78"/>
      <c r="C358" s="80"/>
      <c r="D358" s="80"/>
      <c r="E358" s="80"/>
      <c r="F358" s="80"/>
      <c r="G358" s="88"/>
      <c r="H358" s="80"/>
      <c r="I358" s="80"/>
      <c r="J358" s="80"/>
      <c r="K358" s="80"/>
      <c r="L358" s="83" t="str">
        <f aca="false">IF(G358="","",IF(L357="",G358,L357+G358))</f>
        <v/>
      </c>
      <c r="M358" s="80"/>
    </row>
    <row r="359" customFormat="false" ht="15.75" hidden="false" customHeight="true" outlineLevel="0" collapsed="false">
      <c r="A359" s="66" t="n">
        <v>355</v>
      </c>
      <c r="B359" s="70"/>
      <c r="C359" s="72"/>
      <c r="D359" s="72"/>
      <c r="E359" s="72"/>
      <c r="F359" s="72"/>
      <c r="G359" s="87"/>
      <c r="H359" s="72"/>
      <c r="I359" s="72"/>
      <c r="J359" s="72"/>
      <c r="K359" s="72"/>
      <c r="L359" s="75" t="str">
        <f aca="false">IF(G359="","",IF(L358="",G359,L358+G359))</f>
        <v/>
      </c>
      <c r="M359" s="72"/>
    </row>
    <row r="360" customFormat="false" ht="15.75" hidden="false" customHeight="true" outlineLevel="0" collapsed="false">
      <c r="A360" s="68" t="n">
        <v>356</v>
      </c>
      <c r="B360" s="78"/>
      <c r="C360" s="80"/>
      <c r="D360" s="80"/>
      <c r="E360" s="80"/>
      <c r="F360" s="80"/>
      <c r="G360" s="88"/>
      <c r="H360" s="80"/>
      <c r="I360" s="80"/>
      <c r="J360" s="80"/>
      <c r="K360" s="80"/>
      <c r="L360" s="83" t="str">
        <f aca="false">IF(G360="","",IF(L359="",G360,L359+G360))</f>
        <v/>
      </c>
      <c r="M360" s="80"/>
    </row>
    <row r="361" customFormat="false" ht="15.75" hidden="false" customHeight="true" outlineLevel="0" collapsed="false">
      <c r="A361" s="66" t="n">
        <v>357</v>
      </c>
      <c r="B361" s="70"/>
      <c r="C361" s="72"/>
      <c r="D361" s="72"/>
      <c r="E361" s="72"/>
      <c r="F361" s="72"/>
      <c r="G361" s="87"/>
      <c r="H361" s="72"/>
      <c r="I361" s="72"/>
      <c r="J361" s="72"/>
      <c r="K361" s="72"/>
      <c r="L361" s="75" t="str">
        <f aca="false">IF(G361="","",IF(L360="",G361,L360+G361))</f>
        <v/>
      </c>
      <c r="M361" s="72"/>
    </row>
    <row r="362" customFormat="false" ht="15.75" hidden="false" customHeight="true" outlineLevel="0" collapsed="false">
      <c r="A362" s="68" t="n">
        <v>358</v>
      </c>
      <c r="B362" s="78"/>
      <c r="C362" s="80"/>
      <c r="D362" s="80"/>
      <c r="E362" s="80"/>
      <c r="F362" s="80"/>
      <c r="G362" s="88"/>
      <c r="H362" s="80"/>
      <c r="I362" s="80"/>
      <c r="J362" s="80"/>
      <c r="K362" s="80"/>
      <c r="L362" s="83" t="str">
        <f aca="false">IF(G362="","",IF(L361="",G362,L361+G362))</f>
        <v/>
      </c>
      <c r="M362" s="80"/>
    </row>
    <row r="363" customFormat="false" ht="15.75" hidden="false" customHeight="true" outlineLevel="0" collapsed="false">
      <c r="A363" s="66" t="n">
        <v>359</v>
      </c>
      <c r="B363" s="70"/>
      <c r="C363" s="72"/>
      <c r="D363" s="72"/>
      <c r="E363" s="72"/>
      <c r="F363" s="72"/>
      <c r="G363" s="87"/>
      <c r="H363" s="72"/>
      <c r="I363" s="72"/>
      <c r="J363" s="72"/>
      <c r="K363" s="72"/>
      <c r="L363" s="75" t="str">
        <f aca="false">IF(G363="","",IF(L362="",G363,L362+G363))</f>
        <v/>
      </c>
      <c r="M363" s="72"/>
    </row>
    <row r="364" customFormat="false" ht="15.75" hidden="false" customHeight="true" outlineLevel="0" collapsed="false">
      <c r="A364" s="68" t="n">
        <v>360</v>
      </c>
      <c r="B364" s="78"/>
      <c r="C364" s="80"/>
      <c r="D364" s="80"/>
      <c r="E364" s="80"/>
      <c r="F364" s="80"/>
      <c r="G364" s="88"/>
      <c r="H364" s="80"/>
      <c r="I364" s="80"/>
      <c r="J364" s="80"/>
      <c r="K364" s="80"/>
      <c r="L364" s="83" t="str">
        <f aca="false">IF(G364="","",IF(L363="",G364,L363+G364))</f>
        <v/>
      </c>
      <c r="M364" s="80"/>
    </row>
    <row r="365" customFormat="false" ht="15.75" hidden="false" customHeight="true" outlineLevel="0" collapsed="false">
      <c r="A365" s="66" t="n">
        <v>361</v>
      </c>
      <c r="B365" s="70"/>
      <c r="C365" s="72"/>
      <c r="D365" s="72"/>
      <c r="E365" s="72"/>
      <c r="F365" s="72"/>
      <c r="G365" s="87"/>
      <c r="H365" s="72"/>
      <c r="I365" s="72"/>
      <c r="J365" s="72"/>
      <c r="K365" s="72"/>
      <c r="L365" s="75" t="str">
        <f aca="false">IF(G365="","",IF(L364="",G365,L364+G365))</f>
        <v/>
      </c>
      <c r="M365" s="72"/>
    </row>
    <row r="366" customFormat="false" ht="15.75" hidden="false" customHeight="true" outlineLevel="0" collapsed="false">
      <c r="A366" s="68" t="n">
        <v>362</v>
      </c>
      <c r="B366" s="78"/>
      <c r="C366" s="80"/>
      <c r="D366" s="80"/>
      <c r="E366" s="80"/>
      <c r="F366" s="80"/>
      <c r="G366" s="88"/>
      <c r="H366" s="80"/>
      <c r="I366" s="80"/>
      <c r="J366" s="80"/>
      <c r="K366" s="80"/>
      <c r="L366" s="83" t="str">
        <f aca="false">IF(G366="","",IF(L365="",G366,L365+G366))</f>
        <v/>
      </c>
      <c r="M366" s="80"/>
    </row>
    <row r="367" customFormat="false" ht="15.75" hidden="false" customHeight="true" outlineLevel="0" collapsed="false">
      <c r="A367" s="66" t="n">
        <v>363</v>
      </c>
      <c r="B367" s="70"/>
      <c r="C367" s="72"/>
      <c r="D367" s="72"/>
      <c r="E367" s="72"/>
      <c r="F367" s="72"/>
      <c r="G367" s="87"/>
      <c r="H367" s="72"/>
      <c r="I367" s="72"/>
      <c r="J367" s="72"/>
      <c r="K367" s="72"/>
      <c r="L367" s="75" t="str">
        <f aca="false">IF(G367="","",IF(L366="",G367,L366+G367))</f>
        <v/>
      </c>
      <c r="M367" s="72"/>
    </row>
    <row r="368" customFormat="false" ht="15.75" hidden="false" customHeight="true" outlineLevel="0" collapsed="false">
      <c r="A368" s="68" t="n">
        <v>364</v>
      </c>
      <c r="B368" s="78"/>
      <c r="C368" s="80"/>
      <c r="D368" s="80"/>
      <c r="E368" s="80"/>
      <c r="F368" s="80"/>
      <c r="G368" s="88"/>
      <c r="H368" s="80"/>
      <c r="I368" s="80"/>
      <c r="J368" s="80"/>
      <c r="K368" s="80"/>
      <c r="L368" s="83" t="str">
        <f aca="false">IF(G368="","",IF(L367="",G368,L367+G368))</f>
        <v/>
      </c>
      <c r="M368" s="80"/>
    </row>
    <row r="369" customFormat="false" ht="15.75" hidden="false" customHeight="true" outlineLevel="0" collapsed="false">
      <c r="A369" s="66" t="n">
        <v>365</v>
      </c>
      <c r="B369" s="70"/>
      <c r="C369" s="72"/>
      <c r="D369" s="72"/>
      <c r="E369" s="72"/>
      <c r="F369" s="72"/>
      <c r="G369" s="87"/>
      <c r="H369" s="72"/>
      <c r="I369" s="72"/>
      <c r="J369" s="72"/>
      <c r="K369" s="72"/>
      <c r="L369" s="75" t="str">
        <f aca="false">IF(G369="","",IF(L368="",G369,L368+G369))</f>
        <v/>
      </c>
      <c r="M369" s="72"/>
    </row>
    <row r="370" customFormat="false" ht="15.75" hidden="false" customHeight="true" outlineLevel="0" collapsed="false">
      <c r="A370" s="68" t="n">
        <v>366</v>
      </c>
      <c r="B370" s="78"/>
      <c r="C370" s="80"/>
      <c r="D370" s="80"/>
      <c r="E370" s="80"/>
      <c r="F370" s="80"/>
      <c r="G370" s="88"/>
      <c r="H370" s="80"/>
      <c r="I370" s="80"/>
      <c r="J370" s="80"/>
      <c r="K370" s="80"/>
      <c r="L370" s="83" t="str">
        <f aca="false">IF(G370="","",IF(L369="",G370,L369+G370))</f>
        <v/>
      </c>
      <c r="M370" s="80"/>
    </row>
    <row r="371" customFormat="false" ht="15.75" hidden="false" customHeight="true" outlineLevel="0" collapsed="false">
      <c r="A371" s="66" t="n">
        <v>367</v>
      </c>
      <c r="B371" s="70"/>
      <c r="C371" s="72"/>
      <c r="D371" s="72"/>
      <c r="E371" s="72"/>
      <c r="F371" s="72"/>
      <c r="G371" s="87"/>
      <c r="H371" s="72"/>
      <c r="I371" s="72"/>
      <c r="J371" s="72"/>
      <c r="K371" s="72"/>
      <c r="L371" s="75" t="str">
        <f aca="false">IF(G371="","",IF(L370="",G371,L370+G371))</f>
        <v/>
      </c>
      <c r="M371" s="72"/>
    </row>
    <row r="372" customFormat="false" ht="15.75" hidden="false" customHeight="true" outlineLevel="0" collapsed="false">
      <c r="A372" s="68" t="n">
        <v>368</v>
      </c>
      <c r="B372" s="78"/>
      <c r="C372" s="80"/>
      <c r="D372" s="80"/>
      <c r="E372" s="80"/>
      <c r="F372" s="80"/>
      <c r="G372" s="88"/>
      <c r="H372" s="80"/>
      <c r="I372" s="80"/>
      <c r="J372" s="80"/>
      <c r="K372" s="80"/>
      <c r="L372" s="83" t="str">
        <f aca="false">IF(G372="","",IF(L371="",G372,L371+G372))</f>
        <v/>
      </c>
      <c r="M372" s="80"/>
    </row>
    <row r="373" customFormat="false" ht="15.75" hidden="false" customHeight="true" outlineLevel="0" collapsed="false">
      <c r="A373" s="66" t="n">
        <v>369</v>
      </c>
      <c r="B373" s="70"/>
      <c r="C373" s="72"/>
      <c r="D373" s="72"/>
      <c r="E373" s="72"/>
      <c r="F373" s="72"/>
      <c r="G373" s="87"/>
      <c r="H373" s="72"/>
      <c r="I373" s="72"/>
      <c r="J373" s="72"/>
      <c r="K373" s="72"/>
      <c r="L373" s="75" t="str">
        <f aca="false">IF(G373="","",IF(L372="",G373,L372+G373))</f>
        <v/>
      </c>
      <c r="M373" s="72"/>
    </row>
    <row r="374" customFormat="false" ht="15.75" hidden="false" customHeight="true" outlineLevel="0" collapsed="false">
      <c r="A374" s="68" t="n">
        <v>370</v>
      </c>
      <c r="B374" s="78"/>
      <c r="C374" s="80"/>
      <c r="D374" s="80"/>
      <c r="E374" s="80"/>
      <c r="F374" s="80"/>
      <c r="G374" s="88"/>
      <c r="H374" s="80"/>
      <c r="I374" s="80"/>
      <c r="J374" s="80"/>
      <c r="K374" s="80"/>
      <c r="L374" s="83" t="str">
        <f aca="false">IF(G374="","",IF(L373="",G374,L373+G374))</f>
        <v/>
      </c>
      <c r="M374" s="80"/>
    </row>
    <row r="375" customFormat="false" ht="15.75" hidden="false" customHeight="true" outlineLevel="0" collapsed="false">
      <c r="A375" s="66" t="n">
        <v>371</v>
      </c>
      <c r="B375" s="70"/>
      <c r="C375" s="72"/>
      <c r="D375" s="72"/>
      <c r="E375" s="72"/>
      <c r="F375" s="72"/>
      <c r="G375" s="87"/>
      <c r="H375" s="72"/>
      <c r="I375" s="72"/>
      <c r="J375" s="72"/>
      <c r="K375" s="72"/>
      <c r="L375" s="75" t="str">
        <f aca="false">IF(G375="","",IF(L374="",G375,L374+G375))</f>
        <v/>
      </c>
      <c r="M375" s="72"/>
    </row>
    <row r="376" customFormat="false" ht="15.75" hidden="false" customHeight="true" outlineLevel="0" collapsed="false">
      <c r="A376" s="68" t="n">
        <v>372</v>
      </c>
      <c r="B376" s="78"/>
      <c r="C376" s="80"/>
      <c r="D376" s="80"/>
      <c r="E376" s="80"/>
      <c r="F376" s="80"/>
      <c r="G376" s="88"/>
      <c r="H376" s="80"/>
      <c r="I376" s="80"/>
      <c r="J376" s="80"/>
      <c r="K376" s="80"/>
      <c r="L376" s="83" t="str">
        <f aca="false">IF(G376="","",IF(L375="",G376,L375+G376))</f>
        <v/>
      </c>
      <c r="M376" s="80"/>
    </row>
    <row r="377" customFormat="false" ht="15.75" hidden="false" customHeight="true" outlineLevel="0" collapsed="false">
      <c r="A377" s="66" t="n">
        <v>373</v>
      </c>
      <c r="B377" s="70"/>
      <c r="C377" s="72"/>
      <c r="D377" s="72"/>
      <c r="E377" s="72"/>
      <c r="F377" s="72"/>
      <c r="G377" s="87"/>
      <c r="H377" s="72"/>
      <c r="I377" s="72"/>
      <c r="J377" s="72"/>
      <c r="K377" s="72"/>
      <c r="L377" s="75" t="str">
        <f aca="false">IF(G377="","",IF(L376="",G377,L376+G377))</f>
        <v/>
      </c>
      <c r="M377" s="72"/>
    </row>
    <row r="378" customFormat="false" ht="15.75" hidden="false" customHeight="true" outlineLevel="0" collapsed="false">
      <c r="A378" s="68" t="n">
        <v>374</v>
      </c>
      <c r="B378" s="78"/>
      <c r="C378" s="80"/>
      <c r="D378" s="80"/>
      <c r="E378" s="80"/>
      <c r="F378" s="80"/>
      <c r="G378" s="88"/>
      <c r="H378" s="80"/>
      <c r="I378" s="80"/>
      <c r="J378" s="80"/>
      <c r="K378" s="80"/>
      <c r="L378" s="83" t="str">
        <f aca="false">IF(G378="","",IF(L377="",G378,L377+G378))</f>
        <v/>
      </c>
      <c r="M378" s="80"/>
    </row>
    <row r="379" customFormat="false" ht="15.75" hidden="false" customHeight="true" outlineLevel="0" collapsed="false">
      <c r="A379" s="66" t="n">
        <v>375</v>
      </c>
      <c r="B379" s="70"/>
      <c r="C379" s="72"/>
      <c r="D379" s="72"/>
      <c r="E379" s="72"/>
      <c r="F379" s="72"/>
      <c r="G379" s="87"/>
      <c r="H379" s="72"/>
      <c r="I379" s="72"/>
      <c r="J379" s="72"/>
      <c r="K379" s="72"/>
      <c r="L379" s="75" t="str">
        <f aca="false">IF(G379="","",IF(L378="",G379,L378+G379))</f>
        <v/>
      </c>
      <c r="M379" s="72"/>
    </row>
    <row r="380" customFormat="false" ht="15.75" hidden="false" customHeight="true" outlineLevel="0" collapsed="false">
      <c r="A380" s="68" t="n">
        <v>376</v>
      </c>
      <c r="B380" s="78"/>
      <c r="C380" s="80"/>
      <c r="D380" s="80"/>
      <c r="E380" s="80"/>
      <c r="F380" s="80"/>
      <c r="G380" s="88"/>
      <c r="H380" s="80"/>
      <c r="I380" s="80"/>
      <c r="J380" s="80"/>
      <c r="K380" s="80"/>
      <c r="L380" s="83" t="str">
        <f aca="false">IF(G380="","",IF(L379="",G380,L379+G380))</f>
        <v/>
      </c>
      <c r="M380" s="80"/>
    </row>
    <row r="381" customFormat="false" ht="15.75" hidden="false" customHeight="true" outlineLevel="0" collapsed="false">
      <c r="A381" s="66" t="n">
        <v>377</v>
      </c>
      <c r="B381" s="70"/>
      <c r="C381" s="72"/>
      <c r="D381" s="72"/>
      <c r="E381" s="72"/>
      <c r="F381" s="72"/>
      <c r="G381" s="87"/>
      <c r="H381" s="72"/>
      <c r="I381" s="72"/>
      <c r="J381" s="72"/>
      <c r="K381" s="72"/>
      <c r="L381" s="75" t="str">
        <f aca="false">IF(G381="","",IF(L380="",G381,L380+G381))</f>
        <v/>
      </c>
      <c r="M381" s="72"/>
    </row>
    <row r="382" customFormat="false" ht="15.75" hidden="false" customHeight="true" outlineLevel="0" collapsed="false">
      <c r="A382" s="68" t="n">
        <v>378</v>
      </c>
      <c r="B382" s="78"/>
      <c r="C382" s="80"/>
      <c r="D382" s="80"/>
      <c r="E382" s="80"/>
      <c r="F382" s="80"/>
      <c r="G382" s="88"/>
      <c r="H382" s="80"/>
      <c r="I382" s="80"/>
      <c r="J382" s="80"/>
      <c r="K382" s="80"/>
      <c r="L382" s="83" t="str">
        <f aca="false">IF(G382="","",IF(L381="",G382,L381+G382))</f>
        <v/>
      </c>
      <c r="M382" s="80"/>
    </row>
    <row r="383" customFormat="false" ht="15.75" hidden="false" customHeight="true" outlineLevel="0" collapsed="false">
      <c r="A383" s="66" t="n">
        <v>379</v>
      </c>
      <c r="B383" s="70"/>
      <c r="C383" s="72"/>
      <c r="D383" s="72"/>
      <c r="E383" s="72"/>
      <c r="F383" s="72"/>
      <c r="G383" s="87"/>
      <c r="H383" s="72"/>
      <c r="I383" s="72"/>
      <c r="J383" s="72"/>
      <c r="K383" s="72"/>
      <c r="L383" s="75" t="str">
        <f aca="false">IF(G383="","",IF(L382="",G383,L382+G383))</f>
        <v/>
      </c>
      <c r="M383" s="72"/>
    </row>
    <row r="384" customFormat="false" ht="15.75" hidden="false" customHeight="true" outlineLevel="0" collapsed="false">
      <c r="A384" s="68" t="n">
        <v>380</v>
      </c>
      <c r="B384" s="78"/>
      <c r="C384" s="80"/>
      <c r="D384" s="80"/>
      <c r="E384" s="80"/>
      <c r="F384" s="80"/>
      <c r="G384" s="88"/>
      <c r="H384" s="80"/>
      <c r="I384" s="80"/>
      <c r="J384" s="80"/>
      <c r="K384" s="80"/>
      <c r="L384" s="83" t="str">
        <f aca="false">IF(G384="","",IF(L383="",G384,L383+G384))</f>
        <v/>
      </c>
      <c r="M384" s="80"/>
    </row>
    <row r="385" customFormat="false" ht="15.75" hidden="false" customHeight="true" outlineLevel="0" collapsed="false">
      <c r="A385" s="66" t="n">
        <v>381</v>
      </c>
      <c r="B385" s="70"/>
      <c r="C385" s="72"/>
      <c r="D385" s="72"/>
      <c r="E385" s="72"/>
      <c r="F385" s="72"/>
      <c r="G385" s="87"/>
      <c r="H385" s="72"/>
      <c r="I385" s="72"/>
      <c r="J385" s="72"/>
      <c r="K385" s="72"/>
      <c r="L385" s="75" t="str">
        <f aca="false">IF(G385="","",IF(L384="",G385,L384+G385))</f>
        <v/>
      </c>
      <c r="M385" s="72"/>
    </row>
    <row r="386" customFormat="false" ht="15.75" hidden="false" customHeight="true" outlineLevel="0" collapsed="false">
      <c r="A386" s="68" t="n">
        <v>382</v>
      </c>
      <c r="B386" s="78"/>
      <c r="C386" s="80"/>
      <c r="D386" s="80"/>
      <c r="E386" s="80"/>
      <c r="F386" s="80"/>
      <c r="G386" s="88"/>
      <c r="H386" s="80"/>
      <c r="I386" s="80"/>
      <c r="J386" s="80"/>
      <c r="K386" s="80"/>
      <c r="L386" s="83" t="str">
        <f aca="false">IF(G386="","",IF(L385="",G386,L385+G386))</f>
        <v/>
      </c>
      <c r="M386" s="80"/>
    </row>
    <row r="387" customFormat="false" ht="15.75" hidden="false" customHeight="true" outlineLevel="0" collapsed="false">
      <c r="A387" s="66" t="n">
        <v>383</v>
      </c>
      <c r="B387" s="70"/>
      <c r="C387" s="72"/>
      <c r="D387" s="72"/>
      <c r="E387" s="72"/>
      <c r="F387" s="72"/>
      <c r="G387" s="87"/>
      <c r="H387" s="72"/>
      <c r="I387" s="72"/>
      <c r="J387" s="72"/>
      <c r="K387" s="72"/>
      <c r="L387" s="75" t="str">
        <f aca="false">IF(G387="","",IF(L386="",G387,L386+G387))</f>
        <v/>
      </c>
      <c r="M387" s="72"/>
    </row>
    <row r="388" customFormat="false" ht="15.75" hidden="false" customHeight="true" outlineLevel="0" collapsed="false">
      <c r="A388" s="68" t="n">
        <v>384</v>
      </c>
      <c r="B388" s="78"/>
      <c r="C388" s="80"/>
      <c r="D388" s="80"/>
      <c r="E388" s="80"/>
      <c r="F388" s="80"/>
      <c r="G388" s="88"/>
      <c r="H388" s="80"/>
      <c r="I388" s="80"/>
      <c r="J388" s="80"/>
      <c r="K388" s="80"/>
      <c r="L388" s="83" t="str">
        <f aca="false">IF(G388="","",IF(L387="",G388,L387+G388))</f>
        <v/>
      </c>
      <c r="M388" s="80"/>
    </row>
    <row r="389" customFormat="false" ht="15.75" hidden="false" customHeight="true" outlineLevel="0" collapsed="false">
      <c r="A389" s="66" t="n">
        <v>385</v>
      </c>
      <c r="B389" s="70"/>
      <c r="C389" s="72"/>
      <c r="D389" s="72"/>
      <c r="E389" s="72"/>
      <c r="F389" s="72"/>
      <c r="G389" s="87"/>
      <c r="H389" s="72"/>
      <c r="I389" s="72"/>
      <c r="J389" s="72"/>
      <c r="K389" s="72"/>
      <c r="L389" s="75" t="str">
        <f aca="false">IF(G389="","",IF(L388="",G389,L388+G389))</f>
        <v/>
      </c>
      <c r="M389" s="72"/>
    </row>
    <row r="390" customFormat="false" ht="15.75" hidden="false" customHeight="true" outlineLevel="0" collapsed="false">
      <c r="A390" s="68" t="n">
        <v>386</v>
      </c>
      <c r="B390" s="78"/>
      <c r="C390" s="80"/>
      <c r="D390" s="80"/>
      <c r="E390" s="80"/>
      <c r="F390" s="80"/>
      <c r="G390" s="88"/>
      <c r="H390" s="80"/>
      <c r="I390" s="80"/>
      <c r="J390" s="80"/>
      <c r="K390" s="80"/>
      <c r="L390" s="83" t="str">
        <f aca="false">IF(G390="","",IF(L389="",G390,L389+G390))</f>
        <v/>
      </c>
      <c r="M390" s="80"/>
    </row>
    <row r="391" customFormat="false" ht="15.75" hidden="false" customHeight="true" outlineLevel="0" collapsed="false">
      <c r="A391" s="66" t="n">
        <v>387</v>
      </c>
      <c r="B391" s="70"/>
      <c r="C391" s="72"/>
      <c r="D391" s="72"/>
      <c r="E391" s="72"/>
      <c r="F391" s="72"/>
      <c r="G391" s="87"/>
      <c r="H391" s="72"/>
      <c r="I391" s="72"/>
      <c r="J391" s="72"/>
      <c r="K391" s="72"/>
      <c r="L391" s="75" t="str">
        <f aca="false">IF(G391="","",IF(L390="",G391,L390+G391))</f>
        <v/>
      </c>
      <c r="M391" s="72"/>
    </row>
    <row r="392" customFormat="false" ht="15.75" hidden="false" customHeight="true" outlineLevel="0" collapsed="false">
      <c r="A392" s="68" t="n">
        <v>388</v>
      </c>
      <c r="B392" s="78"/>
      <c r="C392" s="80"/>
      <c r="D392" s="80"/>
      <c r="E392" s="80"/>
      <c r="F392" s="80"/>
      <c r="G392" s="88"/>
      <c r="H392" s="80"/>
      <c r="I392" s="80"/>
      <c r="J392" s="80"/>
      <c r="K392" s="80"/>
      <c r="L392" s="83" t="str">
        <f aca="false">IF(G392="","",IF(L391="",G392,L391+G392))</f>
        <v/>
      </c>
      <c r="M392" s="80"/>
    </row>
    <row r="393" customFormat="false" ht="15.75" hidden="false" customHeight="true" outlineLevel="0" collapsed="false">
      <c r="A393" s="66" t="n">
        <v>389</v>
      </c>
      <c r="B393" s="70"/>
      <c r="C393" s="72"/>
      <c r="D393" s="72"/>
      <c r="E393" s="72"/>
      <c r="F393" s="72"/>
      <c r="G393" s="87"/>
      <c r="H393" s="72"/>
      <c r="I393" s="72"/>
      <c r="J393" s="72"/>
      <c r="K393" s="72"/>
      <c r="L393" s="75" t="str">
        <f aca="false">IF(G393="","",IF(L392="",G393,L392+G393))</f>
        <v/>
      </c>
      <c r="M393" s="72"/>
    </row>
    <row r="394" customFormat="false" ht="15.75" hidden="false" customHeight="true" outlineLevel="0" collapsed="false">
      <c r="A394" s="68" t="n">
        <v>390</v>
      </c>
      <c r="B394" s="78"/>
      <c r="C394" s="80"/>
      <c r="D394" s="80"/>
      <c r="E394" s="80"/>
      <c r="F394" s="80"/>
      <c r="G394" s="88"/>
      <c r="H394" s="80"/>
      <c r="I394" s="80"/>
      <c r="J394" s="80"/>
      <c r="K394" s="80"/>
      <c r="L394" s="83" t="str">
        <f aca="false">IF(G394="","",IF(L393="",G394,L393+G394))</f>
        <v/>
      </c>
      <c r="M394" s="80"/>
    </row>
    <row r="395" customFormat="false" ht="15.75" hidden="false" customHeight="true" outlineLevel="0" collapsed="false">
      <c r="A395" s="66" t="n">
        <v>391</v>
      </c>
      <c r="B395" s="70"/>
      <c r="C395" s="72"/>
      <c r="D395" s="72"/>
      <c r="E395" s="72"/>
      <c r="F395" s="72"/>
      <c r="G395" s="87"/>
      <c r="H395" s="72"/>
      <c r="I395" s="72"/>
      <c r="J395" s="72"/>
      <c r="K395" s="72"/>
      <c r="L395" s="75" t="str">
        <f aca="false">IF(G395="","",IF(L394="",G395,L394+G395))</f>
        <v/>
      </c>
      <c r="M395" s="72"/>
    </row>
    <row r="396" customFormat="false" ht="15.75" hidden="false" customHeight="true" outlineLevel="0" collapsed="false">
      <c r="A396" s="68" t="n">
        <v>392</v>
      </c>
      <c r="B396" s="78"/>
      <c r="C396" s="80"/>
      <c r="D396" s="80"/>
      <c r="E396" s="80"/>
      <c r="F396" s="80"/>
      <c r="G396" s="88"/>
      <c r="H396" s="80"/>
      <c r="I396" s="80"/>
      <c r="J396" s="80"/>
      <c r="K396" s="80"/>
      <c r="L396" s="83" t="str">
        <f aca="false">IF(G396="","",IF(L395="",G396,L395+G396))</f>
        <v/>
      </c>
      <c r="M396" s="80"/>
    </row>
    <row r="397" customFormat="false" ht="15.75" hidden="false" customHeight="true" outlineLevel="0" collapsed="false">
      <c r="A397" s="66" t="n">
        <v>393</v>
      </c>
      <c r="B397" s="70"/>
      <c r="C397" s="72"/>
      <c r="D397" s="72"/>
      <c r="E397" s="72"/>
      <c r="F397" s="72"/>
      <c r="G397" s="87"/>
      <c r="H397" s="72"/>
      <c r="I397" s="72"/>
      <c r="J397" s="72"/>
      <c r="K397" s="72"/>
      <c r="L397" s="75" t="str">
        <f aca="false">IF(G397="","",IF(L396="",G397,L396+G397))</f>
        <v/>
      </c>
      <c r="M397" s="72"/>
    </row>
    <row r="398" customFormat="false" ht="15.75" hidden="false" customHeight="true" outlineLevel="0" collapsed="false">
      <c r="A398" s="68" t="n">
        <v>394</v>
      </c>
      <c r="B398" s="78"/>
      <c r="C398" s="80"/>
      <c r="D398" s="80"/>
      <c r="E398" s="80"/>
      <c r="F398" s="80"/>
      <c r="G398" s="88"/>
      <c r="H398" s="80"/>
      <c r="I398" s="80"/>
      <c r="J398" s="80"/>
      <c r="K398" s="80"/>
      <c r="L398" s="83" t="str">
        <f aca="false">IF(G398="","",IF(L397="",G398,L397+G398))</f>
        <v/>
      </c>
      <c r="M398" s="80"/>
    </row>
    <row r="399" customFormat="false" ht="15.75" hidden="false" customHeight="true" outlineLevel="0" collapsed="false">
      <c r="A399" s="66" t="n">
        <v>395</v>
      </c>
      <c r="B399" s="70"/>
      <c r="C399" s="72"/>
      <c r="D399" s="72"/>
      <c r="E399" s="72"/>
      <c r="F399" s="72"/>
      <c r="G399" s="87"/>
      <c r="H399" s="72"/>
      <c r="I399" s="72"/>
      <c r="J399" s="72"/>
      <c r="K399" s="72"/>
      <c r="L399" s="75" t="str">
        <f aca="false">IF(G399="","",IF(L398="",G399,L398+G399))</f>
        <v/>
      </c>
      <c r="M399" s="72"/>
    </row>
    <row r="400" customFormat="false" ht="15.75" hidden="false" customHeight="true" outlineLevel="0" collapsed="false">
      <c r="A400" s="68" t="n">
        <v>396</v>
      </c>
      <c r="B400" s="78"/>
      <c r="C400" s="80"/>
      <c r="D400" s="80"/>
      <c r="E400" s="80"/>
      <c r="F400" s="80"/>
      <c r="G400" s="88"/>
      <c r="H400" s="80"/>
      <c r="I400" s="80"/>
      <c r="J400" s="80"/>
      <c r="K400" s="80"/>
      <c r="L400" s="83" t="str">
        <f aca="false">IF(G400="","",IF(L399="",G400,L399+G400))</f>
        <v/>
      </c>
      <c r="M400" s="80"/>
    </row>
    <row r="401" customFormat="false" ht="15.75" hidden="false" customHeight="true" outlineLevel="0" collapsed="false">
      <c r="A401" s="66" t="n">
        <v>397</v>
      </c>
      <c r="B401" s="70"/>
      <c r="C401" s="72"/>
      <c r="D401" s="72"/>
      <c r="E401" s="72"/>
      <c r="F401" s="72"/>
      <c r="G401" s="87"/>
      <c r="H401" s="72"/>
      <c r="I401" s="72"/>
      <c r="J401" s="72"/>
      <c r="K401" s="72"/>
      <c r="L401" s="75" t="str">
        <f aca="false">IF(G401="","",IF(L400="",G401,L400+G401))</f>
        <v/>
      </c>
      <c r="M401" s="72"/>
    </row>
    <row r="402" customFormat="false" ht="15.75" hidden="false" customHeight="true" outlineLevel="0" collapsed="false">
      <c r="A402" s="68" t="n">
        <v>398</v>
      </c>
      <c r="B402" s="78"/>
      <c r="C402" s="80"/>
      <c r="D402" s="80"/>
      <c r="E402" s="80"/>
      <c r="F402" s="80"/>
      <c r="G402" s="88"/>
      <c r="H402" s="80"/>
      <c r="I402" s="80"/>
      <c r="J402" s="80"/>
      <c r="K402" s="80"/>
      <c r="L402" s="83" t="str">
        <f aca="false">IF(G402="","",IF(L401="",G402,L401+G402))</f>
        <v/>
      </c>
      <c r="M402" s="80"/>
    </row>
    <row r="403" customFormat="false" ht="15.75" hidden="false" customHeight="true" outlineLevel="0" collapsed="false">
      <c r="A403" s="66" t="n">
        <v>399</v>
      </c>
      <c r="B403" s="70"/>
      <c r="C403" s="72"/>
      <c r="D403" s="72"/>
      <c r="E403" s="72"/>
      <c r="F403" s="72"/>
      <c r="G403" s="87"/>
      <c r="H403" s="72"/>
      <c r="I403" s="72"/>
      <c r="J403" s="72"/>
      <c r="K403" s="72"/>
      <c r="L403" s="75" t="str">
        <f aca="false">IF(G403="","",IF(L402="",G403,L402+G403))</f>
        <v/>
      </c>
      <c r="M403" s="72"/>
    </row>
    <row r="404" customFormat="false" ht="15.75" hidden="false" customHeight="true" outlineLevel="0" collapsed="false">
      <c r="A404" s="68" t="n">
        <v>400</v>
      </c>
      <c r="B404" s="78"/>
      <c r="C404" s="80"/>
      <c r="D404" s="80"/>
      <c r="E404" s="80"/>
      <c r="F404" s="80"/>
      <c r="G404" s="88"/>
      <c r="H404" s="80"/>
      <c r="I404" s="80"/>
      <c r="J404" s="80"/>
      <c r="K404" s="80"/>
      <c r="L404" s="83" t="str">
        <f aca="false">IF(G404="","",IF(L403="",G404,L403+G404))</f>
        <v/>
      </c>
      <c r="M404" s="80"/>
    </row>
    <row r="405" customFormat="false" ht="15.75" hidden="false" customHeight="true" outlineLevel="0" collapsed="false">
      <c r="A405" s="66" t="n">
        <v>401</v>
      </c>
      <c r="B405" s="70"/>
      <c r="C405" s="72"/>
      <c r="D405" s="72"/>
      <c r="E405" s="72"/>
      <c r="F405" s="72"/>
      <c r="G405" s="87"/>
      <c r="H405" s="72"/>
      <c r="I405" s="72"/>
      <c r="J405" s="72"/>
      <c r="K405" s="72"/>
      <c r="L405" s="75" t="str">
        <f aca="false">IF(G405="","",IF(L404="",G405,L404+G405))</f>
        <v/>
      </c>
      <c r="M405" s="72"/>
    </row>
    <row r="406" customFormat="false" ht="15.75" hidden="false" customHeight="true" outlineLevel="0" collapsed="false">
      <c r="A406" s="68" t="n">
        <v>402</v>
      </c>
      <c r="B406" s="78"/>
      <c r="C406" s="80"/>
      <c r="D406" s="80"/>
      <c r="E406" s="80"/>
      <c r="F406" s="80"/>
      <c r="G406" s="88"/>
      <c r="H406" s="80"/>
      <c r="I406" s="80"/>
      <c r="J406" s="80"/>
      <c r="K406" s="80"/>
      <c r="L406" s="83" t="str">
        <f aca="false">IF(G406="","",IF(L405="",G406,L405+G406))</f>
        <v/>
      </c>
      <c r="M406" s="80"/>
    </row>
    <row r="407" customFormat="false" ht="15.75" hidden="false" customHeight="true" outlineLevel="0" collapsed="false">
      <c r="A407" s="66" t="n">
        <v>403</v>
      </c>
      <c r="B407" s="70"/>
      <c r="C407" s="72"/>
      <c r="D407" s="72"/>
      <c r="E407" s="72"/>
      <c r="F407" s="72"/>
      <c r="G407" s="87"/>
      <c r="H407" s="72"/>
      <c r="I407" s="72"/>
      <c r="J407" s="72"/>
      <c r="K407" s="72"/>
      <c r="L407" s="75" t="str">
        <f aca="false">IF(G407="","",IF(L406="",G407,L406+G407))</f>
        <v/>
      </c>
      <c r="M407" s="72"/>
    </row>
    <row r="408" customFormat="false" ht="15.75" hidden="false" customHeight="true" outlineLevel="0" collapsed="false">
      <c r="A408" s="68" t="n">
        <v>404</v>
      </c>
      <c r="B408" s="78"/>
      <c r="C408" s="80"/>
      <c r="D408" s="80"/>
      <c r="E408" s="80"/>
      <c r="F408" s="80"/>
      <c r="G408" s="88"/>
      <c r="H408" s="80"/>
      <c r="I408" s="80"/>
      <c r="J408" s="80"/>
      <c r="K408" s="80"/>
      <c r="L408" s="83" t="str">
        <f aca="false">IF(G408="","",IF(L407="",G408,L407+G408))</f>
        <v/>
      </c>
      <c r="M408" s="80"/>
    </row>
    <row r="409" customFormat="false" ht="15.75" hidden="false" customHeight="true" outlineLevel="0" collapsed="false">
      <c r="A409" s="66" t="n">
        <v>405</v>
      </c>
      <c r="B409" s="70"/>
      <c r="C409" s="72"/>
      <c r="D409" s="72"/>
      <c r="E409" s="72"/>
      <c r="F409" s="72"/>
      <c r="G409" s="87"/>
      <c r="H409" s="72"/>
      <c r="I409" s="72"/>
      <c r="J409" s="72"/>
      <c r="K409" s="72"/>
      <c r="L409" s="75" t="str">
        <f aca="false">IF(G409="","",IF(L408="",G409,L408+G409))</f>
        <v/>
      </c>
      <c r="M409" s="72"/>
    </row>
    <row r="410" customFormat="false" ht="15.75" hidden="false" customHeight="true" outlineLevel="0" collapsed="false">
      <c r="A410" s="68" t="n">
        <v>406</v>
      </c>
      <c r="B410" s="78"/>
      <c r="C410" s="80"/>
      <c r="D410" s="80"/>
      <c r="E410" s="80"/>
      <c r="F410" s="80"/>
      <c r="G410" s="88"/>
      <c r="H410" s="80"/>
      <c r="I410" s="80"/>
      <c r="J410" s="80"/>
      <c r="K410" s="80"/>
      <c r="L410" s="83" t="str">
        <f aca="false">IF(G410="","",IF(L409="",G410,L409+G410))</f>
        <v/>
      </c>
      <c r="M410" s="80"/>
    </row>
    <row r="411" customFormat="false" ht="15.75" hidden="false" customHeight="true" outlineLevel="0" collapsed="false">
      <c r="A411" s="66" t="n">
        <v>407</v>
      </c>
      <c r="B411" s="70"/>
      <c r="C411" s="72"/>
      <c r="D411" s="72"/>
      <c r="E411" s="72"/>
      <c r="F411" s="72"/>
      <c r="G411" s="87"/>
      <c r="H411" s="72"/>
      <c r="I411" s="72"/>
      <c r="J411" s="72"/>
      <c r="K411" s="72"/>
      <c r="L411" s="75" t="str">
        <f aca="false">IF(G411="","",IF(L410="",G411,L410+G411))</f>
        <v/>
      </c>
      <c r="M411" s="72"/>
    </row>
    <row r="412" customFormat="false" ht="15.75" hidden="false" customHeight="true" outlineLevel="0" collapsed="false">
      <c r="A412" s="68" t="n">
        <v>408</v>
      </c>
      <c r="B412" s="78"/>
      <c r="C412" s="80"/>
      <c r="D412" s="80"/>
      <c r="E412" s="80"/>
      <c r="F412" s="80"/>
      <c r="G412" s="88"/>
      <c r="H412" s="80"/>
      <c r="I412" s="80"/>
      <c r="J412" s="80"/>
      <c r="K412" s="80"/>
      <c r="L412" s="83" t="str">
        <f aca="false">IF(G412="","",IF(L411="",G412,L411+G412))</f>
        <v/>
      </c>
      <c r="M412" s="80"/>
    </row>
    <row r="413" customFormat="false" ht="15.75" hidden="false" customHeight="true" outlineLevel="0" collapsed="false">
      <c r="A413" s="66" t="n">
        <v>409</v>
      </c>
      <c r="B413" s="70"/>
      <c r="C413" s="72"/>
      <c r="D413" s="72"/>
      <c r="E413" s="72"/>
      <c r="F413" s="72"/>
      <c r="G413" s="87"/>
      <c r="H413" s="72"/>
      <c r="I413" s="72"/>
      <c r="J413" s="72"/>
      <c r="K413" s="72"/>
      <c r="L413" s="75" t="str">
        <f aca="false">IF(G413="","",IF(L412="",G413,L412+G413))</f>
        <v/>
      </c>
      <c r="M413" s="72"/>
    </row>
    <row r="414" customFormat="false" ht="15.75" hidden="false" customHeight="true" outlineLevel="0" collapsed="false">
      <c r="A414" s="68" t="n">
        <v>410</v>
      </c>
      <c r="B414" s="78"/>
      <c r="C414" s="80"/>
      <c r="D414" s="80"/>
      <c r="E414" s="80"/>
      <c r="F414" s="80"/>
      <c r="G414" s="88"/>
      <c r="H414" s="80"/>
      <c r="I414" s="80"/>
      <c r="J414" s="80"/>
      <c r="K414" s="80"/>
      <c r="L414" s="83" t="str">
        <f aca="false">IF(G414="","",IF(L413="",G414,L413+G414))</f>
        <v/>
      </c>
      <c r="M414" s="80"/>
    </row>
    <row r="415" customFormat="false" ht="15.75" hidden="false" customHeight="true" outlineLevel="0" collapsed="false">
      <c r="A415" s="66" t="n">
        <v>411</v>
      </c>
      <c r="B415" s="70"/>
      <c r="C415" s="72"/>
      <c r="D415" s="72"/>
      <c r="E415" s="72"/>
      <c r="F415" s="72"/>
      <c r="G415" s="87"/>
      <c r="H415" s="72"/>
      <c r="I415" s="72"/>
      <c r="J415" s="72"/>
      <c r="K415" s="72"/>
      <c r="L415" s="75" t="str">
        <f aca="false">IF(G415="","",IF(L414="",G415,L414+G415))</f>
        <v/>
      </c>
      <c r="M415" s="72"/>
    </row>
    <row r="416" customFormat="false" ht="15.75" hidden="false" customHeight="true" outlineLevel="0" collapsed="false">
      <c r="A416" s="68" t="n">
        <v>412</v>
      </c>
      <c r="B416" s="78"/>
      <c r="C416" s="80"/>
      <c r="D416" s="80"/>
      <c r="E416" s="80"/>
      <c r="F416" s="80"/>
      <c r="G416" s="88"/>
      <c r="H416" s="80"/>
      <c r="I416" s="80"/>
      <c r="J416" s="80"/>
      <c r="K416" s="80"/>
      <c r="L416" s="83" t="str">
        <f aca="false">IF(G416="","",IF(L415="",G416,L415+G416))</f>
        <v/>
      </c>
      <c r="M416" s="80"/>
    </row>
    <row r="417" customFormat="false" ht="15.75" hidden="false" customHeight="true" outlineLevel="0" collapsed="false">
      <c r="A417" s="66" t="n">
        <v>413</v>
      </c>
      <c r="B417" s="70"/>
      <c r="C417" s="72"/>
      <c r="D417" s="72"/>
      <c r="E417" s="72"/>
      <c r="F417" s="72"/>
      <c r="G417" s="87"/>
      <c r="H417" s="72"/>
      <c r="I417" s="72"/>
      <c r="J417" s="72"/>
      <c r="K417" s="72"/>
      <c r="L417" s="75" t="str">
        <f aca="false">IF(G417="","",IF(L416="",G417,L416+G417))</f>
        <v/>
      </c>
      <c r="M417" s="72"/>
    </row>
    <row r="418" customFormat="false" ht="15.75" hidden="false" customHeight="true" outlineLevel="0" collapsed="false">
      <c r="A418" s="68" t="n">
        <v>414</v>
      </c>
      <c r="B418" s="78"/>
      <c r="C418" s="80"/>
      <c r="D418" s="80"/>
      <c r="E418" s="80"/>
      <c r="F418" s="80"/>
      <c r="G418" s="88"/>
      <c r="H418" s="80"/>
      <c r="I418" s="80"/>
      <c r="J418" s="80"/>
      <c r="K418" s="80"/>
      <c r="L418" s="83" t="str">
        <f aca="false">IF(G418="","",IF(L417="",G418,L417+G418))</f>
        <v/>
      </c>
      <c r="M418" s="80"/>
    </row>
    <row r="419" customFormat="false" ht="15.75" hidden="false" customHeight="true" outlineLevel="0" collapsed="false">
      <c r="A419" s="66" t="n">
        <v>415</v>
      </c>
      <c r="B419" s="70"/>
      <c r="C419" s="72"/>
      <c r="D419" s="72"/>
      <c r="E419" s="72"/>
      <c r="F419" s="72"/>
      <c r="G419" s="87"/>
      <c r="H419" s="72"/>
      <c r="I419" s="72"/>
      <c r="J419" s="72"/>
      <c r="K419" s="72"/>
      <c r="L419" s="75" t="str">
        <f aca="false">IF(G419="","",IF(L418="",G419,L418+G419))</f>
        <v/>
      </c>
      <c r="M419" s="72"/>
    </row>
    <row r="420" customFormat="false" ht="15.75" hidden="false" customHeight="true" outlineLevel="0" collapsed="false">
      <c r="A420" s="68" t="n">
        <v>416</v>
      </c>
      <c r="B420" s="78"/>
      <c r="C420" s="80"/>
      <c r="D420" s="80"/>
      <c r="E420" s="80"/>
      <c r="F420" s="80"/>
      <c r="G420" s="88"/>
      <c r="H420" s="80"/>
      <c r="I420" s="80"/>
      <c r="J420" s="80"/>
      <c r="K420" s="80"/>
      <c r="L420" s="83" t="str">
        <f aca="false">IF(G420="","",IF(L419="",G420,L419+G420))</f>
        <v/>
      </c>
      <c r="M420" s="80"/>
    </row>
    <row r="421" customFormat="false" ht="15.75" hidden="false" customHeight="true" outlineLevel="0" collapsed="false">
      <c r="A421" s="66" t="n">
        <v>417</v>
      </c>
      <c r="B421" s="70"/>
      <c r="C421" s="72"/>
      <c r="D421" s="72"/>
      <c r="E421" s="72"/>
      <c r="F421" s="72"/>
      <c r="G421" s="87"/>
      <c r="H421" s="72"/>
      <c r="I421" s="72"/>
      <c r="J421" s="72"/>
      <c r="K421" s="72"/>
      <c r="L421" s="75" t="str">
        <f aca="false">IF(G421="","",IF(L420="",G421,L420+G421))</f>
        <v/>
      </c>
      <c r="M421" s="72"/>
    </row>
    <row r="422" customFormat="false" ht="15.75" hidden="false" customHeight="true" outlineLevel="0" collapsed="false">
      <c r="A422" s="68" t="n">
        <v>418</v>
      </c>
      <c r="B422" s="78"/>
      <c r="C422" s="80"/>
      <c r="D422" s="80"/>
      <c r="E422" s="80"/>
      <c r="F422" s="80"/>
      <c r="G422" s="88"/>
      <c r="H422" s="80"/>
      <c r="I422" s="80"/>
      <c r="J422" s="80"/>
      <c r="K422" s="80"/>
      <c r="L422" s="83" t="str">
        <f aca="false">IF(G422="","",IF(L421="",G422,L421+G422))</f>
        <v/>
      </c>
      <c r="M422" s="80"/>
    </row>
    <row r="423" customFormat="false" ht="15.75" hidden="false" customHeight="true" outlineLevel="0" collapsed="false">
      <c r="A423" s="66" t="n">
        <v>419</v>
      </c>
      <c r="B423" s="70"/>
      <c r="C423" s="72"/>
      <c r="D423" s="72"/>
      <c r="E423" s="72"/>
      <c r="F423" s="72"/>
      <c r="G423" s="87"/>
      <c r="H423" s="72"/>
      <c r="I423" s="72"/>
      <c r="J423" s="72"/>
      <c r="K423" s="72"/>
      <c r="L423" s="75" t="str">
        <f aca="false">IF(G423="","",IF(L422="",G423,L422+G423))</f>
        <v/>
      </c>
      <c r="M423" s="72"/>
    </row>
    <row r="424" customFormat="false" ht="15.75" hidden="false" customHeight="true" outlineLevel="0" collapsed="false">
      <c r="A424" s="68" t="n">
        <v>420</v>
      </c>
      <c r="B424" s="78"/>
      <c r="C424" s="80"/>
      <c r="D424" s="80"/>
      <c r="E424" s="80"/>
      <c r="F424" s="80"/>
      <c r="G424" s="88"/>
      <c r="H424" s="80"/>
      <c r="I424" s="80"/>
      <c r="J424" s="80"/>
      <c r="K424" s="80"/>
      <c r="L424" s="83" t="str">
        <f aca="false">IF(G424="","",IF(L423="",G424,L423+G424))</f>
        <v/>
      </c>
      <c r="M424" s="80"/>
    </row>
    <row r="425" customFormat="false" ht="15.75" hidden="false" customHeight="true" outlineLevel="0" collapsed="false">
      <c r="A425" s="66" t="n">
        <v>421</v>
      </c>
      <c r="B425" s="70"/>
      <c r="C425" s="72"/>
      <c r="D425" s="72"/>
      <c r="E425" s="72"/>
      <c r="F425" s="72"/>
      <c r="G425" s="87"/>
      <c r="H425" s="72"/>
      <c r="I425" s="72"/>
      <c r="J425" s="72"/>
      <c r="K425" s="72"/>
      <c r="L425" s="75" t="str">
        <f aca="false">IF(G425="","",IF(L424="",G425,L424+G425))</f>
        <v/>
      </c>
      <c r="M425" s="72"/>
    </row>
    <row r="426" customFormat="false" ht="15.75" hidden="false" customHeight="true" outlineLevel="0" collapsed="false">
      <c r="A426" s="68" t="n">
        <v>422</v>
      </c>
      <c r="B426" s="78"/>
      <c r="C426" s="80"/>
      <c r="D426" s="80"/>
      <c r="E426" s="80"/>
      <c r="F426" s="80"/>
      <c r="G426" s="88"/>
      <c r="H426" s="80"/>
      <c r="I426" s="80"/>
      <c r="J426" s="80"/>
      <c r="K426" s="80"/>
      <c r="L426" s="83" t="str">
        <f aca="false">IF(G426="","",IF(L425="",G426,L425+G426))</f>
        <v/>
      </c>
      <c r="M426" s="80"/>
    </row>
    <row r="427" customFormat="false" ht="15.75" hidden="false" customHeight="true" outlineLevel="0" collapsed="false">
      <c r="A427" s="66" t="n">
        <v>423</v>
      </c>
      <c r="B427" s="70"/>
      <c r="C427" s="72"/>
      <c r="D427" s="72"/>
      <c r="E427" s="72"/>
      <c r="F427" s="72"/>
      <c r="G427" s="87"/>
      <c r="H427" s="72"/>
      <c r="I427" s="72"/>
      <c r="J427" s="72"/>
      <c r="K427" s="72"/>
      <c r="L427" s="75" t="str">
        <f aca="false">IF(G427="","",IF(L426="",G427,L426+G427))</f>
        <v/>
      </c>
      <c r="M427" s="72"/>
    </row>
    <row r="428" customFormat="false" ht="15.75" hidden="false" customHeight="true" outlineLevel="0" collapsed="false">
      <c r="A428" s="68" t="n">
        <v>424</v>
      </c>
      <c r="B428" s="78"/>
      <c r="C428" s="80"/>
      <c r="D428" s="80"/>
      <c r="E428" s="80"/>
      <c r="F428" s="80"/>
      <c r="G428" s="88"/>
      <c r="H428" s="80"/>
      <c r="I428" s="80"/>
      <c r="J428" s="80"/>
      <c r="K428" s="80"/>
      <c r="L428" s="83" t="str">
        <f aca="false">IF(G428="","",IF(L427="",G428,L427+G428))</f>
        <v/>
      </c>
      <c r="M428" s="80"/>
    </row>
    <row r="429" customFormat="false" ht="15.75" hidden="false" customHeight="true" outlineLevel="0" collapsed="false">
      <c r="A429" s="66" t="n">
        <v>425</v>
      </c>
      <c r="B429" s="70"/>
      <c r="C429" s="72"/>
      <c r="D429" s="72"/>
      <c r="E429" s="72"/>
      <c r="F429" s="72"/>
      <c r="G429" s="87"/>
      <c r="H429" s="72"/>
      <c r="I429" s="72"/>
      <c r="J429" s="72"/>
      <c r="K429" s="72"/>
      <c r="L429" s="75" t="str">
        <f aca="false">IF(G429="","",IF(L428="",G429,L428+G429))</f>
        <v/>
      </c>
      <c r="M429" s="72"/>
    </row>
    <row r="430" customFormat="false" ht="15.75" hidden="false" customHeight="true" outlineLevel="0" collapsed="false">
      <c r="A430" s="68" t="n">
        <v>426</v>
      </c>
      <c r="B430" s="78"/>
      <c r="C430" s="80"/>
      <c r="D430" s="80"/>
      <c r="E430" s="80"/>
      <c r="F430" s="80"/>
      <c r="G430" s="88"/>
      <c r="H430" s="80"/>
      <c r="I430" s="80"/>
      <c r="J430" s="80"/>
      <c r="K430" s="80"/>
      <c r="L430" s="83" t="str">
        <f aca="false">IF(G430="","",IF(L429="",G430,L429+G430))</f>
        <v/>
      </c>
      <c r="M430" s="80"/>
    </row>
    <row r="431" customFormat="false" ht="15.75" hidden="false" customHeight="true" outlineLevel="0" collapsed="false">
      <c r="A431" s="66" t="n">
        <v>427</v>
      </c>
      <c r="B431" s="70"/>
      <c r="C431" s="72"/>
      <c r="D431" s="72"/>
      <c r="E431" s="72"/>
      <c r="F431" s="72"/>
      <c r="G431" s="87"/>
      <c r="H431" s="72"/>
      <c r="I431" s="72"/>
      <c r="J431" s="72"/>
      <c r="K431" s="72"/>
      <c r="L431" s="75" t="str">
        <f aca="false">IF(G431="","",IF(L430="",G431,L430+G431))</f>
        <v/>
      </c>
      <c r="M431" s="72"/>
    </row>
    <row r="432" customFormat="false" ht="15.75" hidden="false" customHeight="true" outlineLevel="0" collapsed="false">
      <c r="A432" s="68" t="n">
        <v>428</v>
      </c>
      <c r="B432" s="78"/>
      <c r="C432" s="80"/>
      <c r="D432" s="80"/>
      <c r="E432" s="80"/>
      <c r="F432" s="80"/>
      <c r="G432" s="88"/>
      <c r="H432" s="80"/>
      <c r="I432" s="80"/>
      <c r="J432" s="80"/>
      <c r="K432" s="80"/>
      <c r="L432" s="83" t="str">
        <f aca="false">IF(G432="","",IF(L431="",G432,L431+G432))</f>
        <v/>
      </c>
      <c r="M432" s="80"/>
    </row>
    <row r="433" customFormat="false" ht="15.75" hidden="false" customHeight="true" outlineLevel="0" collapsed="false">
      <c r="A433" s="66" t="n">
        <v>429</v>
      </c>
      <c r="B433" s="70"/>
      <c r="C433" s="72"/>
      <c r="D433" s="72"/>
      <c r="E433" s="72"/>
      <c r="F433" s="72"/>
      <c r="G433" s="87"/>
      <c r="H433" s="72"/>
      <c r="I433" s="72"/>
      <c r="J433" s="72"/>
      <c r="K433" s="72"/>
      <c r="L433" s="75" t="str">
        <f aca="false">IF(G433="","",IF(L432="",G433,L432+G433))</f>
        <v/>
      </c>
      <c r="M433" s="72"/>
    </row>
    <row r="434" customFormat="false" ht="15.75" hidden="false" customHeight="true" outlineLevel="0" collapsed="false">
      <c r="A434" s="68" t="n">
        <v>430</v>
      </c>
      <c r="B434" s="78"/>
      <c r="C434" s="80"/>
      <c r="D434" s="80"/>
      <c r="E434" s="80"/>
      <c r="F434" s="80"/>
      <c r="G434" s="88"/>
      <c r="H434" s="80"/>
      <c r="I434" s="80"/>
      <c r="J434" s="80"/>
      <c r="K434" s="80"/>
      <c r="L434" s="83" t="str">
        <f aca="false">IF(G434="","",IF(L433="",G434,L433+G434))</f>
        <v/>
      </c>
      <c r="M434" s="80"/>
    </row>
    <row r="435" customFormat="false" ht="15.75" hidden="false" customHeight="true" outlineLevel="0" collapsed="false">
      <c r="A435" s="66" t="n">
        <v>431</v>
      </c>
      <c r="B435" s="70"/>
      <c r="C435" s="72"/>
      <c r="D435" s="72"/>
      <c r="E435" s="72"/>
      <c r="F435" s="72"/>
      <c r="G435" s="87"/>
      <c r="H435" s="72"/>
      <c r="I435" s="72"/>
      <c r="J435" s="72"/>
      <c r="K435" s="72"/>
      <c r="L435" s="75" t="str">
        <f aca="false">IF(G435="","",IF(L434="",G435,L434+G435))</f>
        <v/>
      </c>
      <c r="M435" s="72"/>
    </row>
    <row r="436" customFormat="false" ht="15.75" hidden="false" customHeight="true" outlineLevel="0" collapsed="false">
      <c r="A436" s="68" t="n">
        <v>432</v>
      </c>
      <c r="B436" s="78"/>
      <c r="C436" s="80"/>
      <c r="D436" s="80"/>
      <c r="E436" s="80"/>
      <c r="F436" s="80"/>
      <c r="G436" s="88"/>
      <c r="H436" s="80"/>
      <c r="I436" s="80"/>
      <c r="J436" s="80"/>
      <c r="K436" s="80"/>
      <c r="L436" s="83" t="str">
        <f aca="false">IF(G436="","",IF(L435="",G436,L435+G436))</f>
        <v/>
      </c>
      <c r="M436" s="80"/>
    </row>
    <row r="437" customFormat="false" ht="15.75" hidden="false" customHeight="true" outlineLevel="0" collapsed="false">
      <c r="A437" s="66" t="n">
        <v>433</v>
      </c>
      <c r="B437" s="70"/>
      <c r="C437" s="72"/>
      <c r="D437" s="72"/>
      <c r="E437" s="72"/>
      <c r="F437" s="72"/>
      <c r="G437" s="87"/>
      <c r="H437" s="72"/>
      <c r="I437" s="72"/>
      <c r="J437" s="72"/>
      <c r="K437" s="72"/>
      <c r="L437" s="75" t="str">
        <f aca="false">IF(G437="","",IF(L436="",G437,L436+G437))</f>
        <v/>
      </c>
      <c r="M437" s="72"/>
    </row>
    <row r="438" customFormat="false" ht="15.75" hidden="false" customHeight="true" outlineLevel="0" collapsed="false">
      <c r="A438" s="68" t="n">
        <v>434</v>
      </c>
      <c r="B438" s="78"/>
      <c r="C438" s="80"/>
      <c r="D438" s="80"/>
      <c r="E438" s="80"/>
      <c r="F438" s="80"/>
      <c r="G438" s="88"/>
      <c r="H438" s="80"/>
      <c r="I438" s="80"/>
      <c r="J438" s="80"/>
      <c r="K438" s="80"/>
      <c r="L438" s="83" t="str">
        <f aca="false">IF(G438="","",IF(L437="",G438,L437+G438))</f>
        <v/>
      </c>
      <c r="M438" s="80"/>
    </row>
    <row r="439" customFormat="false" ht="15.75" hidden="false" customHeight="true" outlineLevel="0" collapsed="false">
      <c r="A439" s="66" t="n">
        <v>435</v>
      </c>
      <c r="B439" s="70"/>
      <c r="C439" s="72"/>
      <c r="D439" s="72"/>
      <c r="E439" s="72"/>
      <c r="F439" s="72"/>
      <c r="G439" s="87"/>
      <c r="H439" s="72"/>
      <c r="I439" s="72"/>
      <c r="J439" s="72"/>
      <c r="K439" s="72"/>
      <c r="L439" s="75" t="str">
        <f aca="false">IF(G439="","",IF(L438="",G439,L438+G439))</f>
        <v/>
      </c>
      <c r="M439" s="72"/>
    </row>
    <row r="440" customFormat="false" ht="15.75" hidden="false" customHeight="true" outlineLevel="0" collapsed="false">
      <c r="A440" s="68" t="n">
        <v>436</v>
      </c>
      <c r="B440" s="78"/>
      <c r="C440" s="80"/>
      <c r="D440" s="80"/>
      <c r="E440" s="80"/>
      <c r="F440" s="80"/>
      <c r="G440" s="88"/>
      <c r="H440" s="80"/>
      <c r="I440" s="80"/>
      <c r="J440" s="80"/>
      <c r="K440" s="80"/>
      <c r="L440" s="83" t="str">
        <f aca="false">IF(G440="","",IF(L439="",G440,L439+G440))</f>
        <v/>
      </c>
      <c r="M440" s="80"/>
    </row>
    <row r="441" customFormat="false" ht="15.75" hidden="false" customHeight="true" outlineLevel="0" collapsed="false">
      <c r="A441" s="66" t="n">
        <v>437</v>
      </c>
      <c r="B441" s="70"/>
      <c r="C441" s="72"/>
      <c r="D441" s="72"/>
      <c r="E441" s="72"/>
      <c r="F441" s="72"/>
      <c r="G441" s="87"/>
      <c r="H441" s="72"/>
      <c r="I441" s="72"/>
      <c r="J441" s="72"/>
      <c r="K441" s="72"/>
      <c r="L441" s="75" t="str">
        <f aca="false">IF(G441="","",IF(L440="",G441,L440+G441))</f>
        <v/>
      </c>
      <c r="M441" s="72"/>
    </row>
    <row r="442" customFormat="false" ht="15.75" hidden="false" customHeight="true" outlineLevel="0" collapsed="false">
      <c r="A442" s="68" t="n">
        <v>438</v>
      </c>
      <c r="B442" s="78"/>
      <c r="C442" s="80"/>
      <c r="D442" s="80"/>
      <c r="E442" s="80"/>
      <c r="F442" s="80"/>
      <c r="G442" s="88"/>
      <c r="H442" s="80"/>
      <c r="I442" s="80"/>
      <c r="J442" s="80"/>
      <c r="K442" s="80"/>
      <c r="L442" s="83" t="str">
        <f aca="false">IF(G442="","",IF(L441="",G442,L441+G442))</f>
        <v/>
      </c>
      <c r="M442" s="80"/>
    </row>
    <row r="443" customFormat="false" ht="15.75" hidden="false" customHeight="true" outlineLevel="0" collapsed="false">
      <c r="A443" s="66" t="n">
        <v>439</v>
      </c>
      <c r="B443" s="70"/>
      <c r="C443" s="72"/>
      <c r="D443" s="72"/>
      <c r="E443" s="72"/>
      <c r="F443" s="72"/>
      <c r="G443" s="87"/>
      <c r="H443" s="72"/>
      <c r="I443" s="72"/>
      <c r="J443" s="72"/>
      <c r="K443" s="72"/>
      <c r="L443" s="75" t="str">
        <f aca="false">IF(G443="","",IF(L442="",G443,L442+G443))</f>
        <v/>
      </c>
      <c r="M443" s="72"/>
    </row>
    <row r="444" customFormat="false" ht="15.75" hidden="false" customHeight="true" outlineLevel="0" collapsed="false">
      <c r="A444" s="68" t="n">
        <v>440</v>
      </c>
      <c r="B444" s="78"/>
      <c r="C444" s="80"/>
      <c r="D444" s="80"/>
      <c r="E444" s="80"/>
      <c r="F444" s="80"/>
      <c r="G444" s="88"/>
      <c r="H444" s="80"/>
      <c r="I444" s="80"/>
      <c r="J444" s="80"/>
      <c r="K444" s="80"/>
      <c r="L444" s="83" t="str">
        <f aca="false">IF(G444="","",IF(L443="",G444,L443+G444))</f>
        <v/>
      </c>
      <c r="M444" s="80"/>
    </row>
    <row r="445" customFormat="false" ht="15.75" hidden="false" customHeight="true" outlineLevel="0" collapsed="false">
      <c r="A445" s="66" t="n">
        <v>441</v>
      </c>
      <c r="B445" s="70"/>
      <c r="C445" s="72"/>
      <c r="D445" s="72"/>
      <c r="E445" s="72"/>
      <c r="F445" s="72"/>
      <c r="G445" s="87"/>
      <c r="H445" s="72"/>
      <c r="I445" s="72"/>
      <c r="J445" s="72"/>
      <c r="K445" s="72"/>
      <c r="L445" s="75" t="str">
        <f aca="false">IF(G445="","",IF(L444="",G445,L444+G445))</f>
        <v/>
      </c>
      <c r="M445" s="72"/>
    </row>
    <row r="446" customFormat="false" ht="15.75" hidden="false" customHeight="true" outlineLevel="0" collapsed="false">
      <c r="A446" s="68" t="n">
        <v>442</v>
      </c>
      <c r="B446" s="78"/>
      <c r="C446" s="80"/>
      <c r="D446" s="80"/>
      <c r="E446" s="80"/>
      <c r="F446" s="80"/>
      <c r="G446" s="88"/>
      <c r="H446" s="80"/>
      <c r="I446" s="80"/>
      <c r="J446" s="80"/>
      <c r="K446" s="80"/>
      <c r="L446" s="83" t="str">
        <f aca="false">IF(G446="","",IF(L445="",G446,L445+G446))</f>
        <v/>
      </c>
      <c r="M446" s="80"/>
    </row>
    <row r="447" customFormat="false" ht="15.75" hidden="false" customHeight="true" outlineLevel="0" collapsed="false">
      <c r="A447" s="66" t="n">
        <v>443</v>
      </c>
      <c r="B447" s="70"/>
      <c r="C447" s="72"/>
      <c r="D447" s="72"/>
      <c r="E447" s="72"/>
      <c r="F447" s="72"/>
      <c r="G447" s="87"/>
      <c r="H447" s="72"/>
      <c r="I447" s="72"/>
      <c r="J447" s="72"/>
      <c r="K447" s="72"/>
      <c r="L447" s="75" t="str">
        <f aca="false">IF(G447="","",IF(L446="",G447,L446+G447))</f>
        <v/>
      </c>
      <c r="M447" s="72"/>
    </row>
    <row r="448" customFormat="false" ht="15.75" hidden="false" customHeight="true" outlineLevel="0" collapsed="false">
      <c r="A448" s="68" t="n">
        <v>444</v>
      </c>
      <c r="B448" s="78"/>
      <c r="C448" s="80"/>
      <c r="D448" s="80"/>
      <c r="E448" s="80"/>
      <c r="F448" s="80"/>
      <c r="G448" s="88"/>
      <c r="H448" s="80"/>
      <c r="I448" s="80"/>
      <c r="J448" s="80"/>
      <c r="K448" s="80"/>
      <c r="L448" s="83" t="str">
        <f aca="false">IF(G448="","",IF(L447="",G448,L447+G448))</f>
        <v/>
      </c>
      <c r="M448" s="80"/>
    </row>
    <row r="449" customFormat="false" ht="15.75" hidden="false" customHeight="true" outlineLevel="0" collapsed="false">
      <c r="A449" s="66" t="n">
        <v>445</v>
      </c>
      <c r="B449" s="70"/>
      <c r="C449" s="72"/>
      <c r="D449" s="72"/>
      <c r="E449" s="72"/>
      <c r="F449" s="72"/>
      <c r="G449" s="87"/>
      <c r="H449" s="72"/>
      <c r="I449" s="72"/>
      <c r="J449" s="72"/>
      <c r="K449" s="72"/>
      <c r="L449" s="75" t="str">
        <f aca="false">IF(G449="","",IF(L448="",G449,L448+G449))</f>
        <v/>
      </c>
      <c r="M449" s="72"/>
    </row>
    <row r="450" customFormat="false" ht="15.75" hidden="false" customHeight="true" outlineLevel="0" collapsed="false">
      <c r="A450" s="68" t="n">
        <v>446</v>
      </c>
      <c r="B450" s="78"/>
      <c r="C450" s="80"/>
      <c r="D450" s="80"/>
      <c r="E450" s="80"/>
      <c r="F450" s="80"/>
      <c r="G450" s="88"/>
      <c r="H450" s="80"/>
      <c r="I450" s="80"/>
      <c r="J450" s="80"/>
      <c r="K450" s="80"/>
      <c r="L450" s="83" t="str">
        <f aca="false">IF(G450="","",IF(L449="",G450,L449+G450))</f>
        <v/>
      </c>
      <c r="M450" s="80"/>
    </row>
    <row r="451" customFormat="false" ht="15.75" hidden="false" customHeight="true" outlineLevel="0" collapsed="false">
      <c r="A451" s="66" t="n">
        <v>447</v>
      </c>
      <c r="B451" s="70"/>
      <c r="C451" s="72"/>
      <c r="D451" s="72"/>
      <c r="E451" s="72"/>
      <c r="F451" s="72"/>
      <c r="G451" s="87"/>
      <c r="H451" s="72"/>
      <c r="I451" s="72"/>
      <c r="J451" s="72"/>
      <c r="K451" s="72"/>
      <c r="L451" s="75" t="str">
        <f aca="false">IF(G451="","",IF(L450="",G451,L450+G451))</f>
        <v/>
      </c>
      <c r="M451" s="72"/>
    </row>
    <row r="452" customFormat="false" ht="15.75" hidden="false" customHeight="true" outlineLevel="0" collapsed="false">
      <c r="A452" s="68" t="n">
        <v>448</v>
      </c>
      <c r="B452" s="78"/>
      <c r="C452" s="80"/>
      <c r="D452" s="80"/>
      <c r="E452" s="80"/>
      <c r="F452" s="80"/>
      <c r="G452" s="88"/>
      <c r="H452" s="80"/>
      <c r="I452" s="80"/>
      <c r="J452" s="80"/>
      <c r="K452" s="80"/>
      <c r="L452" s="83" t="str">
        <f aca="false">IF(G452="","",IF(L451="",G452,L451+G452))</f>
        <v/>
      </c>
      <c r="M452" s="80"/>
    </row>
    <row r="453" customFormat="false" ht="15.75" hidden="false" customHeight="true" outlineLevel="0" collapsed="false">
      <c r="A453" s="66" t="n">
        <v>449</v>
      </c>
      <c r="B453" s="70"/>
      <c r="C453" s="72"/>
      <c r="D453" s="72"/>
      <c r="E453" s="72"/>
      <c r="F453" s="72"/>
      <c r="G453" s="87"/>
      <c r="H453" s="72"/>
      <c r="I453" s="72"/>
      <c r="J453" s="72"/>
      <c r="K453" s="72"/>
      <c r="L453" s="75" t="str">
        <f aca="false">IF(G453="","",IF(L452="",G453,L452+G453))</f>
        <v/>
      </c>
      <c r="M453" s="72"/>
    </row>
    <row r="454" customFormat="false" ht="15.75" hidden="false" customHeight="true" outlineLevel="0" collapsed="false">
      <c r="A454" s="68" t="n">
        <v>450</v>
      </c>
      <c r="B454" s="78"/>
      <c r="C454" s="80"/>
      <c r="D454" s="80"/>
      <c r="E454" s="80"/>
      <c r="F454" s="80"/>
      <c r="G454" s="88"/>
      <c r="H454" s="80"/>
      <c r="I454" s="80"/>
      <c r="J454" s="80"/>
      <c r="K454" s="80"/>
      <c r="L454" s="83" t="str">
        <f aca="false">IF(G454="","",IF(L453="",G454,L453+G454))</f>
        <v/>
      </c>
      <c r="M454" s="80"/>
    </row>
    <row r="455" customFormat="false" ht="15.75" hidden="false" customHeight="true" outlineLevel="0" collapsed="false">
      <c r="A455" s="66" t="n">
        <v>451</v>
      </c>
      <c r="B455" s="70"/>
      <c r="C455" s="72"/>
      <c r="D455" s="72"/>
      <c r="E455" s="72"/>
      <c r="F455" s="72"/>
      <c r="G455" s="87"/>
      <c r="H455" s="72"/>
      <c r="I455" s="72"/>
      <c r="J455" s="72"/>
      <c r="K455" s="72"/>
      <c r="L455" s="75" t="str">
        <f aca="false">IF(G455="","",IF(L454="",G455,L454+G455))</f>
        <v/>
      </c>
      <c r="M455" s="72"/>
    </row>
    <row r="456" customFormat="false" ht="15.75" hidden="false" customHeight="true" outlineLevel="0" collapsed="false">
      <c r="A456" s="68" t="n">
        <v>452</v>
      </c>
      <c r="B456" s="78"/>
      <c r="C456" s="80"/>
      <c r="D456" s="80"/>
      <c r="E456" s="80"/>
      <c r="F456" s="80"/>
      <c r="G456" s="88"/>
      <c r="H456" s="80"/>
      <c r="I456" s="80"/>
      <c r="J456" s="80"/>
      <c r="K456" s="80"/>
      <c r="L456" s="83" t="str">
        <f aca="false">IF(G456="","",IF(L455="",G456,L455+G456))</f>
        <v/>
      </c>
      <c r="M456" s="80"/>
    </row>
    <row r="457" customFormat="false" ht="15.75" hidden="false" customHeight="true" outlineLevel="0" collapsed="false">
      <c r="A457" s="66" t="n">
        <v>453</v>
      </c>
      <c r="B457" s="70"/>
      <c r="C457" s="72"/>
      <c r="D457" s="72"/>
      <c r="E457" s="72"/>
      <c r="F457" s="72"/>
      <c r="G457" s="87"/>
      <c r="H457" s="72"/>
      <c r="I457" s="72"/>
      <c r="J457" s="72"/>
      <c r="K457" s="72"/>
      <c r="L457" s="75" t="str">
        <f aca="false">IF(G457="","",IF(L456="",G457,L456+G457))</f>
        <v/>
      </c>
      <c r="M457" s="72"/>
    </row>
    <row r="458" customFormat="false" ht="15.75" hidden="false" customHeight="true" outlineLevel="0" collapsed="false">
      <c r="A458" s="68" t="n">
        <v>454</v>
      </c>
      <c r="B458" s="78"/>
      <c r="C458" s="80"/>
      <c r="D458" s="80"/>
      <c r="E458" s="80"/>
      <c r="F458" s="80"/>
      <c r="G458" s="88"/>
      <c r="H458" s="80"/>
      <c r="I458" s="80"/>
      <c r="J458" s="80"/>
      <c r="K458" s="80"/>
      <c r="L458" s="83" t="str">
        <f aca="false">IF(G458="","",IF(L457="",G458,L457+G458))</f>
        <v/>
      </c>
      <c r="M458" s="80"/>
    </row>
    <row r="459" customFormat="false" ht="15.75" hidden="false" customHeight="true" outlineLevel="0" collapsed="false">
      <c r="A459" s="66" t="n">
        <v>455</v>
      </c>
      <c r="B459" s="70"/>
      <c r="C459" s="72"/>
      <c r="D459" s="72"/>
      <c r="E459" s="72"/>
      <c r="F459" s="72"/>
      <c r="G459" s="87"/>
      <c r="H459" s="72"/>
      <c r="I459" s="72"/>
      <c r="J459" s="72"/>
      <c r="K459" s="72"/>
      <c r="L459" s="75" t="str">
        <f aca="false">IF(G459="","",IF(L458="",G459,L458+G459))</f>
        <v/>
      </c>
      <c r="M459" s="72"/>
    </row>
    <row r="460" customFormat="false" ht="15.75" hidden="false" customHeight="true" outlineLevel="0" collapsed="false">
      <c r="A460" s="68" t="n">
        <v>456</v>
      </c>
      <c r="B460" s="78"/>
      <c r="C460" s="80"/>
      <c r="D460" s="80"/>
      <c r="E460" s="80"/>
      <c r="F460" s="80"/>
      <c r="G460" s="88"/>
      <c r="H460" s="80"/>
      <c r="I460" s="80"/>
      <c r="J460" s="80"/>
      <c r="K460" s="80"/>
      <c r="L460" s="83" t="str">
        <f aca="false">IF(G460="","",IF(L459="",G460,L459+G460))</f>
        <v/>
      </c>
      <c r="M460" s="80"/>
    </row>
    <row r="461" customFormat="false" ht="15.75" hidden="false" customHeight="true" outlineLevel="0" collapsed="false">
      <c r="A461" s="66" t="n">
        <v>457</v>
      </c>
      <c r="B461" s="70"/>
      <c r="C461" s="72"/>
      <c r="D461" s="72"/>
      <c r="E461" s="72"/>
      <c r="F461" s="72"/>
      <c r="G461" s="87"/>
      <c r="H461" s="72"/>
      <c r="I461" s="72"/>
      <c r="J461" s="72"/>
      <c r="K461" s="72"/>
      <c r="L461" s="75" t="str">
        <f aca="false">IF(G461="","",IF(L460="",G461,L460+G461))</f>
        <v/>
      </c>
      <c r="M461" s="72"/>
    </row>
    <row r="462" customFormat="false" ht="15.75" hidden="false" customHeight="true" outlineLevel="0" collapsed="false">
      <c r="A462" s="68" t="n">
        <v>458</v>
      </c>
      <c r="B462" s="78"/>
      <c r="C462" s="80"/>
      <c r="D462" s="80"/>
      <c r="E462" s="80"/>
      <c r="F462" s="80"/>
      <c r="G462" s="88"/>
      <c r="H462" s="80"/>
      <c r="I462" s="80"/>
      <c r="J462" s="80"/>
      <c r="K462" s="80"/>
      <c r="L462" s="83" t="str">
        <f aca="false">IF(G462="","",IF(L461="",G462,L461+G462))</f>
        <v/>
      </c>
      <c r="M462" s="80"/>
    </row>
    <row r="463" customFormat="false" ht="15.75" hidden="false" customHeight="true" outlineLevel="0" collapsed="false">
      <c r="A463" s="66" t="n">
        <v>459</v>
      </c>
      <c r="B463" s="70"/>
      <c r="C463" s="72"/>
      <c r="D463" s="72"/>
      <c r="E463" s="72"/>
      <c r="F463" s="72"/>
      <c r="G463" s="87"/>
      <c r="H463" s="72"/>
      <c r="I463" s="72"/>
      <c r="J463" s="72"/>
      <c r="K463" s="72"/>
      <c r="L463" s="75" t="str">
        <f aca="false">IF(G463="","",IF(L462="",G463,L462+G463))</f>
        <v/>
      </c>
      <c r="M463" s="72"/>
    </row>
    <row r="464" customFormat="false" ht="15.75" hidden="false" customHeight="true" outlineLevel="0" collapsed="false">
      <c r="A464" s="68" t="n">
        <v>460</v>
      </c>
      <c r="B464" s="78"/>
      <c r="C464" s="80"/>
      <c r="D464" s="80"/>
      <c r="E464" s="80"/>
      <c r="F464" s="80"/>
      <c r="G464" s="88"/>
      <c r="H464" s="80"/>
      <c r="I464" s="80"/>
      <c r="J464" s="80"/>
      <c r="K464" s="80"/>
      <c r="L464" s="83" t="str">
        <f aca="false">IF(G464="","",IF(L463="",G464,L463+G464))</f>
        <v/>
      </c>
      <c r="M464" s="80"/>
    </row>
    <row r="465" customFormat="false" ht="15.75" hidden="false" customHeight="true" outlineLevel="0" collapsed="false">
      <c r="A465" s="66" t="n">
        <v>461</v>
      </c>
      <c r="B465" s="70"/>
      <c r="C465" s="72"/>
      <c r="D465" s="72"/>
      <c r="E465" s="72"/>
      <c r="F465" s="72"/>
      <c r="G465" s="87"/>
      <c r="H465" s="72"/>
      <c r="I465" s="72"/>
      <c r="J465" s="72"/>
      <c r="K465" s="72"/>
      <c r="L465" s="75" t="str">
        <f aca="false">IF(G465="","",IF(L464="",G465,L464+G465))</f>
        <v/>
      </c>
      <c r="M465" s="72"/>
    </row>
    <row r="466" customFormat="false" ht="15.75" hidden="false" customHeight="true" outlineLevel="0" collapsed="false">
      <c r="A466" s="68" t="n">
        <v>462</v>
      </c>
      <c r="B466" s="78"/>
      <c r="C466" s="80"/>
      <c r="D466" s="80"/>
      <c r="E466" s="80"/>
      <c r="F466" s="80"/>
      <c r="G466" s="88"/>
      <c r="H466" s="80"/>
      <c r="I466" s="80"/>
      <c r="J466" s="80"/>
      <c r="K466" s="80"/>
      <c r="L466" s="83" t="str">
        <f aca="false">IF(G466="","",IF(L465="",G466,L465+G466))</f>
        <v/>
      </c>
      <c r="M466" s="80"/>
    </row>
    <row r="467" customFormat="false" ht="15.75" hidden="false" customHeight="true" outlineLevel="0" collapsed="false">
      <c r="A467" s="66" t="n">
        <v>463</v>
      </c>
      <c r="B467" s="70"/>
      <c r="C467" s="72"/>
      <c r="D467" s="72"/>
      <c r="E467" s="72"/>
      <c r="F467" s="72"/>
      <c r="G467" s="87"/>
      <c r="H467" s="72"/>
      <c r="I467" s="72"/>
      <c r="J467" s="72"/>
      <c r="K467" s="72"/>
      <c r="L467" s="75" t="str">
        <f aca="false">IF(G467="","",IF(L466="",G467,L466+G467))</f>
        <v/>
      </c>
      <c r="M467" s="72"/>
    </row>
    <row r="468" customFormat="false" ht="15.75" hidden="false" customHeight="true" outlineLevel="0" collapsed="false">
      <c r="A468" s="68" t="n">
        <v>464</v>
      </c>
      <c r="B468" s="78"/>
      <c r="C468" s="80"/>
      <c r="D468" s="80"/>
      <c r="E468" s="80"/>
      <c r="F468" s="80"/>
      <c r="G468" s="88"/>
      <c r="H468" s="80"/>
      <c r="I468" s="80"/>
      <c r="J468" s="80"/>
      <c r="K468" s="80"/>
      <c r="L468" s="83" t="str">
        <f aca="false">IF(G468="","",IF(L467="",G468,L467+G468))</f>
        <v/>
      </c>
      <c r="M468" s="80"/>
    </row>
    <row r="469" customFormat="false" ht="15.75" hidden="false" customHeight="true" outlineLevel="0" collapsed="false">
      <c r="A469" s="66" t="n">
        <v>465</v>
      </c>
      <c r="B469" s="70"/>
      <c r="C469" s="72"/>
      <c r="D469" s="72"/>
      <c r="E469" s="72"/>
      <c r="F469" s="72"/>
      <c r="G469" s="87"/>
      <c r="H469" s="72"/>
      <c r="I469" s="72"/>
      <c r="J469" s="72"/>
      <c r="K469" s="72"/>
      <c r="L469" s="75" t="str">
        <f aca="false">IF(G469="","",IF(L468="",G469,L468+G469))</f>
        <v/>
      </c>
      <c r="M469" s="72"/>
    </row>
    <row r="470" customFormat="false" ht="15.75" hidden="false" customHeight="true" outlineLevel="0" collapsed="false">
      <c r="A470" s="68" t="n">
        <v>466</v>
      </c>
      <c r="B470" s="78"/>
      <c r="C470" s="80"/>
      <c r="D470" s="80"/>
      <c r="E470" s="80"/>
      <c r="F470" s="80"/>
      <c r="G470" s="88"/>
      <c r="H470" s="80"/>
      <c r="I470" s="80"/>
      <c r="J470" s="80"/>
      <c r="K470" s="80"/>
      <c r="L470" s="83" t="str">
        <f aca="false">IF(G470="","",IF(L469="",G470,L469+G470))</f>
        <v/>
      </c>
      <c r="M470" s="80"/>
    </row>
    <row r="471" customFormat="false" ht="15.75" hidden="false" customHeight="true" outlineLevel="0" collapsed="false">
      <c r="A471" s="66" t="n">
        <v>467</v>
      </c>
      <c r="B471" s="70"/>
      <c r="C471" s="72"/>
      <c r="D471" s="72"/>
      <c r="E471" s="72"/>
      <c r="F471" s="72"/>
      <c r="G471" s="87"/>
      <c r="H471" s="72"/>
      <c r="I471" s="72"/>
      <c r="J471" s="72"/>
      <c r="K471" s="72"/>
      <c r="L471" s="75" t="str">
        <f aca="false">IF(G471="","",IF(L470="",G471,L470+G471))</f>
        <v/>
      </c>
      <c r="M471" s="72"/>
    </row>
    <row r="472" customFormat="false" ht="15.75" hidden="false" customHeight="true" outlineLevel="0" collapsed="false">
      <c r="A472" s="68" t="n">
        <v>468</v>
      </c>
      <c r="B472" s="78"/>
      <c r="C472" s="80"/>
      <c r="D472" s="80"/>
      <c r="E472" s="80"/>
      <c r="F472" s="80"/>
      <c r="G472" s="88"/>
      <c r="H472" s="80"/>
      <c r="I472" s="80"/>
      <c r="J472" s="80"/>
      <c r="K472" s="80"/>
      <c r="L472" s="83" t="str">
        <f aca="false">IF(G472="","",IF(L471="",G472,L471+G472))</f>
        <v/>
      </c>
      <c r="M472" s="80"/>
    </row>
    <row r="473" customFormat="false" ht="15.75" hidden="false" customHeight="true" outlineLevel="0" collapsed="false">
      <c r="A473" s="66" t="n">
        <v>469</v>
      </c>
      <c r="B473" s="70"/>
      <c r="C473" s="72"/>
      <c r="D473" s="72"/>
      <c r="E473" s="72"/>
      <c r="F473" s="72"/>
      <c r="G473" s="87"/>
      <c r="H473" s="72"/>
      <c r="I473" s="72"/>
      <c r="J473" s="72"/>
      <c r="K473" s="72"/>
      <c r="L473" s="75" t="str">
        <f aca="false">IF(G473="","",IF(L472="",G473,L472+G473))</f>
        <v/>
      </c>
      <c r="M473" s="72"/>
    </row>
    <row r="474" customFormat="false" ht="15.75" hidden="false" customHeight="true" outlineLevel="0" collapsed="false">
      <c r="A474" s="68" t="n">
        <v>470</v>
      </c>
      <c r="B474" s="78"/>
      <c r="C474" s="80"/>
      <c r="D474" s="80"/>
      <c r="E474" s="80"/>
      <c r="F474" s="80"/>
      <c r="G474" s="88"/>
      <c r="H474" s="80"/>
      <c r="I474" s="80"/>
      <c r="J474" s="80"/>
      <c r="K474" s="80"/>
      <c r="L474" s="83" t="str">
        <f aca="false">IF(G474="","",IF(L473="",G474,L473+G474))</f>
        <v/>
      </c>
      <c r="M474" s="80"/>
    </row>
    <row r="475" customFormat="false" ht="15.75" hidden="false" customHeight="true" outlineLevel="0" collapsed="false">
      <c r="A475" s="66" t="n">
        <v>471</v>
      </c>
      <c r="B475" s="70"/>
      <c r="C475" s="72"/>
      <c r="D475" s="72"/>
      <c r="E475" s="72"/>
      <c r="F475" s="72"/>
      <c r="G475" s="87"/>
      <c r="H475" s="72"/>
      <c r="I475" s="72"/>
      <c r="J475" s="72"/>
      <c r="K475" s="72"/>
      <c r="L475" s="75" t="str">
        <f aca="false">IF(G475="","",IF(L474="",G475,L474+G475))</f>
        <v/>
      </c>
      <c r="M475" s="72"/>
    </row>
    <row r="476" customFormat="false" ht="15.75" hidden="false" customHeight="true" outlineLevel="0" collapsed="false">
      <c r="A476" s="68" t="n">
        <v>472</v>
      </c>
      <c r="B476" s="78"/>
      <c r="C476" s="80"/>
      <c r="D476" s="80"/>
      <c r="E476" s="80"/>
      <c r="F476" s="80"/>
      <c r="G476" s="88"/>
      <c r="H476" s="80"/>
      <c r="I476" s="80"/>
      <c r="J476" s="80"/>
      <c r="K476" s="80"/>
      <c r="L476" s="83" t="str">
        <f aca="false">IF(G476="","",IF(L475="",G476,L475+G476))</f>
        <v/>
      </c>
      <c r="M476" s="80"/>
    </row>
    <row r="477" customFormat="false" ht="15.75" hidden="false" customHeight="true" outlineLevel="0" collapsed="false">
      <c r="A477" s="66" t="n">
        <v>473</v>
      </c>
      <c r="B477" s="70"/>
      <c r="C477" s="72"/>
      <c r="D477" s="72"/>
      <c r="E477" s="72"/>
      <c r="F477" s="72"/>
      <c r="G477" s="87"/>
      <c r="H477" s="72"/>
      <c r="I477" s="72"/>
      <c r="J477" s="72"/>
      <c r="K477" s="72"/>
      <c r="L477" s="75" t="str">
        <f aca="false">IF(G477="","",IF(L476="",G477,L476+G477))</f>
        <v/>
      </c>
      <c r="M477" s="72"/>
    </row>
    <row r="478" customFormat="false" ht="15.75" hidden="false" customHeight="true" outlineLevel="0" collapsed="false">
      <c r="A478" s="68" t="n">
        <v>474</v>
      </c>
      <c r="B478" s="78"/>
      <c r="C478" s="80"/>
      <c r="D478" s="80"/>
      <c r="E478" s="80"/>
      <c r="F478" s="80"/>
      <c r="G478" s="88"/>
      <c r="H478" s="80"/>
      <c r="I478" s="80"/>
      <c r="J478" s="80"/>
      <c r="K478" s="80"/>
      <c r="L478" s="83" t="str">
        <f aca="false">IF(G478="","",IF(L477="",G478,L477+G478))</f>
        <v/>
      </c>
      <c r="M478" s="80"/>
    </row>
    <row r="479" customFormat="false" ht="15.75" hidden="false" customHeight="true" outlineLevel="0" collapsed="false">
      <c r="A479" s="66" t="n">
        <v>475</v>
      </c>
      <c r="B479" s="70"/>
      <c r="C479" s="72"/>
      <c r="D479" s="72"/>
      <c r="E479" s="72"/>
      <c r="F479" s="72"/>
      <c r="G479" s="87"/>
      <c r="H479" s="72"/>
      <c r="I479" s="72"/>
      <c r="J479" s="72"/>
      <c r="K479" s="72"/>
      <c r="L479" s="75" t="str">
        <f aca="false">IF(G479="","",IF(L478="",G479,L478+G479))</f>
        <v/>
      </c>
      <c r="M479" s="72"/>
    </row>
    <row r="480" customFormat="false" ht="15.75" hidden="false" customHeight="true" outlineLevel="0" collapsed="false">
      <c r="A480" s="68" t="n">
        <v>476</v>
      </c>
      <c r="B480" s="78"/>
      <c r="C480" s="80"/>
      <c r="D480" s="80"/>
      <c r="E480" s="80"/>
      <c r="F480" s="80"/>
      <c r="G480" s="88"/>
      <c r="H480" s="80"/>
      <c r="I480" s="80"/>
      <c r="J480" s="80"/>
      <c r="K480" s="80"/>
      <c r="L480" s="83" t="str">
        <f aca="false">IF(G480="","",IF(L479="",G480,L479+G480))</f>
        <v/>
      </c>
      <c r="M480" s="80"/>
    </row>
    <row r="481" customFormat="false" ht="15.75" hidden="false" customHeight="true" outlineLevel="0" collapsed="false">
      <c r="A481" s="66" t="n">
        <v>477</v>
      </c>
      <c r="B481" s="70"/>
      <c r="C481" s="72"/>
      <c r="D481" s="72"/>
      <c r="E481" s="72"/>
      <c r="F481" s="72"/>
      <c r="G481" s="87"/>
      <c r="H481" s="72"/>
      <c r="I481" s="72"/>
      <c r="J481" s="72"/>
      <c r="K481" s="72"/>
      <c r="L481" s="75" t="str">
        <f aca="false">IF(G481="","",IF(L480="",G481,L480+G481))</f>
        <v/>
      </c>
      <c r="M481" s="72"/>
    </row>
    <row r="482" customFormat="false" ht="15.75" hidden="false" customHeight="true" outlineLevel="0" collapsed="false">
      <c r="A482" s="68" t="n">
        <v>478</v>
      </c>
      <c r="B482" s="78"/>
      <c r="C482" s="80"/>
      <c r="D482" s="80"/>
      <c r="E482" s="80"/>
      <c r="F482" s="80"/>
      <c r="G482" s="88"/>
      <c r="H482" s="80"/>
      <c r="I482" s="80"/>
      <c r="J482" s="80"/>
      <c r="K482" s="80"/>
      <c r="L482" s="83" t="str">
        <f aca="false">IF(G482="","",IF(L481="",G482,L481+G482))</f>
        <v/>
      </c>
      <c r="M482" s="80"/>
    </row>
    <row r="483" customFormat="false" ht="15.75" hidden="false" customHeight="true" outlineLevel="0" collapsed="false">
      <c r="A483" s="66" t="n">
        <v>479</v>
      </c>
      <c r="B483" s="70"/>
      <c r="C483" s="72"/>
      <c r="D483" s="72"/>
      <c r="E483" s="72"/>
      <c r="F483" s="72"/>
      <c r="G483" s="87"/>
      <c r="H483" s="72"/>
      <c r="I483" s="72"/>
      <c r="J483" s="72"/>
      <c r="K483" s="72"/>
      <c r="L483" s="75" t="str">
        <f aca="false">IF(G483="","",IF(L482="",G483,L482+G483))</f>
        <v/>
      </c>
      <c r="M483" s="72"/>
    </row>
    <row r="484" customFormat="false" ht="15.75" hidden="false" customHeight="true" outlineLevel="0" collapsed="false">
      <c r="A484" s="68" t="n">
        <v>480</v>
      </c>
      <c r="B484" s="78"/>
      <c r="C484" s="80"/>
      <c r="D484" s="80"/>
      <c r="E484" s="80"/>
      <c r="F484" s="80"/>
      <c r="G484" s="88"/>
      <c r="H484" s="80"/>
      <c r="I484" s="80"/>
      <c r="J484" s="80"/>
      <c r="K484" s="80"/>
      <c r="L484" s="83" t="str">
        <f aca="false">IF(G484="","",IF(L483="",G484,L483+G484))</f>
        <v/>
      </c>
      <c r="M484" s="80"/>
    </row>
    <row r="485" customFormat="false" ht="15.75" hidden="false" customHeight="true" outlineLevel="0" collapsed="false">
      <c r="A485" s="66" t="n">
        <v>481</v>
      </c>
      <c r="B485" s="70"/>
      <c r="C485" s="72"/>
      <c r="D485" s="72"/>
      <c r="E485" s="72"/>
      <c r="F485" s="72"/>
      <c r="G485" s="87"/>
      <c r="H485" s="72"/>
      <c r="I485" s="72"/>
      <c r="J485" s="72"/>
      <c r="K485" s="72"/>
      <c r="L485" s="75" t="str">
        <f aca="false">IF(G485="","",IF(L484="",G485,L484+G485))</f>
        <v/>
      </c>
      <c r="M485" s="72"/>
    </row>
    <row r="486" customFormat="false" ht="15.75" hidden="false" customHeight="true" outlineLevel="0" collapsed="false">
      <c r="A486" s="68" t="n">
        <v>482</v>
      </c>
      <c r="B486" s="78"/>
      <c r="C486" s="80"/>
      <c r="D486" s="80"/>
      <c r="E486" s="80"/>
      <c r="F486" s="80"/>
      <c r="G486" s="88"/>
      <c r="H486" s="80"/>
      <c r="I486" s="80"/>
      <c r="J486" s="80"/>
      <c r="K486" s="80"/>
      <c r="L486" s="83" t="str">
        <f aca="false">IF(G486="","",IF(L485="",G486,L485+G486))</f>
        <v/>
      </c>
      <c r="M486" s="80"/>
    </row>
    <row r="487" customFormat="false" ht="15.75" hidden="false" customHeight="true" outlineLevel="0" collapsed="false">
      <c r="A487" s="66" t="n">
        <v>483</v>
      </c>
      <c r="B487" s="70"/>
      <c r="C487" s="72"/>
      <c r="D487" s="72"/>
      <c r="E487" s="72"/>
      <c r="F487" s="72"/>
      <c r="G487" s="87"/>
      <c r="H487" s="72"/>
      <c r="I487" s="72"/>
      <c r="J487" s="72"/>
      <c r="K487" s="72"/>
      <c r="L487" s="75" t="str">
        <f aca="false">IF(G487="","",IF(L486="",G487,L486+G487))</f>
        <v/>
      </c>
      <c r="M487" s="72"/>
    </row>
    <row r="488" customFormat="false" ht="15.75" hidden="false" customHeight="true" outlineLevel="0" collapsed="false">
      <c r="A488" s="68" t="n">
        <v>484</v>
      </c>
      <c r="B488" s="78"/>
      <c r="C488" s="80"/>
      <c r="D488" s="80"/>
      <c r="E488" s="80"/>
      <c r="F488" s="80"/>
      <c r="G488" s="88"/>
      <c r="H488" s="80"/>
      <c r="I488" s="80"/>
      <c r="J488" s="80"/>
      <c r="K488" s="80"/>
      <c r="L488" s="83" t="str">
        <f aca="false">IF(G488="","",IF(L487="",G488,L487+G488))</f>
        <v/>
      </c>
      <c r="M488" s="80"/>
    </row>
    <row r="489" customFormat="false" ht="15.75" hidden="false" customHeight="true" outlineLevel="0" collapsed="false">
      <c r="A489" s="66" t="n">
        <v>485</v>
      </c>
      <c r="B489" s="70"/>
      <c r="C489" s="72"/>
      <c r="D489" s="72"/>
      <c r="E489" s="72"/>
      <c r="F489" s="72"/>
      <c r="G489" s="87"/>
      <c r="H489" s="72"/>
      <c r="I489" s="72"/>
      <c r="J489" s="72"/>
      <c r="K489" s="72"/>
      <c r="L489" s="75" t="str">
        <f aca="false">IF(G489="","",IF(L488="",G489,L488+G489))</f>
        <v/>
      </c>
      <c r="M489" s="72"/>
    </row>
    <row r="490" customFormat="false" ht="15.75" hidden="false" customHeight="true" outlineLevel="0" collapsed="false">
      <c r="A490" s="68" t="n">
        <v>486</v>
      </c>
      <c r="B490" s="78"/>
      <c r="C490" s="80"/>
      <c r="D490" s="80"/>
      <c r="E490" s="80"/>
      <c r="F490" s="80"/>
      <c r="G490" s="88"/>
      <c r="H490" s="80"/>
      <c r="I490" s="80"/>
      <c r="J490" s="80"/>
      <c r="K490" s="80"/>
      <c r="L490" s="83" t="str">
        <f aca="false">IF(G490="","",IF(L489="",G490,L489+G490))</f>
        <v/>
      </c>
      <c r="M490" s="80"/>
    </row>
    <row r="491" customFormat="false" ht="15.75" hidden="false" customHeight="true" outlineLevel="0" collapsed="false">
      <c r="A491" s="66" t="n">
        <v>487</v>
      </c>
      <c r="B491" s="70"/>
      <c r="C491" s="72"/>
      <c r="D491" s="72"/>
      <c r="E491" s="72"/>
      <c r="F491" s="72"/>
      <c r="G491" s="87"/>
      <c r="H491" s="72"/>
      <c r="I491" s="72"/>
      <c r="J491" s="72"/>
      <c r="K491" s="72"/>
      <c r="L491" s="75" t="str">
        <f aca="false">IF(G491="","",IF(L490="",G491,L490+G491))</f>
        <v/>
      </c>
      <c r="M491" s="72"/>
    </row>
    <row r="492" customFormat="false" ht="15.75" hidden="false" customHeight="true" outlineLevel="0" collapsed="false">
      <c r="A492" s="68" t="n">
        <v>488</v>
      </c>
      <c r="B492" s="78"/>
      <c r="C492" s="80"/>
      <c r="D492" s="80"/>
      <c r="E492" s="80"/>
      <c r="F492" s="80"/>
      <c r="G492" s="88"/>
      <c r="H492" s="80"/>
      <c r="I492" s="80"/>
      <c r="J492" s="80"/>
      <c r="K492" s="80"/>
      <c r="L492" s="83" t="str">
        <f aca="false">IF(G492="","",IF(L491="",G492,L491+G492))</f>
        <v/>
      </c>
      <c r="M492" s="80"/>
    </row>
    <row r="493" customFormat="false" ht="15.75" hidden="false" customHeight="true" outlineLevel="0" collapsed="false">
      <c r="A493" s="66" t="n">
        <v>489</v>
      </c>
      <c r="B493" s="70"/>
      <c r="C493" s="72"/>
      <c r="D493" s="72"/>
      <c r="E493" s="72"/>
      <c r="F493" s="72"/>
      <c r="G493" s="87"/>
      <c r="H493" s="72"/>
      <c r="I493" s="72"/>
      <c r="J493" s="72"/>
      <c r="K493" s="72"/>
      <c r="L493" s="75" t="str">
        <f aca="false">IF(G493="","",IF(L492="",G493,L492+G493))</f>
        <v/>
      </c>
      <c r="M493" s="72"/>
    </row>
    <row r="494" customFormat="false" ht="15.75" hidden="false" customHeight="true" outlineLevel="0" collapsed="false">
      <c r="A494" s="68" t="n">
        <v>490</v>
      </c>
      <c r="B494" s="78"/>
      <c r="C494" s="80"/>
      <c r="D494" s="80"/>
      <c r="E494" s="80"/>
      <c r="F494" s="80"/>
      <c r="G494" s="88"/>
      <c r="H494" s="80"/>
      <c r="I494" s="80"/>
      <c r="J494" s="80"/>
      <c r="K494" s="80"/>
      <c r="L494" s="83" t="str">
        <f aca="false">IF(G494="","",IF(L493="",G494,L493+G494))</f>
        <v/>
      </c>
      <c r="M494" s="80"/>
    </row>
    <row r="495" customFormat="false" ht="15.75" hidden="false" customHeight="true" outlineLevel="0" collapsed="false">
      <c r="A495" s="66" t="n">
        <v>491</v>
      </c>
      <c r="B495" s="70"/>
      <c r="C495" s="72"/>
      <c r="D495" s="72"/>
      <c r="E495" s="72"/>
      <c r="F495" s="72"/>
      <c r="G495" s="87"/>
      <c r="H495" s="72"/>
      <c r="I495" s="72"/>
      <c r="J495" s="72"/>
      <c r="K495" s="72"/>
      <c r="L495" s="75" t="str">
        <f aca="false">IF(G495="","",IF(L494="",G495,L494+G495))</f>
        <v/>
      </c>
      <c r="M495" s="72"/>
    </row>
    <row r="496" customFormat="false" ht="15.75" hidden="false" customHeight="true" outlineLevel="0" collapsed="false">
      <c r="A496" s="68" t="n">
        <v>492</v>
      </c>
      <c r="B496" s="78"/>
      <c r="C496" s="80"/>
      <c r="D496" s="80"/>
      <c r="E496" s="80"/>
      <c r="F496" s="80"/>
      <c r="G496" s="88"/>
      <c r="H496" s="80"/>
      <c r="I496" s="80"/>
      <c r="J496" s="80"/>
      <c r="K496" s="80"/>
      <c r="L496" s="83" t="str">
        <f aca="false">IF(G496="","",IF(L495="",G496,L495+G496))</f>
        <v/>
      </c>
      <c r="M496" s="80"/>
    </row>
    <row r="497" customFormat="false" ht="15.75" hidden="false" customHeight="true" outlineLevel="0" collapsed="false">
      <c r="A497" s="66" t="n">
        <v>493</v>
      </c>
      <c r="B497" s="70"/>
      <c r="C497" s="72"/>
      <c r="D497" s="72"/>
      <c r="E497" s="72"/>
      <c r="F497" s="72"/>
      <c r="G497" s="87"/>
      <c r="H497" s="72"/>
      <c r="I497" s="72"/>
      <c r="J497" s="72"/>
      <c r="K497" s="72"/>
      <c r="L497" s="75" t="str">
        <f aca="false">IF(G497="","",IF(L496="",G497,L496+G497))</f>
        <v/>
      </c>
      <c r="M497" s="72"/>
    </row>
    <row r="498" customFormat="false" ht="15.75" hidden="false" customHeight="true" outlineLevel="0" collapsed="false">
      <c r="A498" s="68" t="n">
        <v>494</v>
      </c>
      <c r="B498" s="78"/>
      <c r="C498" s="80"/>
      <c r="D498" s="80"/>
      <c r="E498" s="80"/>
      <c r="F498" s="80"/>
      <c r="G498" s="88"/>
      <c r="H498" s="80"/>
      <c r="I498" s="80"/>
      <c r="J498" s="80"/>
      <c r="K498" s="80"/>
      <c r="L498" s="83" t="str">
        <f aca="false">IF(G498="","",IF(L497="",G498,L497+G498))</f>
        <v/>
      </c>
      <c r="M498" s="80"/>
    </row>
    <row r="499" customFormat="false" ht="15.75" hidden="false" customHeight="true" outlineLevel="0" collapsed="false">
      <c r="A499" s="66" t="n">
        <v>495</v>
      </c>
      <c r="B499" s="70"/>
      <c r="C499" s="72"/>
      <c r="D499" s="72"/>
      <c r="E499" s="72"/>
      <c r="F499" s="72"/>
      <c r="G499" s="87"/>
      <c r="H499" s="72"/>
      <c r="I499" s="72"/>
      <c r="J499" s="72"/>
      <c r="K499" s="72"/>
      <c r="L499" s="75" t="str">
        <f aca="false">IF(G499="","",IF(L498="",G499,L498+G499))</f>
        <v/>
      </c>
      <c r="M499" s="72"/>
    </row>
    <row r="500" customFormat="false" ht="15.75" hidden="false" customHeight="true" outlineLevel="0" collapsed="false">
      <c r="A500" s="68" t="n">
        <v>496</v>
      </c>
      <c r="B500" s="78"/>
      <c r="C500" s="80"/>
      <c r="D500" s="80"/>
      <c r="E500" s="80"/>
      <c r="F500" s="80"/>
      <c r="G500" s="88"/>
      <c r="H500" s="80"/>
      <c r="I500" s="80"/>
      <c r="J500" s="80"/>
      <c r="K500" s="80"/>
      <c r="L500" s="83" t="str">
        <f aca="false">IF(G500="","",IF(L499="",G500,L499+G500))</f>
        <v/>
      </c>
      <c r="M500" s="80"/>
    </row>
    <row r="501" customFormat="false" ht="15.75" hidden="false" customHeight="true" outlineLevel="0" collapsed="false">
      <c r="A501" s="66" t="n">
        <v>497</v>
      </c>
      <c r="B501" s="70"/>
      <c r="C501" s="72"/>
      <c r="D501" s="72"/>
      <c r="E501" s="72"/>
      <c r="F501" s="72"/>
      <c r="G501" s="87"/>
      <c r="H501" s="72"/>
      <c r="I501" s="72"/>
      <c r="J501" s="72"/>
      <c r="K501" s="72"/>
      <c r="L501" s="75" t="str">
        <f aca="false">IF(G501="","",IF(L500="",G501,L500+G501))</f>
        <v/>
      </c>
      <c r="M501" s="72"/>
    </row>
    <row r="502" customFormat="false" ht="15.75" hidden="false" customHeight="true" outlineLevel="0" collapsed="false">
      <c r="A502" s="68" t="n">
        <v>498</v>
      </c>
      <c r="B502" s="78"/>
      <c r="C502" s="80"/>
      <c r="D502" s="80"/>
      <c r="E502" s="80"/>
      <c r="F502" s="80"/>
      <c r="G502" s="88"/>
      <c r="H502" s="80"/>
      <c r="I502" s="80"/>
      <c r="J502" s="80"/>
      <c r="K502" s="80"/>
      <c r="L502" s="83" t="str">
        <f aca="false">IF(G502="","",IF(L501="",G502,L501+G502))</f>
        <v/>
      </c>
      <c r="M502" s="80"/>
    </row>
    <row r="503" customFormat="false" ht="15.75" hidden="false" customHeight="true" outlineLevel="0" collapsed="false">
      <c r="A503" s="66" t="n">
        <v>499</v>
      </c>
      <c r="B503" s="70"/>
      <c r="C503" s="72"/>
      <c r="D503" s="72"/>
      <c r="E503" s="72"/>
      <c r="F503" s="72"/>
      <c r="G503" s="87"/>
      <c r="H503" s="72"/>
      <c r="I503" s="72"/>
      <c r="J503" s="72"/>
      <c r="K503" s="72"/>
      <c r="L503" s="75" t="str">
        <f aca="false">IF(G503="","",IF(L502="",G503,L502+G503))</f>
        <v/>
      </c>
      <c r="M503" s="72"/>
    </row>
    <row r="504" customFormat="false" ht="15.75" hidden="false" customHeight="true" outlineLevel="0" collapsed="false">
      <c r="A504" s="68" t="n">
        <v>500</v>
      </c>
      <c r="B504" s="78"/>
      <c r="C504" s="80"/>
      <c r="D504" s="80"/>
      <c r="E504" s="80"/>
      <c r="F504" s="80"/>
      <c r="G504" s="88"/>
      <c r="H504" s="80"/>
      <c r="I504" s="80"/>
      <c r="J504" s="80"/>
      <c r="K504" s="80"/>
      <c r="L504" s="83" t="str">
        <f aca="false">IF(G504="","",IF(L503="",G504,L503+G504))</f>
        <v/>
      </c>
      <c r="M504" s="80"/>
    </row>
  </sheetData>
  <autoFilter ref="A4:M504"/>
  <mergeCells count="2">
    <mergeCell ref="A1:M1"/>
    <mergeCell ref="A2:M2"/>
  </mergeCells>
  <dataValidations count="5">
    <dataValidation allowBlank="true" errorStyle="stop" operator="between" showDropDown="false" showErrorMessage="false" showInputMessage="false" sqref="E5:E504" type="list">
      <formula1>"Building Materials,Electrical,Food/Provisions,Labour,Land Development,Miscellaneous,Professional Fees,Steel/Iron,Transport"</formula1>
      <formula2>0</formula2>
    </dataValidation>
    <dataValidation allowBlank="true" errorStyle="stop" operator="between" showDropDown="false" showErrorMessage="false" showInputMessage="false" sqref="D5:D504" type="list">
      <formula1>"Pappu Hardware,Brick Company,Sand Truck Wala,Concrete Supplier,Dinesh-Electrician,Mukesh Yadav,Chand Ansari,Ajay Mahto,Mukhiya,Sonbhai-Coordinator,Econ Builder,Rinku Devi A/c"</formula1>
      <formula2>0</formula2>
    </dataValidation>
    <dataValidation allowBlank="true" errorStyle="stop" operator="between" showDropDown="false" showErrorMessage="false" showInputMessage="false" sqref="C5:C504" type="list">
      <formula1>"Self-GPay,Self-Paytm,Self-Cash,Self-Bank Transfer,Through Sonbhai,Through Engineer,Through Ajay,Papa"</formula1>
      <formula2>0</formula2>
    </dataValidation>
    <dataValidation allowBlank="true" errorStyle="stop" operator="between" showDropDown="false" showErrorMessage="false" showInputMessage="false" sqref="H5:H504" type="list">
      <formula1>"GPay,Paytm,Cash,Bank Transfer,UPI,Cheque"</formula1>
      <formula2>0</formula2>
    </dataValidation>
    <dataValidation allowBlank="true" errorStyle="stop" operator="between" showDropDown="false" showErrorMessage="false" showInputMessage="false" sqref="K5:K504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22"/>
    <col collapsed="false" customWidth="true" hidden="false" outlineLevel="0" max="2" min="2" style="17" width="28"/>
    <col collapsed="false" customWidth="true" hidden="false" outlineLevel="0" max="3" min="3" style="17" width="12"/>
    <col collapsed="false" customWidth="true" hidden="false" outlineLevel="0" max="4" min="4" style="17" width="18"/>
    <col collapsed="false" customWidth="true" hidden="false" outlineLevel="0" max="5" min="5" style="17" width="14"/>
    <col collapsed="false" customWidth="true" hidden="false" outlineLevel="0" max="8" min="6" style="17" width="16"/>
    <col collapsed="false" customWidth="true" hidden="false" outlineLevel="0" max="9" min="9" style="17" width="10"/>
  </cols>
  <sheetData>
    <row r="1" customFormat="false" ht="17.25" hidden="false" customHeight="true" outlineLevel="0" collapsed="false">
      <c r="A1" s="63" t="s">
        <v>457</v>
      </c>
      <c r="B1" s="63"/>
      <c r="C1" s="63"/>
      <c r="D1" s="63"/>
      <c r="E1" s="63"/>
      <c r="F1" s="63"/>
      <c r="G1" s="63"/>
      <c r="H1" s="63"/>
      <c r="I1" s="63"/>
    </row>
    <row r="2" customFormat="false" ht="15.75" hidden="false" customHeight="true" outlineLevel="0" collapsed="false">
      <c r="A2" s="64" t="s">
        <v>458</v>
      </c>
      <c r="B2" s="64"/>
      <c r="C2" s="64"/>
      <c r="D2" s="64"/>
      <c r="E2" s="64"/>
      <c r="F2" s="64"/>
      <c r="G2" s="64"/>
      <c r="H2" s="64"/>
      <c r="I2" s="64"/>
    </row>
    <row r="4" customFormat="false" ht="26.25" hidden="false" customHeight="true" outlineLevel="0" collapsed="false">
      <c r="A4" s="65" t="s">
        <v>153</v>
      </c>
      <c r="B4" s="65" t="s">
        <v>310</v>
      </c>
      <c r="C4" s="65" t="s">
        <v>459</v>
      </c>
      <c r="D4" s="65" t="s">
        <v>175</v>
      </c>
      <c r="E4" s="65" t="s">
        <v>460</v>
      </c>
      <c r="F4" s="65" t="s">
        <v>461</v>
      </c>
      <c r="G4" s="65" t="s">
        <v>462</v>
      </c>
      <c r="H4" s="65" t="s">
        <v>463</v>
      </c>
      <c r="I4" s="65" t="s">
        <v>464</v>
      </c>
    </row>
    <row r="5" customFormat="false" ht="15.75" hidden="false" customHeight="true" outlineLevel="0" collapsed="false">
      <c r="A5" s="67" t="s">
        <v>159</v>
      </c>
      <c r="B5" s="67" t="s">
        <v>208</v>
      </c>
      <c r="C5" s="89" t="n">
        <f aca="false">SUMIFS('All Transactions'!I:I,'All Transactions'!E:E,A5,'All Transactions'!F:F,B5)</f>
        <v>18000</v>
      </c>
      <c r="D5" s="67" t="s">
        <v>209</v>
      </c>
      <c r="E5" s="90" t="n">
        <f aca="false">IFERROR(F5/C5,"")</f>
        <v>8.5</v>
      </c>
      <c r="F5" s="91" t="n">
        <f aca="false">SUMIFS('All Transactions'!L:L,'All Transactions'!E:E,A5,'All Transactions'!F:F,B5)</f>
        <v>153000</v>
      </c>
      <c r="G5" s="92" t="n">
        <f aca="false">F5-H5</f>
        <v>0</v>
      </c>
      <c r="H5" s="91" t="n">
        <f aca="false">SUMIFS('All Transactions'!O:O,'All Transactions'!E:E,A5,'All Transactions'!F:F,B5)</f>
        <v>153000</v>
      </c>
      <c r="I5" s="93" t="n">
        <f aca="false">IFERROR(H5/H$35,"")</f>
        <v>0.179547540198699</v>
      </c>
    </row>
    <row r="6" customFormat="false" ht="15.75" hidden="false" customHeight="true" outlineLevel="0" collapsed="false">
      <c r="A6" s="69" t="s">
        <v>159</v>
      </c>
      <c r="B6" s="69" t="s">
        <v>214</v>
      </c>
      <c r="C6" s="94" t="n">
        <f aca="false">SUMIFS('All Transactions'!I:I,'All Transactions'!E:E,A6,'All Transactions'!F:F,B6)</f>
        <v>1838</v>
      </c>
      <c r="D6" s="69" t="s">
        <v>215</v>
      </c>
      <c r="E6" s="95" t="n">
        <f aca="false">IFERROR(F6/C6,"")</f>
        <v>59.8476605005441</v>
      </c>
      <c r="F6" s="96" t="n">
        <f aca="false">SUMIFS('All Transactions'!L:L,'All Transactions'!E:E,A6,'All Transactions'!F:F,B6)</f>
        <v>110000</v>
      </c>
      <c r="G6" s="97" t="n">
        <f aca="false">F6-H6</f>
        <v>0</v>
      </c>
      <c r="H6" s="96" t="n">
        <f aca="false">SUMIFS('All Transactions'!O:O,'All Transactions'!E:E,A6,'All Transactions'!F:F,B6)</f>
        <v>110000</v>
      </c>
      <c r="I6" s="98" t="n">
        <f aca="false">IFERROR(H6/H$35,"")</f>
        <v>0.129086466809522</v>
      </c>
    </row>
    <row r="7" customFormat="false" ht="15.75" hidden="false" customHeight="true" outlineLevel="0" collapsed="false">
      <c r="A7" s="67" t="s">
        <v>159</v>
      </c>
      <c r="B7" s="67" t="s">
        <v>221</v>
      </c>
      <c r="C7" s="89" t="n">
        <f aca="false">SUMIFS('All Transactions'!I:I,'All Transactions'!E:E,A7,'All Transactions'!F:F,B7)</f>
        <v>65.14</v>
      </c>
      <c r="D7" s="67" t="s">
        <v>222</v>
      </c>
      <c r="E7" s="90" t="n">
        <f aca="false">IFERROR(F7/C7,"")</f>
        <v>2486.67485416027</v>
      </c>
      <c r="F7" s="91" t="n">
        <f aca="false">SUMIFS('All Transactions'!L:L,'All Transactions'!E:E,A7,'All Transactions'!F:F,B7)</f>
        <v>161982</v>
      </c>
      <c r="G7" s="92" t="n">
        <f aca="false">F7-H7</f>
        <v>0</v>
      </c>
      <c r="H7" s="91" t="n">
        <f aca="false">SUMIFS('All Transactions'!O:O,'All Transactions'!E:E,A7,'All Transactions'!F:F,B7)</f>
        <v>161982</v>
      </c>
      <c r="I7" s="93" t="n">
        <f aca="false">IFERROR(H7/H$35,"")</f>
        <v>0.190088036970364</v>
      </c>
    </row>
    <row r="8" customFormat="false" ht="15.75" hidden="false" customHeight="true" outlineLevel="0" collapsed="false">
      <c r="A8" s="69" t="s">
        <v>159</v>
      </c>
      <c r="B8" s="69" t="s">
        <v>227</v>
      </c>
      <c r="C8" s="94" t="n">
        <f aca="false">SUMIFS('All Transactions'!I:I,'All Transactions'!E:E,A8,'All Transactions'!F:F,B8)</f>
        <v>200</v>
      </c>
      <c r="D8" s="69" t="s">
        <v>213</v>
      </c>
      <c r="E8" s="95" t="n">
        <f aca="false">IFERROR(F8/C8,"")</f>
        <v>360</v>
      </c>
      <c r="F8" s="96" t="n">
        <f aca="false">SUMIFS('All Transactions'!L:L,'All Transactions'!E:E,A8,'All Transactions'!F:F,B8)</f>
        <v>72000</v>
      </c>
      <c r="G8" s="97" t="n">
        <f aca="false">F8-H8</f>
        <v>0</v>
      </c>
      <c r="H8" s="96" t="n">
        <f aca="false">SUMIFS('All Transactions'!O:O,'All Transactions'!E:E,A8,'All Transactions'!F:F,B8)</f>
        <v>72000</v>
      </c>
      <c r="I8" s="98" t="n">
        <f aca="false">IFERROR(H8/H$35,"")</f>
        <v>0.0844929600935055</v>
      </c>
    </row>
    <row r="9" customFormat="false" ht="15.75" hidden="false" customHeight="true" outlineLevel="0" collapsed="false">
      <c r="A9" s="67" t="s">
        <v>159</v>
      </c>
      <c r="B9" s="67" t="s">
        <v>233</v>
      </c>
      <c r="C9" s="89" t="n">
        <f aca="false">SUMIFS('All Transactions'!I:I,'All Transactions'!E:E,A9,'All Transactions'!F:F,B9)</f>
        <v>0</v>
      </c>
      <c r="D9" s="67" t="s">
        <v>213</v>
      </c>
      <c r="E9" s="90" t="str">
        <f aca="false">IFERROR(F9/C9,"")</f>
        <v/>
      </c>
      <c r="F9" s="91" t="n">
        <f aca="false">SUMIFS('All Transactions'!L:L,'All Transactions'!E:E,A9,'All Transactions'!F:F,B9)</f>
        <v>0</v>
      </c>
      <c r="G9" s="92" t="n">
        <f aca="false">F9-H9</f>
        <v>0</v>
      </c>
      <c r="H9" s="91" t="n">
        <f aca="false">SUMIFS('All Transactions'!O:O,'All Transactions'!E:E,A9,'All Transactions'!F:F,B9)</f>
        <v>0</v>
      </c>
      <c r="I9" s="93" t="n">
        <f aca="false">IFERROR(H9/H$35,"")</f>
        <v>0</v>
      </c>
    </row>
    <row r="10" customFormat="false" ht="15.75" hidden="false" customHeight="true" outlineLevel="0" collapsed="false">
      <c r="A10" s="69" t="s">
        <v>159</v>
      </c>
      <c r="B10" s="69" t="s">
        <v>240</v>
      </c>
      <c r="C10" s="94" t="n">
        <f aca="false">SUMIFS('All Transactions'!I:I,'All Transactions'!E:E,A10,'All Transactions'!F:F,B10)</f>
        <v>0</v>
      </c>
      <c r="D10" s="69" t="s">
        <v>213</v>
      </c>
      <c r="E10" s="95" t="str">
        <f aca="false">IFERROR(F10/C10,"")</f>
        <v/>
      </c>
      <c r="F10" s="96" t="n">
        <f aca="false">SUMIFS('All Transactions'!L:L,'All Transactions'!E:E,A10,'All Transactions'!F:F,B10)</f>
        <v>0</v>
      </c>
      <c r="G10" s="97" t="n">
        <f aca="false">F10-H10</f>
        <v>0</v>
      </c>
      <c r="H10" s="96" t="n">
        <f aca="false">SUMIFS('All Transactions'!O:O,'All Transactions'!E:E,A10,'All Transactions'!F:F,B10)</f>
        <v>0</v>
      </c>
      <c r="I10" s="98" t="n">
        <f aca="false">IFERROR(H10/H$35,"")</f>
        <v>0</v>
      </c>
    </row>
    <row r="11" customFormat="false" ht="15.75" hidden="false" customHeight="true" outlineLevel="0" collapsed="false">
      <c r="A11" s="67" t="s">
        <v>159</v>
      </c>
      <c r="B11" s="67" t="s">
        <v>246</v>
      </c>
      <c r="C11" s="89" t="n">
        <f aca="false">SUMIFS('All Transactions'!I:I,'All Transactions'!E:E,A11,'All Transactions'!F:F,B11)</f>
        <v>22</v>
      </c>
      <c r="D11" s="67" t="s">
        <v>247</v>
      </c>
      <c r="E11" s="90" t="n">
        <f aca="false">IFERROR(F11/C11,"")</f>
        <v>245.454545454545</v>
      </c>
      <c r="F11" s="91" t="n">
        <f aca="false">SUMIFS('All Transactions'!L:L,'All Transactions'!E:E,A11,'All Transactions'!F:F,B11)</f>
        <v>5400</v>
      </c>
      <c r="G11" s="92" t="n">
        <f aca="false">F11-H11</f>
        <v>0</v>
      </c>
      <c r="H11" s="91" t="n">
        <f aca="false">SUMIFS('All Transactions'!O:O,'All Transactions'!E:E,A11,'All Transactions'!F:F,B11)</f>
        <v>5400</v>
      </c>
      <c r="I11" s="93" t="n">
        <f aca="false">IFERROR(H11/H$35,"")</f>
        <v>0.00633697200701292</v>
      </c>
    </row>
    <row r="12" customFormat="false" ht="15.75" hidden="false" customHeight="true" outlineLevel="0" collapsed="false">
      <c r="A12" s="69" t="s">
        <v>159</v>
      </c>
      <c r="B12" s="69" t="s">
        <v>253</v>
      </c>
      <c r="C12" s="94" t="n">
        <f aca="false">SUMIFS('All Transactions'!I:I,'All Transactions'!E:E,A12,'All Transactions'!F:F,B12)</f>
        <v>0</v>
      </c>
      <c r="D12" s="69" t="s">
        <v>254</v>
      </c>
      <c r="E12" s="95" t="str">
        <f aca="false">IFERROR(F12/C12,"")</f>
        <v/>
      </c>
      <c r="F12" s="96" t="n">
        <f aca="false">SUMIFS('All Transactions'!L:L,'All Transactions'!E:E,A12,'All Transactions'!F:F,B12)</f>
        <v>0</v>
      </c>
      <c r="G12" s="97" t="n">
        <f aca="false">F12-H12</f>
        <v>0</v>
      </c>
      <c r="H12" s="96" t="n">
        <f aca="false">SUMIFS('All Transactions'!O:O,'All Transactions'!E:E,A12,'All Transactions'!F:F,B12)</f>
        <v>0</v>
      </c>
      <c r="I12" s="98" t="n">
        <f aca="false">IFERROR(H12/H$35,"")</f>
        <v>0</v>
      </c>
    </row>
    <row r="13" customFormat="false" ht="15.75" hidden="false" customHeight="true" outlineLevel="0" collapsed="false">
      <c r="A13" s="67" t="s">
        <v>159</v>
      </c>
      <c r="B13" s="67" t="s">
        <v>258</v>
      </c>
      <c r="C13" s="89" t="n">
        <f aca="false">SUMIFS('All Transactions'!I:I,'All Transactions'!E:E,A13,'All Transactions'!F:F,B13)</f>
        <v>6</v>
      </c>
      <c r="D13" s="67" t="s">
        <v>259</v>
      </c>
      <c r="E13" s="90" t="n">
        <f aca="false">IFERROR(F13/C13,"")</f>
        <v>350</v>
      </c>
      <c r="F13" s="91" t="n">
        <f aca="false">SUMIFS('All Transactions'!L:L,'All Transactions'!E:E,A13,'All Transactions'!F:F,B13)</f>
        <v>2100</v>
      </c>
      <c r="G13" s="92" t="n">
        <f aca="false">F13-H13</f>
        <v>0</v>
      </c>
      <c r="H13" s="91" t="n">
        <f aca="false">SUMIFS('All Transactions'!O:O,'All Transactions'!E:E,A13,'All Transactions'!F:F,B13)</f>
        <v>2100</v>
      </c>
      <c r="I13" s="93" t="n">
        <f aca="false">IFERROR(H13/H$35,"")</f>
        <v>0.00246437800272725</v>
      </c>
    </row>
    <row r="14" customFormat="false" ht="15.75" hidden="false" customHeight="true" outlineLevel="0" collapsed="false">
      <c r="A14" s="69" t="s">
        <v>159</v>
      </c>
      <c r="B14" s="69" t="s">
        <v>264</v>
      </c>
      <c r="C14" s="94" t="n">
        <f aca="false">SUMIFS('All Transactions'!I:I,'All Transactions'!E:E,A14,'All Transactions'!F:F,B14)</f>
        <v>0</v>
      </c>
      <c r="D14" s="69" t="s">
        <v>245</v>
      </c>
      <c r="E14" s="95" t="str">
        <f aca="false">IFERROR(F14/C14,"")</f>
        <v/>
      </c>
      <c r="F14" s="96" t="n">
        <f aca="false">SUMIFS('All Transactions'!L:L,'All Transactions'!E:E,A14,'All Transactions'!F:F,B14)</f>
        <v>0</v>
      </c>
      <c r="G14" s="97" t="n">
        <f aca="false">F14-H14</f>
        <v>0</v>
      </c>
      <c r="H14" s="96" t="n">
        <f aca="false">SUMIFS('All Transactions'!O:O,'All Transactions'!E:E,A14,'All Transactions'!F:F,B14)</f>
        <v>0</v>
      </c>
      <c r="I14" s="98" t="n">
        <f aca="false">IFERROR(H14/H$35,"")</f>
        <v>0</v>
      </c>
    </row>
    <row r="15" customFormat="false" ht="15.75" hidden="false" customHeight="true" outlineLevel="0" collapsed="false">
      <c r="A15" s="67" t="s">
        <v>159</v>
      </c>
      <c r="B15" s="67" t="s">
        <v>219</v>
      </c>
      <c r="C15" s="89" t="n">
        <f aca="false">SUMIFS('All Transactions'!I:I,'All Transactions'!E:E,A15,'All Transactions'!F:F,B15)</f>
        <v>0</v>
      </c>
      <c r="D15" s="67" t="s">
        <v>267</v>
      </c>
      <c r="E15" s="90" t="str">
        <f aca="false">IFERROR(F15/C15,"")</f>
        <v/>
      </c>
      <c r="F15" s="91" t="n">
        <f aca="false">SUMIFS('All Transactions'!L:L,'All Transactions'!E:E,A15,'All Transactions'!F:F,B15)</f>
        <v>0</v>
      </c>
      <c r="G15" s="92" t="n">
        <f aca="false">F15-H15</f>
        <v>0</v>
      </c>
      <c r="H15" s="91" t="n">
        <f aca="false">SUMIFS('All Transactions'!O:O,'All Transactions'!E:E,A15,'All Transactions'!F:F,B15)</f>
        <v>0</v>
      </c>
      <c r="I15" s="93" t="n">
        <f aca="false">IFERROR(H15/H$35,"")</f>
        <v>0</v>
      </c>
    </row>
    <row r="16" customFormat="false" ht="15.75" hidden="false" customHeight="true" outlineLevel="0" collapsed="false">
      <c r="A16" s="69" t="s">
        <v>159</v>
      </c>
      <c r="B16" s="69" t="s">
        <v>271</v>
      </c>
      <c r="C16" s="94" t="n">
        <f aca="false">SUMIFS('All Transactions'!I:I,'All Transactions'!E:E,A16,'All Transactions'!F:F,B16)</f>
        <v>2</v>
      </c>
      <c r="D16" s="69" t="s">
        <v>252</v>
      </c>
      <c r="E16" s="95" t="n">
        <f aca="false">IFERROR(F16/C16,"")</f>
        <v>800</v>
      </c>
      <c r="F16" s="96" t="n">
        <f aca="false">SUMIFS('All Transactions'!L:L,'All Transactions'!E:E,A16,'All Transactions'!F:F,B16)</f>
        <v>1600</v>
      </c>
      <c r="G16" s="97" t="n">
        <f aca="false">F16-H16</f>
        <v>0</v>
      </c>
      <c r="H16" s="96" t="n">
        <f aca="false">SUMIFS('All Transactions'!O:O,'All Transactions'!E:E,A16,'All Transactions'!F:F,B16)</f>
        <v>1600</v>
      </c>
      <c r="I16" s="98" t="n">
        <f aca="false">IFERROR(H16/H$35,"")</f>
        <v>0.00187762133541123</v>
      </c>
    </row>
    <row r="17" customFormat="false" ht="15.75" hidden="false" customHeight="true" outlineLevel="0" collapsed="false">
      <c r="A17" s="67" t="s">
        <v>159</v>
      </c>
      <c r="B17" s="67" t="s">
        <v>226</v>
      </c>
      <c r="C17" s="89" t="n">
        <f aca="false">SUMIFS('All Transactions'!I:I,'All Transactions'!E:E,A17,'All Transactions'!F:F,B17)</f>
        <v>21</v>
      </c>
      <c r="D17" s="67" t="s">
        <v>245</v>
      </c>
      <c r="E17" s="90" t="n">
        <f aca="false">IFERROR(F17/C17,"")</f>
        <v>176.190476190476</v>
      </c>
      <c r="F17" s="91" t="n">
        <f aca="false">SUMIFS('All Transactions'!L:L,'All Transactions'!E:E,A17,'All Transactions'!F:F,B17)</f>
        <v>3700</v>
      </c>
      <c r="G17" s="92" t="n">
        <f aca="false">F17-H17</f>
        <v>0</v>
      </c>
      <c r="H17" s="91" t="n">
        <f aca="false">SUMIFS('All Transactions'!O:O,'All Transactions'!E:E,A17,'All Transactions'!F:F,B17)</f>
        <v>3700</v>
      </c>
      <c r="I17" s="93" t="n">
        <f aca="false">IFERROR(H17/H$35,"")</f>
        <v>0.00434199933813848</v>
      </c>
    </row>
    <row r="18" customFormat="false" ht="15.75" hidden="false" customHeight="true" outlineLevel="0" collapsed="false">
      <c r="A18" s="69" t="s">
        <v>159</v>
      </c>
      <c r="B18" s="69" t="s">
        <v>231</v>
      </c>
      <c r="C18" s="94" t="n">
        <f aca="false">SUMIFS('All Transactions'!I:I,'All Transactions'!E:E,A18,'All Transactions'!F:F,B18)</f>
        <v>0</v>
      </c>
      <c r="D18" s="69" t="s">
        <v>254</v>
      </c>
      <c r="E18" s="95" t="str">
        <f aca="false">IFERROR(F18/C18,"")</f>
        <v/>
      </c>
      <c r="F18" s="96" t="n">
        <f aca="false">SUMIFS('All Transactions'!L:L,'All Transactions'!E:E,A18,'All Transactions'!F:F,B18)</f>
        <v>0</v>
      </c>
      <c r="G18" s="97" t="n">
        <f aca="false">F18-H18</f>
        <v>0</v>
      </c>
      <c r="H18" s="96" t="n">
        <f aca="false">SUMIFS('All Transactions'!O:O,'All Transactions'!E:E,A18,'All Transactions'!F:F,B18)</f>
        <v>0</v>
      </c>
      <c r="I18" s="98" t="n">
        <f aca="false">IFERROR(H18/H$35,"")</f>
        <v>0</v>
      </c>
    </row>
    <row r="19" customFormat="false" ht="15.75" hidden="false" customHeight="true" outlineLevel="0" collapsed="false">
      <c r="A19" s="67" t="s">
        <v>160</v>
      </c>
      <c r="B19" s="67" t="s">
        <v>278</v>
      </c>
      <c r="C19" s="89" t="n">
        <f aca="false">SUMIFS('All Transactions'!I:I,'All Transactions'!E:E,A19,'All Transactions'!F:F,B19)</f>
        <v>0</v>
      </c>
      <c r="D19" s="67" t="s">
        <v>254</v>
      </c>
      <c r="E19" s="90" t="str">
        <f aca="false">IFERROR(F19/C19,"")</f>
        <v/>
      </c>
      <c r="F19" s="91" t="n">
        <f aca="false">SUMIFS('All Transactions'!L:L,'All Transactions'!E:E,A19,'All Transactions'!F:F,B19)</f>
        <v>0</v>
      </c>
      <c r="G19" s="92" t="n">
        <f aca="false">F19-H19</f>
        <v>0</v>
      </c>
      <c r="H19" s="91" t="n">
        <f aca="false">SUMIFS('All Transactions'!O:O,'All Transactions'!E:E,A19,'All Transactions'!F:F,B19)</f>
        <v>0</v>
      </c>
      <c r="I19" s="93" t="n">
        <f aca="false">IFERROR(H19/H$35,"")</f>
        <v>0</v>
      </c>
    </row>
    <row r="20" customFormat="false" ht="15.75" hidden="false" customHeight="true" outlineLevel="0" collapsed="false">
      <c r="A20" s="69" t="s">
        <v>160</v>
      </c>
      <c r="B20" s="69" t="s">
        <v>280</v>
      </c>
      <c r="C20" s="94" t="n">
        <f aca="false">SUMIFS('All Transactions'!I:I,'All Transactions'!E:E,A20,'All Transactions'!F:F,B20)</f>
        <v>200</v>
      </c>
      <c r="D20" s="69" t="s">
        <v>254</v>
      </c>
      <c r="E20" s="95" t="n">
        <f aca="false">IFERROR(F20/C20,"")</f>
        <v>908</v>
      </c>
      <c r="F20" s="96" t="n">
        <f aca="false">SUMIFS('All Transactions'!L:L,'All Transactions'!E:E,A20,'All Transactions'!F:F,B20)</f>
        <v>181600</v>
      </c>
      <c r="G20" s="97" t="n">
        <f aca="false">F20-H20</f>
        <v>7264</v>
      </c>
      <c r="H20" s="96" t="n">
        <f aca="false">SUMIFS('All Transactions'!O:O,'All Transactions'!E:E,A20,'All Transactions'!F:F,B20)</f>
        <v>174336</v>
      </c>
      <c r="I20" s="98" t="n">
        <f aca="false">IFERROR(H20/H$35,"")</f>
        <v>0.204585620706408</v>
      </c>
    </row>
    <row r="21" customFormat="false" ht="15.75" hidden="false" customHeight="true" outlineLevel="0" collapsed="false">
      <c r="A21" s="67" t="s">
        <v>160</v>
      </c>
      <c r="B21" s="67" t="s">
        <v>283</v>
      </c>
      <c r="C21" s="89" t="n">
        <f aca="false">SUMIFS('All Transactions'!I:I,'All Transactions'!E:E,A21,'All Transactions'!F:F,B21)</f>
        <v>200</v>
      </c>
      <c r="D21" s="67" t="s">
        <v>254</v>
      </c>
      <c r="E21" s="90" t="n">
        <f aca="false">IFERROR(F21/C21,"")</f>
        <v>642</v>
      </c>
      <c r="F21" s="91" t="n">
        <f aca="false">SUMIFS('All Transactions'!L:L,'All Transactions'!E:E,A21,'All Transactions'!F:F,B21)</f>
        <v>128400</v>
      </c>
      <c r="G21" s="92" t="n">
        <f aca="false">F21-H21</f>
        <v>5136</v>
      </c>
      <c r="H21" s="91" t="n">
        <f aca="false">SUMIFS('All Transactions'!O:O,'All Transactions'!E:E,A21,'All Transactions'!F:F,B21)</f>
        <v>123264</v>
      </c>
      <c r="I21" s="93" t="n">
        <f aca="false">IFERROR(H21/H$35,"")</f>
        <v>0.144651947680082</v>
      </c>
    </row>
    <row r="22" customFormat="false" ht="15.75" hidden="false" customHeight="true" outlineLevel="0" collapsed="false">
      <c r="A22" s="69" t="s">
        <v>160</v>
      </c>
      <c r="B22" s="69" t="s">
        <v>285</v>
      </c>
      <c r="C22" s="94" t="n">
        <f aca="false">SUMIFS('All Transactions'!I:I,'All Transactions'!E:E,A22,'All Transactions'!F:F,B22)</f>
        <v>50</v>
      </c>
      <c r="D22" s="69" t="s">
        <v>254</v>
      </c>
      <c r="E22" s="95" t="n">
        <f aca="false">IFERROR(F22/C22,"")</f>
        <v>420</v>
      </c>
      <c r="F22" s="96" t="n">
        <f aca="false">SUMIFS('All Transactions'!L:L,'All Transactions'!E:E,A22,'All Transactions'!F:F,B22)</f>
        <v>21000</v>
      </c>
      <c r="G22" s="97" t="n">
        <f aca="false">F22-H22</f>
        <v>840</v>
      </c>
      <c r="H22" s="96" t="n">
        <f aca="false">SUMIFS('All Transactions'!O:O,'All Transactions'!E:E,A22,'All Transactions'!F:F,B22)</f>
        <v>20160</v>
      </c>
      <c r="I22" s="98" t="n">
        <f aca="false">IFERROR(H22/H$35,"")</f>
        <v>0.0236580288261816</v>
      </c>
    </row>
    <row r="23" customFormat="false" ht="15.75" hidden="false" customHeight="true" outlineLevel="0" collapsed="false">
      <c r="A23" s="67" t="s">
        <v>160</v>
      </c>
      <c r="B23" s="67" t="s">
        <v>287</v>
      </c>
      <c r="C23" s="89" t="n">
        <f aca="false">SUMIFS('All Transactions'!I:I,'All Transactions'!E:E,A23,'All Transactions'!F:F,B23)</f>
        <v>100</v>
      </c>
      <c r="D23" s="67" t="s">
        <v>254</v>
      </c>
      <c r="E23" s="90" t="n">
        <f aca="false">IFERROR(F23/C23,"")</f>
        <v>246</v>
      </c>
      <c r="F23" s="91" t="n">
        <f aca="false">SUMIFS('All Transactions'!L:L,'All Transactions'!E:E,A23,'All Transactions'!F:F,B23)</f>
        <v>24600</v>
      </c>
      <c r="G23" s="92" t="n">
        <f aca="false">F23-H23</f>
        <v>0</v>
      </c>
      <c r="H23" s="91" t="n">
        <f aca="false">SUMIFS('All Transactions'!O:O,'All Transactions'!E:E,A23,'All Transactions'!F:F,B23)</f>
        <v>24600</v>
      </c>
      <c r="I23" s="93" t="n">
        <f aca="false">IFERROR(H23/H$35,"")</f>
        <v>0.0288684280319477</v>
      </c>
    </row>
    <row r="24" customFormat="false" ht="15.75" hidden="false" customHeight="true" outlineLevel="0" collapsed="false">
      <c r="A24" s="69" t="s">
        <v>244</v>
      </c>
      <c r="B24" s="69" t="s">
        <v>289</v>
      </c>
      <c r="C24" s="94" t="n">
        <f aca="false">SUMIFS('All Transactions'!I:I,'All Transactions'!E:E,A24,'All Transactions'!F:F,B24)</f>
        <v>0</v>
      </c>
      <c r="D24" s="69" t="s">
        <v>220</v>
      </c>
      <c r="E24" s="95" t="str">
        <f aca="false">IFERROR(F24/C24,"")</f>
        <v/>
      </c>
      <c r="F24" s="96" t="n">
        <f aca="false">SUMIFS('All Transactions'!L:L,'All Transactions'!E:E,A24,'All Transactions'!F:F,B24)</f>
        <v>0</v>
      </c>
      <c r="G24" s="97" t="n">
        <f aca="false">F24-H24</f>
        <v>0</v>
      </c>
      <c r="H24" s="96" t="n">
        <f aca="false">SUMIFS('All Transactions'!O:O,'All Transactions'!E:E,A24,'All Transactions'!F:F,B24)</f>
        <v>0</v>
      </c>
      <c r="I24" s="98" t="n">
        <f aca="false">IFERROR(H24/H$35,"")</f>
        <v>0</v>
      </c>
    </row>
    <row r="25" customFormat="false" ht="15.75" hidden="false" customHeight="true" outlineLevel="0" collapsed="false">
      <c r="A25" s="67" t="s">
        <v>244</v>
      </c>
      <c r="B25" s="67" t="s">
        <v>290</v>
      </c>
      <c r="C25" s="89" t="n">
        <f aca="false">SUMIFS('All Transactions'!I:I,'All Transactions'!E:E,A25,'All Transactions'!F:F,B25)</f>
        <v>0</v>
      </c>
      <c r="D25" s="67" t="s">
        <v>220</v>
      </c>
      <c r="E25" s="90" t="str">
        <f aca="false">IFERROR(F25/C25,"")</f>
        <v/>
      </c>
      <c r="F25" s="91" t="n">
        <f aca="false">SUMIFS('All Transactions'!L:L,'All Transactions'!E:E,A25,'All Transactions'!F:F,B25)</f>
        <v>0</v>
      </c>
      <c r="G25" s="92" t="n">
        <f aca="false">F25-H25</f>
        <v>0</v>
      </c>
      <c r="H25" s="91" t="n">
        <f aca="false">SUMIFS('All Transactions'!O:O,'All Transactions'!E:E,A25,'All Transactions'!F:F,B25)</f>
        <v>0</v>
      </c>
      <c r="I25" s="93" t="n">
        <f aca="false">IFERROR(H25/H$35,"")</f>
        <v>0</v>
      </c>
    </row>
    <row r="26" customFormat="false" ht="15.75" hidden="false" customHeight="true" outlineLevel="0" collapsed="false">
      <c r="A26" s="69" t="s">
        <v>244</v>
      </c>
      <c r="B26" s="69" t="s">
        <v>292</v>
      </c>
      <c r="C26" s="94" t="n">
        <f aca="false">SUMIFS('All Transactions'!I:I,'All Transactions'!E:E,A26,'All Transactions'!F:F,B26)</f>
        <v>0</v>
      </c>
      <c r="D26" s="69" t="s">
        <v>220</v>
      </c>
      <c r="E26" s="95" t="str">
        <f aca="false">IFERROR(F26/C26,"")</f>
        <v/>
      </c>
      <c r="F26" s="96" t="n">
        <f aca="false">SUMIFS('All Transactions'!L:L,'All Transactions'!E:E,A26,'All Transactions'!F:F,B26)</f>
        <v>0</v>
      </c>
      <c r="G26" s="97" t="n">
        <f aca="false">F26-H26</f>
        <v>0</v>
      </c>
      <c r="H26" s="96" t="n">
        <f aca="false">SUMIFS('All Transactions'!O:O,'All Transactions'!E:E,A26,'All Transactions'!F:F,B26)</f>
        <v>0</v>
      </c>
      <c r="I26" s="98" t="n">
        <f aca="false">IFERROR(H26/H$35,"")</f>
        <v>0</v>
      </c>
    </row>
    <row r="27" customFormat="false" ht="15.75" hidden="false" customHeight="true" outlineLevel="0" collapsed="false">
      <c r="A27" s="67" t="s">
        <v>244</v>
      </c>
      <c r="B27" s="67" t="s">
        <v>294</v>
      </c>
      <c r="C27" s="89" t="n">
        <f aca="false">SUMIFS('All Transactions'!I:I,'All Transactions'!E:E,A27,'All Transactions'!F:F,B27)</f>
        <v>0</v>
      </c>
      <c r="D27" s="67" t="s">
        <v>220</v>
      </c>
      <c r="E27" s="90" t="str">
        <f aca="false">IFERROR(F27/C27,"")</f>
        <v/>
      </c>
      <c r="F27" s="91" t="n">
        <f aca="false">SUMIFS('All Transactions'!L:L,'All Transactions'!E:E,A27,'All Transactions'!F:F,B27)</f>
        <v>0</v>
      </c>
      <c r="G27" s="92" t="n">
        <f aca="false">F27-H27</f>
        <v>0</v>
      </c>
      <c r="H27" s="91" t="n">
        <f aca="false">SUMIFS('All Transactions'!O:O,'All Transactions'!E:E,A27,'All Transactions'!F:F,B27)</f>
        <v>0</v>
      </c>
      <c r="I27" s="93" t="n">
        <f aca="false">IFERROR(H27/H$35,"")</f>
        <v>0</v>
      </c>
    </row>
    <row r="28" customFormat="false" ht="15.75" hidden="false" customHeight="true" outlineLevel="0" collapsed="false">
      <c r="A28" s="69" t="s">
        <v>244</v>
      </c>
      <c r="B28" s="69" t="s">
        <v>296</v>
      </c>
      <c r="C28" s="94" t="n">
        <f aca="false">SUMIFS('All Transactions'!I:I,'All Transactions'!E:E,A28,'All Transactions'!F:F,B28)</f>
        <v>0</v>
      </c>
      <c r="D28" s="69" t="s">
        <v>220</v>
      </c>
      <c r="E28" s="95" t="str">
        <f aca="false">IFERROR(F28/C28,"")</f>
        <v/>
      </c>
      <c r="F28" s="96" t="n">
        <f aca="false">SUMIFS('All Transactions'!L:L,'All Transactions'!E:E,A28,'All Transactions'!F:F,B28)</f>
        <v>0</v>
      </c>
      <c r="G28" s="97" t="n">
        <f aca="false">F28-H28</f>
        <v>0</v>
      </c>
      <c r="H28" s="96" t="n">
        <f aca="false">SUMIFS('All Transactions'!O:O,'All Transactions'!E:E,A28,'All Transactions'!F:F,B28)</f>
        <v>0</v>
      </c>
      <c r="I28" s="98" t="n">
        <f aca="false">IFERROR(H28/H$35,"")</f>
        <v>0</v>
      </c>
    </row>
    <row r="29" customFormat="false" ht="15.75" hidden="false" customHeight="true" outlineLevel="0" collapsed="false">
      <c r="A29" s="67" t="s">
        <v>244</v>
      </c>
      <c r="B29" s="67" t="s">
        <v>298</v>
      </c>
      <c r="C29" s="89" t="n">
        <f aca="false">SUMIFS('All Transactions'!I:I,'All Transactions'!E:E,A29,'All Transactions'!F:F,B29)</f>
        <v>0</v>
      </c>
      <c r="D29" s="67" t="s">
        <v>254</v>
      </c>
      <c r="E29" s="90" t="str">
        <f aca="false">IFERROR(F29/C29,"")</f>
        <v/>
      </c>
      <c r="F29" s="91" t="n">
        <f aca="false">SUMIFS('All Transactions'!L:L,'All Transactions'!E:E,A29,'All Transactions'!F:F,B29)</f>
        <v>0</v>
      </c>
      <c r="G29" s="92" t="n">
        <f aca="false">F29-H29</f>
        <v>0</v>
      </c>
      <c r="H29" s="91" t="n">
        <f aca="false">SUMIFS('All Transactions'!O:O,'All Transactions'!E:E,A29,'All Transactions'!F:F,B29)</f>
        <v>0</v>
      </c>
      <c r="I29" s="93" t="n">
        <f aca="false">IFERROR(H29/H$35,"")</f>
        <v>0</v>
      </c>
    </row>
    <row r="30" customFormat="false" ht="15.75" hidden="false" customHeight="true" outlineLevel="0" collapsed="false">
      <c r="A30" s="69" t="s">
        <v>244</v>
      </c>
      <c r="B30" s="69" t="s">
        <v>297</v>
      </c>
      <c r="C30" s="94" t="n">
        <f aca="false">SUMIFS('All Transactions'!I:I,'All Transactions'!E:E,A30,'All Transactions'!F:F,B30)</f>
        <v>0</v>
      </c>
      <c r="D30" s="69" t="s">
        <v>254</v>
      </c>
      <c r="E30" s="95" t="str">
        <f aca="false">IFERROR(F30/C30,"")</f>
        <v/>
      </c>
      <c r="F30" s="96" t="n">
        <f aca="false">SUMIFS('All Transactions'!L:L,'All Transactions'!E:E,A30,'All Transactions'!F:F,B30)</f>
        <v>0</v>
      </c>
      <c r="G30" s="97" t="n">
        <f aca="false">F30-H30</f>
        <v>0</v>
      </c>
      <c r="H30" s="96" t="n">
        <f aca="false">SUMIFS('All Transactions'!O:O,'All Transactions'!E:E,A30,'All Transactions'!F:F,B30)</f>
        <v>0</v>
      </c>
      <c r="I30" s="98" t="n">
        <f aca="false">IFERROR(H30/H$35,"")</f>
        <v>0</v>
      </c>
    </row>
    <row r="31" customFormat="false" ht="15.75" hidden="false" customHeight="true" outlineLevel="0" collapsed="false">
      <c r="A31" s="67" t="s">
        <v>244</v>
      </c>
      <c r="B31" s="67" t="s">
        <v>270</v>
      </c>
      <c r="C31" s="89" t="n">
        <f aca="false">SUMIFS('All Transactions'!I:I,'All Transactions'!E:E,A31,'All Transactions'!F:F,B31)</f>
        <v>0</v>
      </c>
      <c r="D31" s="67" t="s">
        <v>254</v>
      </c>
      <c r="E31" s="90" t="str">
        <f aca="false">IFERROR(F31/C31,"")</f>
        <v/>
      </c>
      <c r="F31" s="91" t="n">
        <f aca="false">SUMIFS('All Transactions'!L:L,'All Transactions'!E:E,A31,'All Transactions'!F:F,B31)</f>
        <v>0</v>
      </c>
      <c r="G31" s="92" t="n">
        <f aca="false">F31-H31</f>
        <v>0</v>
      </c>
      <c r="H31" s="91" t="n">
        <f aca="false">SUMIFS('All Transactions'!O:O,'All Transactions'!E:E,A31,'All Transactions'!F:F,B31)</f>
        <v>0</v>
      </c>
      <c r="I31" s="93" t="n">
        <f aca="false">IFERROR(H31/H$35,"")</f>
        <v>0</v>
      </c>
    </row>
    <row r="32" customFormat="false" ht="15.75" hidden="false" customHeight="true" outlineLevel="0" collapsed="false">
      <c r="A32" s="69" t="s">
        <v>244</v>
      </c>
      <c r="B32" s="69" t="s">
        <v>286</v>
      </c>
      <c r="C32" s="94" t="n">
        <f aca="false">SUMIFS('All Transactions'!I:I,'All Transactions'!E:E,A32,'All Transactions'!F:F,B32)</f>
        <v>0</v>
      </c>
      <c r="D32" s="69" t="s">
        <v>254</v>
      </c>
      <c r="E32" s="95" t="str">
        <f aca="false">IFERROR(F32/C32,"")</f>
        <v/>
      </c>
      <c r="F32" s="96" t="n">
        <f aca="false">SUMIFS('All Transactions'!L:L,'All Transactions'!E:E,A32,'All Transactions'!F:F,B32)</f>
        <v>0</v>
      </c>
      <c r="G32" s="97" t="n">
        <f aca="false">F32-H32</f>
        <v>0</v>
      </c>
      <c r="H32" s="96" t="n">
        <f aca="false">SUMIFS('All Transactions'!O:O,'All Transactions'!E:E,A32,'All Transactions'!F:F,B32)</f>
        <v>0</v>
      </c>
      <c r="I32" s="98" t="n">
        <f aca="false">IFERROR(H32/H$35,"")</f>
        <v>0</v>
      </c>
    </row>
    <row r="33" customFormat="false" ht="15.75" hidden="false" customHeight="true" outlineLevel="0" collapsed="false">
      <c r="A33" s="67" t="s">
        <v>244</v>
      </c>
      <c r="B33" s="67" t="s">
        <v>238</v>
      </c>
      <c r="C33" s="89" t="n">
        <f aca="false">SUMIFS('All Transactions'!I:I,'All Transactions'!E:E,A33,'All Transactions'!F:F,B33)</f>
        <v>0</v>
      </c>
      <c r="D33" s="67" t="s">
        <v>254</v>
      </c>
      <c r="E33" s="90" t="str">
        <f aca="false">IFERROR(F33/C33,"")</f>
        <v/>
      </c>
      <c r="F33" s="91" t="n">
        <f aca="false">SUMIFS('All Transactions'!L:L,'All Transactions'!E:E,A33,'All Transactions'!F:F,B33)</f>
        <v>0</v>
      </c>
      <c r="G33" s="92" t="n">
        <f aca="false">F33-H33</f>
        <v>0</v>
      </c>
      <c r="H33" s="91" t="n">
        <f aca="false">SUMIFS('All Transactions'!O:O,'All Transactions'!E:E,A33,'All Transactions'!F:F,B33)</f>
        <v>0</v>
      </c>
      <c r="I33" s="93" t="n">
        <f aca="false">IFERROR(H33/H$35,"")</f>
        <v>0</v>
      </c>
    </row>
    <row r="34" customFormat="false" ht="15.75" hidden="false" customHeight="true" outlineLevel="0" collapsed="false">
      <c r="A34" s="69" t="s">
        <v>244</v>
      </c>
      <c r="B34" s="69" t="s">
        <v>288</v>
      </c>
      <c r="C34" s="94" t="n">
        <f aca="false">SUMIFS('All Transactions'!I:I,'All Transactions'!E:E,A34,'All Transactions'!F:F,B34)</f>
        <v>0</v>
      </c>
      <c r="D34" s="69" t="s">
        <v>254</v>
      </c>
      <c r="E34" s="95" t="str">
        <f aca="false">IFERROR(F34/C34,"")</f>
        <v/>
      </c>
      <c r="F34" s="96" t="n">
        <f aca="false">SUMIFS('All Transactions'!L:L,'All Transactions'!E:E,A34,'All Transactions'!F:F,B34)</f>
        <v>0</v>
      </c>
      <c r="G34" s="97" t="n">
        <f aca="false">F34-H34</f>
        <v>0</v>
      </c>
      <c r="H34" s="96" t="n">
        <f aca="false">SUMIFS('All Transactions'!O:O,'All Transactions'!E:E,A34,'All Transactions'!F:F,B34)</f>
        <v>0</v>
      </c>
      <c r="I34" s="98" t="n">
        <f aca="false">IFERROR(H34/H$35,"")</f>
        <v>0</v>
      </c>
    </row>
    <row r="35" customFormat="false" ht="15.75" hidden="false" customHeight="true" outlineLevel="0" collapsed="false">
      <c r="A35" s="85" t="s">
        <v>465</v>
      </c>
      <c r="B35" s="85"/>
      <c r="C35" s="85"/>
      <c r="D35" s="85"/>
      <c r="E35" s="85"/>
      <c r="F35" s="86" t="n">
        <f aca="false">SUM(F5:F34)</f>
        <v>865382</v>
      </c>
      <c r="G35" s="86" t="n">
        <f aca="false">SUM(G5:G34)</f>
        <v>13240</v>
      </c>
      <c r="H35" s="86" t="n">
        <f aca="false">SUM(H5:H34)</f>
        <v>852142</v>
      </c>
      <c r="I35" s="85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J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7"/>
    <col collapsed="false" customWidth="true" hidden="false" outlineLevel="0" max="3" min="2" style="17" width="14"/>
    <col collapsed="false" customWidth="true" hidden="false" outlineLevel="0" max="4" min="4" style="17" width="24"/>
    <col collapsed="false" customWidth="true" hidden="false" outlineLevel="0" max="5" min="5" style="17" width="20"/>
    <col collapsed="false" customWidth="true" hidden="false" outlineLevel="0" max="7" min="6" style="17" width="14"/>
    <col collapsed="false" customWidth="true" hidden="false" outlineLevel="0" max="8" min="8" style="17" width="18"/>
    <col collapsed="false" customWidth="true" hidden="false" outlineLevel="0" max="9" min="9" style="17" width="16"/>
    <col collapsed="false" customWidth="true" hidden="false" outlineLevel="0" max="10" min="10" style="17" width="24"/>
  </cols>
  <sheetData>
    <row r="1" customFormat="false" ht="17.25" hidden="false" customHeight="true" outlineLevel="0" collapsed="false">
      <c r="A1" s="63" t="s">
        <v>466</v>
      </c>
      <c r="B1" s="63"/>
      <c r="C1" s="63"/>
      <c r="D1" s="63"/>
      <c r="E1" s="63"/>
      <c r="F1" s="63"/>
      <c r="G1" s="63"/>
      <c r="H1" s="63"/>
      <c r="I1" s="63"/>
      <c r="J1" s="63"/>
    </row>
    <row r="2" customFormat="false" ht="15.75" hidden="false" customHeight="true" outlineLevel="0" collapsed="false">
      <c r="A2" s="64" t="s">
        <v>467</v>
      </c>
      <c r="B2" s="64"/>
      <c r="C2" s="64"/>
      <c r="D2" s="64"/>
      <c r="E2" s="64"/>
      <c r="F2" s="64"/>
      <c r="G2" s="64"/>
      <c r="H2" s="64"/>
      <c r="I2" s="64"/>
      <c r="J2" s="64"/>
    </row>
    <row r="4" customFormat="false" ht="26.25" hidden="false" customHeight="true" outlineLevel="0" collapsed="false">
      <c r="A4" s="65" t="s">
        <v>307</v>
      </c>
      <c r="B4" s="65" t="s">
        <v>308</v>
      </c>
      <c r="C4" s="65" t="s">
        <v>468</v>
      </c>
      <c r="D4" s="65" t="s">
        <v>469</v>
      </c>
      <c r="E4" s="65" t="s">
        <v>470</v>
      </c>
      <c r="F4" s="65" t="s">
        <v>152</v>
      </c>
      <c r="G4" s="65" t="s">
        <v>319</v>
      </c>
      <c r="H4" s="65" t="s">
        <v>318</v>
      </c>
      <c r="I4" s="65" t="s">
        <v>410</v>
      </c>
      <c r="J4" s="65" t="s">
        <v>411</v>
      </c>
    </row>
    <row r="5" customFormat="false" ht="15.75" hidden="false" customHeight="true" outlineLevel="0" collapsed="false">
      <c r="A5" s="66" t="n">
        <v>1</v>
      </c>
      <c r="B5" s="70" t="n">
        <v>46149</v>
      </c>
      <c r="C5" s="72" t="s">
        <v>471</v>
      </c>
      <c r="D5" s="72" t="s">
        <v>113</v>
      </c>
      <c r="E5" s="72" t="s">
        <v>472</v>
      </c>
      <c r="F5" s="87" t="n">
        <v>5000</v>
      </c>
      <c r="G5" s="72" t="s">
        <v>211</v>
      </c>
      <c r="H5" s="72" t="s">
        <v>132</v>
      </c>
      <c r="I5" s="75" t="n">
        <f aca="false">IF(F5="","",F5)</f>
        <v>5000</v>
      </c>
      <c r="J5" s="72" t="s">
        <v>473</v>
      </c>
    </row>
    <row r="6" customFormat="false" ht="15.75" hidden="false" customHeight="true" outlineLevel="0" collapsed="false">
      <c r="A6" s="68" t="n">
        <v>2</v>
      </c>
      <c r="B6" s="78" t="n">
        <v>46149</v>
      </c>
      <c r="C6" s="80" t="s">
        <v>474</v>
      </c>
      <c r="D6" s="80" t="s">
        <v>123</v>
      </c>
      <c r="E6" s="80" t="s">
        <v>475</v>
      </c>
      <c r="F6" s="88" t="n">
        <v>1500</v>
      </c>
      <c r="G6" s="80" t="s">
        <v>211</v>
      </c>
      <c r="H6" s="80" t="s">
        <v>128</v>
      </c>
      <c r="I6" s="83" t="n">
        <f aca="false">IF(F6="","",IF(I5="",F6,I5+F6))</f>
        <v>6500</v>
      </c>
      <c r="J6" s="80" t="s">
        <v>476</v>
      </c>
    </row>
    <row r="7" customFormat="false" ht="15.75" hidden="false" customHeight="true" outlineLevel="0" collapsed="false">
      <c r="A7" s="66" t="n">
        <v>3</v>
      </c>
      <c r="B7" s="70"/>
      <c r="C7" s="72"/>
      <c r="D7" s="72"/>
      <c r="E7" s="72"/>
      <c r="F7" s="87"/>
      <c r="G7" s="72"/>
      <c r="H7" s="72"/>
      <c r="I7" s="75" t="str">
        <f aca="false">IF(F7="","",IF(I6="",F7,I6+F7))</f>
        <v/>
      </c>
      <c r="J7" s="72"/>
    </row>
    <row r="8" customFormat="false" ht="15.75" hidden="false" customHeight="true" outlineLevel="0" collapsed="false">
      <c r="A8" s="68" t="n">
        <v>4</v>
      </c>
      <c r="B8" s="78"/>
      <c r="C8" s="80"/>
      <c r="D8" s="80"/>
      <c r="E8" s="80"/>
      <c r="F8" s="88"/>
      <c r="G8" s="80"/>
      <c r="H8" s="80"/>
      <c r="I8" s="83" t="str">
        <f aca="false">IF(F8="","",IF(I7="",F8,I7+F8))</f>
        <v/>
      </c>
      <c r="J8" s="80"/>
    </row>
    <row r="9" customFormat="false" ht="15.75" hidden="false" customHeight="true" outlineLevel="0" collapsed="false">
      <c r="A9" s="66" t="n">
        <v>5</v>
      </c>
      <c r="B9" s="70"/>
      <c r="C9" s="72"/>
      <c r="D9" s="72"/>
      <c r="E9" s="72"/>
      <c r="F9" s="87"/>
      <c r="G9" s="72"/>
      <c r="H9" s="72"/>
      <c r="I9" s="75" t="str">
        <f aca="false">IF(F9="","",IF(I8="",F9,I8+F9))</f>
        <v/>
      </c>
      <c r="J9" s="72"/>
    </row>
    <row r="10" customFormat="false" ht="15.75" hidden="false" customHeight="true" outlineLevel="0" collapsed="false">
      <c r="A10" s="68" t="n">
        <v>6</v>
      </c>
      <c r="B10" s="78"/>
      <c r="C10" s="80"/>
      <c r="D10" s="80"/>
      <c r="E10" s="80"/>
      <c r="F10" s="88"/>
      <c r="G10" s="80"/>
      <c r="H10" s="80"/>
      <c r="I10" s="83" t="str">
        <f aca="false">IF(F10="","",IF(I9="",F10,I9+F10))</f>
        <v/>
      </c>
      <c r="J10" s="80"/>
    </row>
    <row r="11" customFormat="false" ht="15.75" hidden="false" customHeight="true" outlineLevel="0" collapsed="false">
      <c r="A11" s="66" t="n">
        <v>7</v>
      </c>
      <c r="B11" s="70"/>
      <c r="C11" s="72"/>
      <c r="D11" s="72"/>
      <c r="E11" s="72"/>
      <c r="F11" s="87"/>
      <c r="G11" s="72"/>
      <c r="H11" s="72"/>
      <c r="I11" s="75" t="str">
        <f aca="false">IF(F11="","",IF(I10="",F11,I10+F11))</f>
        <v/>
      </c>
      <c r="J11" s="72"/>
    </row>
    <row r="12" customFormat="false" ht="15.75" hidden="false" customHeight="true" outlineLevel="0" collapsed="false">
      <c r="A12" s="68" t="n">
        <v>8</v>
      </c>
      <c r="B12" s="78"/>
      <c r="C12" s="80"/>
      <c r="D12" s="80"/>
      <c r="E12" s="80"/>
      <c r="F12" s="88"/>
      <c r="G12" s="80"/>
      <c r="H12" s="80"/>
      <c r="I12" s="83" t="str">
        <f aca="false">IF(F12="","",IF(I11="",F12,I11+F12))</f>
        <v/>
      </c>
      <c r="J12" s="80"/>
    </row>
    <row r="13" customFormat="false" ht="15.75" hidden="false" customHeight="true" outlineLevel="0" collapsed="false">
      <c r="A13" s="66" t="n">
        <v>9</v>
      </c>
      <c r="B13" s="70"/>
      <c r="C13" s="72"/>
      <c r="D13" s="72"/>
      <c r="E13" s="72"/>
      <c r="F13" s="87"/>
      <c r="G13" s="72"/>
      <c r="H13" s="72"/>
      <c r="I13" s="75" t="str">
        <f aca="false">IF(F13="","",IF(I12="",F13,I12+F13))</f>
        <v/>
      </c>
      <c r="J13" s="72"/>
    </row>
    <row r="14" customFormat="false" ht="15.75" hidden="false" customHeight="true" outlineLevel="0" collapsed="false">
      <c r="A14" s="68" t="n">
        <v>10</v>
      </c>
      <c r="B14" s="78"/>
      <c r="C14" s="80"/>
      <c r="D14" s="80"/>
      <c r="E14" s="80"/>
      <c r="F14" s="88"/>
      <c r="G14" s="80"/>
      <c r="H14" s="80"/>
      <c r="I14" s="83" t="str">
        <f aca="false">IF(F14="","",IF(I13="",F14,I13+F14))</f>
        <v/>
      </c>
      <c r="J14" s="80"/>
    </row>
    <row r="15" customFormat="false" ht="15.75" hidden="false" customHeight="true" outlineLevel="0" collapsed="false">
      <c r="A15" s="66" t="n">
        <v>11</v>
      </c>
      <c r="B15" s="70"/>
      <c r="C15" s="72"/>
      <c r="D15" s="72"/>
      <c r="E15" s="72"/>
      <c r="F15" s="87"/>
      <c r="G15" s="72"/>
      <c r="H15" s="72"/>
      <c r="I15" s="75" t="str">
        <f aca="false">IF(F15="","",IF(I14="",F15,I14+F15))</f>
        <v/>
      </c>
      <c r="J15" s="72"/>
    </row>
    <row r="16" customFormat="false" ht="15.75" hidden="false" customHeight="true" outlineLevel="0" collapsed="false">
      <c r="A16" s="68" t="n">
        <v>12</v>
      </c>
      <c r="B16" s="78"/>
      <c r="C16" s="80"/>
      <c r="D16" s="80"/>
      <c r="E16" s="80"/>
      <c r="F16" s="88"/>
      <c r="G16" s="80"/>
      <c r="H16" s="80"/>
      <c r="I16" s="83" t="str">
        <f aca="false">IF(F16="","",IF(I15="",F16,I15+F16))</f>
        <v/>
      </c>
      <c r="J16" s="80"/>
    </row>
    <row r="17" customFormat="false" ht="15.75" hidden="false" customHeight="true" outlineLevel="0" collapsed="false">
      <c r="A17" s="66" t="n">
        <v>13</v>
      </c>
      <c r="B17" s="70"/>
      <c r="C17" s="72"/>
      <c r="D17" s="72"/>
      <c r="E17" s="72"/>
      <c r="F17" s="87"/>
      <c r="G17" s="72"/>
      <c r="H17" s="72"/>
      <c r="I17" s="75" t="str">
        <f aca="false">IF(F17="","",IF(I16="",F17,I16+F17))</f>
        <v/>
      </c>
      <c r="J17" s="72"/>
    </row>
    <row r="18" customFormat="false" ht="15.75" hidden="false" customHeight="true" outlineLevel="0" collapsed="false">
      <c r="A18" s="68" t="n">
        <v>14</v>
      </c>
      <c r="B18" s="78"/>
      <c r="C18" s="80"/>
      <c r="D18" s="80"/>
      <c r="E18" s="80"/>
      <c r="F18" s="88"/>
      <c r="G18" s="80"/>
      <c r="H18" s="80"/>
      <c r="I18" s="83" t="str">
        <f aca="false">IF(F18="","",IF(I17="",F18,I17+F18))</f>
        <v/>
      </c>
      <c r="J18" s="80"/>
    </row>
    <row r="19" customFormat="false" ht="15.75" hidden="false" customHeight="true" outlineLevel="0" collapsed="false">
      <c r="A19" s="66" t="n">
        <v>15</v>
      </c>
      <c r="B19" s="70"/>
      <c r="C19" s="72"/>
      <c r="D19" s="72"/>
      <c r="E19" s="72"/>
      <c r="F19" s="87"/>
      <c r="G19" s="72"/>
      <c r="H19" s="72"/>
      <c r="I19" s="75" t="str">
        <f aca="false">IF(F19="","",IF(I18="",F19,I18+F19))</f>
        <v/>
      </c>
      <c r="J19" s="72"/>
    </row>
    <row r="20" customFormat="false" ht="15.75" hidden="false" customHeight="true" outlineLevel="0" collapsed="false">
      <c r="A20" s="68" t="n">
        <v>16</v>
      </c>
      <c r="B20" s="78"/>
      <c r="C20" s="80"/>
      <c r="D20" s="80"/>
      <c r="E20" s="80"/>
      <c r="F20" s="88"/>
      <c r="G20" s="80"/>
      <c r="H20" s="80"/>
      <c r="I20" s="83" t="str">
        <f aca="false">IF(F20="","",IF(I19="",F20,I19+F20))</f>
        <v/>
      </c>
      <c r="J20" s="80"/>
    </row>
    <row r="21" customFormat="false" ht="15.75" hidden="false" customHeight="true" outlineLevel="0" collapsed="false">
      <c r="A21" s="66" t="n">
        <v>17</v>
      </c>
      <c r="B21" s="70"/>
      <c r="C21" s="72"/>
      <c r="D21" s="72"/>
      <c r="E21" s="72"/>
      <c r="F21" s="87"/>
      <c r="G21" s="72"/>
      <c r="H21" s="72"/>
      <c r="I21" s="75" t="str">
        <f aca="false">IF(F21="","",IF(I20="",F21,I20+F21))</f>
        <v/>
      </c>
      <c r="J21" s="72"/>
    </row>
    <row r="22" customFormat="false" ht="15.75" hidden="false" customHeight="true" outlineLevel="0" collapsed="false">
      <c r="A22" s="68" t="n">
        <v>18</v>
      </c>
      <c r="B22" s="78"/>
      <c r="C22" s="80"/>
      <c r="D22" s="80"/>
      <c r="E22" s="80"/>
      <c r="F22" s="88"/>
      <c r="G22" s="80"/>
      <c r="H22" s="80"/>
      <c r="I22" s="83" t="str">
        <f aca="false">IF(F22="","",IF(I21="",F22,I21+F22))</f>
        <v/>
      </c>
      <c r="J22" s="80"/>
    </row>
    <row r="23" customFormat="false" ht="15.75" hidden="false" customHeight="true" outlineLevel="0" collapsed="false">
      <c r="A23" s="66" t="n">
        <v>19</v>
      </c>
      <c r="B23" s="70"/>
      <c r="C23" s="72"/>
      <c r="D23" s="72"/>
      <c r="E23" s="72"/>
      <c r="F23" s="87"/>
      <c r="G23" s="72"/>
      <c r="H23" s="72"/>
      <c r="I23" s="75" t="str">
        <f aca="false">IF(F23="","",IF(I22="",F23,I22+F23))</f>
        <v/>
      </c>
      <c r="J23" s="72"/>
    </row>
    <row r="24" customFormat="false" ht="15.75" hidden="false" customHeight="true" outlineLevel="0" collapsed="false">
      <c r="A24" s="68" t="n">
        <v>20</v>
      </c>
      <c r="B24" s="78"/>
      <c r="C24" s="80"/>
      <c r="D24" s="80"/>
      <c r="E24" s="80"/>
      <c r="F24" s="88"/>
      <c r="G24" s="80"/>
      <c r="H24" s="80"/>
      <c r="I24" s="83" t="str">
        <f aca="false">IF(F24="","",IF(I23="",F24,I23+F24))</f>
        <v/>
      </c>
      <c r="J24" s="80"/>
    </row>
    <row r="25" customFormat="false" ht="15.75" hidden="false" customHeight="true" outlineLevel="0" collapsed="false">
      <c r="A25" s="66" t="n">
        <v>21</v>
      </c>
      <c r="B25" s="70"/>
      <c r="C25" s="72"/>
      <c r="D25" s="72"/>
      <c r="E25" s="72"/>
      <c r="F25" s="87"/>
      <c r="G25" s="72"/>
      <c r="H25" s="72"/>
      <c r="I25" s="75" t="str">
        <f aca="false">IF(F25="","",IF(I24="",F25,I24+F25))</f>
        <v/>
      </c>
      <c r="J25" s="72"/>
    </row>
    <row r="26" customFormat="false" ht="15.75" hidden="false" customHeight="true" outlineLevel="0" collapsed="false">
      <c r="A26" s="68" t="n">
        <v>22</v>
      </c>
      <c r="B26" s="78"/>
      <c r="C26" s="80"/>
      <c r="D26" s="80"/>
      <c r="E26" s="80"/>
      <c r="F26" s="88"/>
      <c r="G26" s="80"/>
      <c r="H26" s="80"/>
      <c r="I26" s="83" t="str">
        <f aca="false">IF(F26="","",IF(I25="",F26,I25+F26))</f>
        <v/>
      </c>
      <c r="J26" s="80"/>
    </row>
    <row r="27" customFormat="false" ht="15.75" hidden="false" customHeight="true" outlineLevel="0" collapsed="false">
      <c r="A27" s="66" t="n">
        <v>23</v>
      </c>
      <c r="B27" s="70"/>
      <c r="C27" s="72"/>
      <c r="D27" s="72"/>
      <c r="E27" s="72"/>
      <c r="F27" s="87"/>
      <c r="G27" s="72"/>
      <c r="H27" s="72"/>
      <c r="I27" s="75" t="str">
        <f aca="false">IF(F27="","",IF(I26="",F27,I26+F27))</f>
        <v/>
      </c>
      <c r="J27" s="72"/>
    </row>
    <row r="28" customFormat="false" ht="15.75" hidden="false" customHeight="true" outlineLevel="0" collapsed="false">
      <c r="A28" s="68" t="n">
        <v>24</v>
      </c>
      <c r="B28" s="78"/>
      <c r="C28" s="80"/>
      <c r="D28" s="80"/>
      <c r="E28" s="80"/>
      <c r="F28" s="88"/>
      <c r="G28" s="80"/>
      <c r="H28" s="80"/>
      <c r="I28" s="83" t="str">
        <f aca="false">IF(F28="","",IF(I27="",F28,I27+F28))</f>
        <v/>
      </c>
      <c r="J28" s="80"/>
    </row>
    <row r="29" customFormat="false" ht="15.75" hidden="false" customHeight="true" outlineLevel="0" collapsed="false">
      <c r="A29" s="66" t="n">
        <v>25</v>
      </c>
      <c r="B29" s="70"/>
      <c r="C29" s="72"/>
      <c r="D29" s="72"/>
      <c r="E29" s="72"/>
      <c r="F29" s="87"/>
      <c r="G29" s="72"/>
      <c r="H29" s="72"/>
      <c r="I29" s="75" t="str">
        <f aca="false">IF(F29="","",IF(I28="",F29,I28+F29))</f>
        <v/>
      </c>
      <c r="J29" s="72"/>
    </row>
    <row r="30" customFormat="false" ht="15.75" hidden="false" customHeight="true" outlineLevel="0" collapsed="false">
      <c r="A30" s="68" t="n">
        <v>26</v>
      </c>
      <c r="B30" s="78"/>
      <c r="C30" s="80"/>
      <c r="D30" s="80"/>
      <c r="E30" s="80"/>
      <c r="F30" s="88"/>
      <c r="G30" s="80"/>
      <c r="H30" s="80"/>
      <c r="I30" s="83" t="str">
        <f aca="false">IF(F30="","",IF(I29="",F30,I29+F30))</f>
        <v/>
      </c>
      <c r="J30" s="80"/>
    </row>
    <row r="31" customFormat="false" ht="15.75" hidden="false" customHeight="true" outlineLevel="0" collapsed="false">
      <c r="A31" s="66" t="n">
        <v>27</v>
      </c>
      <c r="B31" s="70"/>
      <c r="C31" s="72"/>
      <c r="D31" s="72"/>
      <c r="E31" s="72"/>
      <c r="F31" s="87"/>
      <c r="G31" s="72"/>
      <c r="H31" s="72"/>
      <c r="I31" s="75" t="str">
        <f aca="false">IF(F31="","",IF(I30="",F31,I30+F31))</f>
        <v/>
      </c>
      <c r="J31" s="72"/>
    </row>
    <row r="32" customFormat="false" ht="15.75" hidden="false" customHeight="true" outlineLevel="0" collapsed="false">
      <c r="A32" s="68" t="n">
        <v>28</v>
      </c>
      <c r="B32" s="78"/>
      <c r="C32" s="80"/>
      <c r="D32" s="80"/>
      <c r="E32" s="80"/>
      <c r="F32" s="88"/>
      <c r="G32" s="80"/>
      <c r="H32" s="80"/>
      <c r="I32" s="83" t="str">
        <f aca="false">IF(F32="","",IF(I31="",F32,I31+F32))</f>
        <v/>
      </c>
      <c r="J32" s="80"/>
    </row>
    <row r="33" customFormat="false" ht="15.75" hidden="false" customHeight="true" outlineLevel="0" collapsed="false">
      <c r="A33" s="66" t="n">
        <v>29</v>
      </c>
      <c r="B33" s="70"/>
      <c r="C33" s="72"/>
      <c r="D33" s="72"/>
      <c r="E33" s="72"/>
      <c r="F33" s="87"/>
      <c r="G33" s="72"/>
      <c r="H33" s="72"/>
      <c r="I33" s="75" t="str">
        <f aca="false">IF(F33="","",IF(I32="",F33,I32+F33))</f>
        <v/>
      </c>
      <c r="J33" s="72"/>
    </row>
    <row r="34" customFormat="false" ht="15.75" hidden="false" customHeight="true" outlineLevel="0" collapsed="false">
      <c r="A34" s="68" t="n">
        <v>30</v>
      </c>
      <c r="B34" s="78"/>
      <c r="C34" s="80"/>
      <c r="D34" s="80"/>
      <c r="E34" s="80"/>
      <c r="F34" s="88"/>
      <c r="G34" s="80"/>
      <c r="H34" s="80"/>
      <c r="I34" s="83" t="str">
        <f aca="false">IF(F34="","",IF(I33="",F34,I33+F34))</f>
        <v/>
      </c>
      <c r="J34" s="80"/>
    </row>
    <row r="35" customFormat="false" ht="15.75" hidden="false" customHeight="true" outlineLevel="0" collapsed="false">
      <c r="A35" s="66" t="n">
        <v>31</v>
      </c>
      <c r="B35" s="70"/>
      <c r="C35" s="72"/>
      <c r="D35" s="72"/>
      <c r="E35" s="72"/>
      <c r="F35" s="87"/>
      <c r="G35" s="72"/>
      <c r="H35" s="72"/>
      <c r="I35" s="75" t="str">
        <f aca="false">IF(F35="","",IF(I34="",F35,I34+F35))</f>
        <v/>
      </c>
      <c r="J35" s="72"/>
    </row>
    <row r="36" customFormat="false" ht="15.75" hidden="false" customHeight="true" outlineLevel="0" collapsed="false">
      <c r="A36" s="68" t="n">
        <v>32</v>
      </c>
      <c r="B36" s="78"/>
      <c r="C36" s="80"/>
      <c r="D36" s="80"/>
      <c r="E36" s="80"/>
      <c r="F36" s="88"/>
      <c r="G36" s="80"/>
      <c r="H36" s="80"/>
      <c r="I36" s="83" t="str">
        <f aca="false">IF(F36="","",IF(I35="",F36,I35+F36))</f>
        <v/>
      </c>
      <c r="J36" s="80"/>
    </row>
    <row r="37" customFormat="false" ht="15.75" hidden="false" customHeight="true" outlineLevel="0" collapsed="false">
      <c r="A37" s="66" t="n">
        <v>33</v>
      </c>
      <c r="B37" s="70"/>
      <c r="C37" s="72"/>
      <c r="D37" s="72"/>
      <c r="E37" s="72"/>
      <c r="F37" s="87"/>
      <c r="G37" s="72"/>
      <c r="H37" s="72"/>
      <c r="I37" s="75" t="str">
        <f aca="false">IF(F37="","",IF(I36="",F37,I36+F37))</f>
        <v/>
      </c>
      <c r="J37" s="72"/>
    </row>
    <row r="38" customFormat="false" ht="15.75" hidden="false" customHeight="true" outlineLevel="0" collapsed="false">
      <c r="A38" s="68" t="n">
        <v>34</v>
      </c>
      <c r="B38" s="78"/>
      <c r="C38" s="80"/>
      <c r="D38" s="80"/>
      <c r="E38" s="80"/>
      <c r="F38" s="88"/>
      <c r="G38" s="80"/>
      <c r="H38" s="80"/>
      <c r="I38" s="83" t="str">
        <f aca="false">IF(F38="","",IF(I37="",F38,I37+F38))</f>
        <v/>
      </c>
      <c r="J38" s="80"/>
    </row>
    <row r="39" customFormat="false" ht="15.75" hidden="false" customHeight="true" outlineLevel="0" collapsed="false">
      <c r="A39" s="66" t="n">
        <v>35</v>
      </c>
      <c r="B39" s="70"/>
      <c r="C39" s="72"/>
      <c r="D39" s="72"/>
      <c r="E39" s="72"/>
      <c r="F39" s="87"/>
      <c r="G39" s="72"/>
      <c r="H39" s="72"/>
      <c r="I39" s="75" t="str">
        <f aca="false">IF(F39="","",IF(I38="",F39,I38+F39))</f>
        <v/>
      </c>
      <c r="J39" s="72"/>
    </row>
    <row r="40" customFormat="false" ht="15.75" hidden="false" customHeight="true" outlineLevel="0" collapsed="false">
      <c r="A40" s="68" t="n">
        <v>36</v>
      </c>
      <c r="B40" s="78"/>
      <c r="C40" s="80"/>
      <c r="D40" s="80"/>
      <c r="E40" s="80"/>
      <c r="F40" s="88"/>
      <c r="G40" s="80"/>
      <c r="H40" s="80"/>
      <c r="I40" s="83" t="str">
        <f aca="false">IF(F40="","",IF(I39="",F40,I39+F40))</f>
        <v/>
      </c>
      <c r="J40" s="80"/>
    </row>
    <row r="41" customFormat="false" ht="15.75" hidden="false" customHeight="true" outlineLevel="0" collapsed="false">
      <c r="A41" s="66" t="n">
        <v>37</v>
      </c>
      <c r="B41" s="70"/>
      <c r="C41" s="72"/>
      <c r="D41" s="72"/>
      <c r="E41" s="72"/>
      <c r="F41" s="87"/>
      <c r="G41" s="72"/>
      <c r="H41" s="72"/>
      <c r="I41" s="75" t="str">
        <f aca="false">IF(F41="","",IF(I40="",F41,I40+F41))</f>
        <v/>
      </c>
      <c r="J41" s="72"/>
    </row>
    <row r="42" customFormat="false" ht="15.75" hidden="false" customHeight="true" outlineLevel="0" collapsed="false">
      <c r="A42" s="68" t="n">
        <v>38</v>
      </c>
      <c r="B42" s="78"/>
      <c r="C42" s="80"/>
      <c r="D42" s="80"/>
      <c r="E42" s="80"/>
      <c r="F42" s="88"/>
      <c r="G42" s="80"/>
      <c r="H42" s="80"/>
      <c r="I42" s="83" t="str">
        <f aca="false">IF(F42="","",IF(I41="",F42,I41+F42))</f>
        <v/>
      </c>
      <c r="J42" s="80"/>
    </row>
    <row r="43" customFormat="false" ht="15.75" hidden="false" customHeight="true" outlineLevel="0" collapsed="false">
      <c r="A43" s="66" t="n">
        <v>39</v>
      </c>
      <c r="B43" s="70"/>
      <c r="C43" s="72"/>
      <c r="D43" s="72"/>
      <c r="E43" s="72"/>
      <c r="F43" s="87"/>
      <c r="G43" s="72"/>
      <c r="H43" s="72"/>
      <c r="I43" s="75" t="str">
        <f aca="false">IF(F43="","",IF(I42="",F43,I42+F43))</f>
        <v/>
      </c>
      <c r="J43" s="72"/>
    </row>
    <row r="44" customFormat="false" ht="15.75" hidden="false" customHeight="true" outlineLevel="0" collapsed="false">
      <c r="A44" s="68" t="n">
        <v>40</v>
      </c>
      <c r="B44" s="78"/>
      <c r="C44" s="80"/>
      <c r="D44" s="80"/>
      <c r="E44" s="80"/>
      <c r="F44" s="88"/>
      <c r="G44" s="80"/>
      <c r="H44" s="80"/>
      <c r="I44" s="83" t="str">
        <f aca="false">IF(F44="","",IF(I43="",F44,I43+F44))</f>
        <v/>
      </c>
      <c r="J44" s="80"/>
    </row>
    <row r="45" customFormat="false" ht="15.75" hidden="false" customHeight="true" outlineLevel="0" collapsed="false">
      <c r="A45" s="66" t="n">
        <v>41</v>
      </c>
      <c r="B45" s="70"/>
      <c r="C45" s="72"/>
      <c r="D45" s="72"/>
      <c r="E45" s="72"/>
      <c r="F45" s="87"/>
      <c r="G45" s="72"/>
      <c r="H45" s="72"/>
      <c r="I45" s="75" t="str">
        <f aca="false">IF(F45="","",IF(I44="",F45,I44+F45))</f>
        <v/>
      </c>
      <c r="J45" s="72"/>
    </row>
    <row r="46" customFormat="false" ht="15.75" hidden="false" customHeight="true" outlineLevel="0" collapsed="false">
      <c r="A46" s="68" t="n">
        <v>42</v>
      </c>
      <c r="B46" s="78"/>
      <c r="C46" s="80"/>
      <c r="D46" s="80"/>
      <c r="E46" s="80"/>
      <c r="F46" s="88"/>
      <c r="G46" s="80"/>
      <c r="H46" s="80"/>
      <c r="I46" s="83" t="str">
        <f aca="false">IF(F46="","",IF(I45="",F46,I45+F46))</f>
        <v/>
      </c>
      <c r="J46" s="80"/>
    </row>
    <row r="47" customFormat="false" ht="15.75" hidden="false" customHeight="true" outlineLevel="0" collapsed="false">
      <c r="A47" s="66" t="n">
        <v>43</v>
      </c>
      <c r="B47" s="70"/>
      <c r="C47" s="72"/>
      <c r="D47" s="72"/>
      <c r="E47" s="72"/>
      <c r="F47" s="87"/>
      <c r="G47" s="72"/>
      <c r="H47" s="72"/>
      <c r="I47" s="75" t="str">
        <f aca="false">IF(F47="","",IF(I46="",F47,I46+F47))</f>
        <v/>
      </c>
      <c r="J47" s="72"/>
    </row>
    <row r="48" customFormat="false" ht="15.75" hidden="false" customHeight="true" outlineLevel="0" collapsed="false">
      <c r="A48" s="68" t="n">
        <v>44</v>
      </c>
      <c r="B48" s="78"/>
      <c r="C48" s="80"/>
      <c r="D48" s="80"/>
      <c r="E48" s="80"/>
      <c r="F48" s="88"/>
      <c r="G48" s="80"/>
      <c r="H48" s="80"/>
      <c r="I48" s="83" t="str">
        <f aca="false">IF(F48="","",IF(I47="",F48,I47+F48))</f>
        <v/>
      </c>
      <c r="J48" s="80"/>
    </row>
    <row r="49" customFormat="false" ht="15.75" hidden="false" customHeight="true" outlineLevel="0" collapsed="false">
      <c r="A49" s="66" t="n">
        <v>45</v>
      </c>
      <c r="B49" s="70"/>
      <c r="C49" s="72"/>
      <c r="D49" s="72"/>
      <c r="E49" s="72"/>
      <c r="F49" s="87"/>
      <c r="G49" s="72"/>
      <c r="H49" s="72"/>
      <c r="I49" s="75" t="str">
        <f aca="false">IF(F49="","",IF(I48="",F49,I48+F49))</f>
        <v/>
      </c>
      <c r="J49" s="72"/>
    </row>
    <row r="50" customFormat="false" ht="15.75" hidden="false" customHeight="true" outlineLevel="0" collapsed="false">
      <c r="A50" s="68" t="n">
        <v>46</v>
      </c>
      <c r="B50" s="78"/>
      <c r="C50" s="80"/>
      <c r="D50" s="80"/>
      <c r="E50" s="80"/>
      <c r="F50" s="88"/>
      <c r="G50" s="80"/>
      <c r="H50" s="80"/>
      <c r="I50" s="83" t="str">
        <f aca="false">IF(F50="","",IF(I49="",F50,I49+F50))</f>
        <v/>
      </c>
      <c r="J50" s="80"/>
    </row>
    <row r="51" customFormat="false" ht="15.75" hidden="false" customHeight="true" outlineLevel="0" collapsed="false">
      <c r="A51" s="66" t="n">
        <v>47</v>
      </c>
      <c r="B51" s="70"/>
      <c r="C51" s="72"/>
      <c r="D51" s="72"/>
      <c r="E51" s="72"/>
      <c r="F51" s="87"/>
      <c r="G51" s="72"/>
      <c r="H51" s="72"/>
      <c r="I51" s="75" t="str">
        <f aca="false">IF(F51="","",IF(I50="",F51,I50+F51))</f>
        <v/>
      </c>
      <c r="J51" s="72"/>
    </row>
    <row r="52" customFormat="false" ht="15.75" hidden="false" customHeight="true" outlineLevel="0" collapsed="false">
      <c r="A52" s="68" t="n">
        <v>48</v>
      </c>
      <c r="B52" s="78"/>
      <c r="C52" s="80"/>
      <c r="D52" s="80"/>
      <c r="E52" s="80"/>
      <c r="F52" s="88"/>
      <c r="G52" s="80"/>
      <c r="H52" s="80"/>
      <c r="I52" s="83" t="str">
        <f aca="false">IF(F52="","",IF(I51="",F52,I51+F52))</f>
        <v/>
      </c>
      <c r="J52" s="80"/>
    </row>
    <row r="53" customFormat="false" ht="15.75" hidden="false" customHeight="true" outlineLevel="0" collapsed="false">
      <c r="A53" s="66" t="n">
        <v>49</v>
      </c>
      <c r="B53" s="70"/>
      <c r="C53" s="72"/>
      <c r="D53" s="72"/>
      <c r="E53" s="72"/>
      <c r="F53" s="87"/>
      <c r="G53" s="72"/>
      <c r="H53" s="72"/>
      <c r="I53" s="75" t="str">
        <f aca="false">IF(F53="","",IF(I52="",F53,I52+F53))</f>
        <v/>
      </c>
      <c r="J53" s="72"/>
    </row>
    <row r="54" customFormat="false" ht="15.75" hidden="false" customHeight="true" outlineLevel="0" collapsed="false">
      <c r="A54" s="68" t="n">
        <v>50</v>
      </c>
      <c r="B54" s="78"/>
      <c r="C54" s="80"/>
      <c r="D54" s="80"/>
      <c r="E54" s="80"/>
      <c r="F54" s="88"/>
      <c r="G54" s="80"/>
      <c r="H54" s="80"/>
      <c r="I54" s="83" t="str">
        <f aca="false">IF(F54="","",IF(I53="",F54,I53+F54))</f>
        <v/>
      </c>
      <c r="J54" s="80"/>
    </row>
    <row r="55" customFormat="false" ht="15.75" hidden="false" customHeight="true" outlineLevel="0" collapsed="false">
      <c r="A55" s="66" t="n">
        <v>51</v>
      </c>
      <c r="B55" s="70"/>
      <c r="C55" s="72"/>
      <c r="D55" s="72"/>
      <c r="E55" s="72"/>
      <c r="F55" s="87"/>
      <c r="G55" s="72"/>
      <c r="H55" s="72"/>
      <c r="I55" s="75" t="str">
        <f aca="false">IF(F55="","",IF(I54="",F55,I54+F55))</f>
        <v/>
      </c>
      <c r="J55" s="72"/>
    </row>
    <row r="56" customFormat="false" ht="15.75" hidden="false" customHeight="true" outlineLevel="0" collapsed="false">
      <c r="A56" s="68" t="n">
        <v>52</v>
      </c>
      <c r="B56" s="78"/>
      <c r="C56" s="80"/>
      <c r="D56" s="80"/>
      <c r="E56" s="80"/>
      <c r="F56" s="88"/>
      <c r="G56" s="80"/>
      <c r="H56" s="80"/>
      <c r="I56" s="83" t="str">
        <f aca="false">IF(F56="","",IF(I55="",F56,I55+F56))</f>
        <v/>
      </c>
      <c r="J56" s="80"/>
    </row>
    <row r="57" customFormat="false" ht="15.75" hidden="false" customHeight="true" outlineLevel="0" collapsed="false">
      <c r="A57" s="66" t="n">
        <v>53</v>
      </c>
      <c r="B57" s="70"/>
      <c r="C57" s="72"/>
      <c r="D57" s="72"/>
      <c r="E57" s="72"/>
      <c r="F57" s="87"/>
      <c r="G57" s="72"/>
      <c r="H57" s="72"/>
      <c r="I57" s="75" t="str">
        <f aca="false">IF(F57="","",IF(I56="",F57,I56+F57))</f>
        <v/>
      </c>
      <c r="J57" s="72"/>
    </row>
    <row r="58" customFormat="false" ht="15.75" hidden="false" customHeight="true" outlineLevel="0" collapsed="false">
      <c r="A58" s="68" t="n">
        <v>54</v>
      </c>
      <c r="B58" s="78"/>
      <c r="C58" s="80"/>
      <c r="D58" s="80"/>
      <c r="E58" s="80"/>
      <c r="F58" s="88"/>
      <c r="G58" s="80"/>
      <c r="H58" s="80"/>
      <c r="I58" s="83" t="str">
        <f aca="false">IF(F58="","",IF(I57="",F58,I57+F58))</f>
        <v/>
      </c>
      <c r="J58" s="80"/>
    </row>
    <row r="59" customFormat="false" ht="15.75" hidden="false" customHeight="true" outlineLevel="0" collapsed="false">
      <c r="A59" s="66" t="n">
        <v>55</v>
      </c>
      <c r="B59" s="70"/>
      <c r="C59" s="72"/>
      <c r="D59" s="72"/>
      <c r="E59" s="72"/>
      <c r="F59" s="87"/>
      <c r="G59" s="72"/>
      <c r="H59" s="72"/>
      <c r="I59" s="75" t="str">
        <f aca="false">IF(F59="","",IF(I58="",F59,I58+F59))</f>
        <v/>
      </c>
      <c r="J59" s="72"/>
    </row>
    <row r="60" customFormat="false" ht="15.75" hidden="false" customHeight="true" outlineLevel="0" collapsed="false">
      <c r="A60" s="68" t="n">
        <v>56</v>
      </c>
      <c r="B60" s="78"/>
      <c r="C60" s="80"/>
      <c r="D60" s="80"/>
      <c r="E60" s="80"/>
      <c r="F60" s="88"/>
      <c r="G60" s="80"/>
      <c r="H60" s="80"/>
      <c r="I60" s="83" t="str">
        <f aca="false">IF(F60="","",IF(I59="",F60,I59+F60))</f>
        <v/>
      </c>
      <c r="J60" s="80"/>
    </row>
    <row r="61" customFormat="false" ht="15.75" hidden="false" customHeight="true" outlineLevel="0" collapsed="false">
      <c r="A61" s="66" t="n">
        <v>57</v>
      </c>
      <c r="B61" s="70"/>
      <c r="C61" s="72"/>
      <c r="D61" s="72"/>
      <c r="E61" s="72"/>
      <c r="F61" s="87"/>
      <c r="G61" s="72"/>
      <c r="H61" s="72"/>
      <c r="I61" s="75" t="str">
        <f aca="false">IF(F61="","",IF(I60="",F61,I60+F61))</f>
        <v/>
      </c>
      <c r="J61" s="72"/>
    </row>
    <row r="62" customFormat="false" ht="15.75" hidden="false" customHeight="true" outlineLevel="0" collapsed="false">
      <c r="A62" s="68" t="n">
        <v>58</v>
      </c>
      <c r="B62" s="78"/>
      <c r="C62" s="80"/>
      <c r="D62" s="80"/>
      <c r="E62" s="80"/>
      <c r="F62" s="88"/>
      <c r="G62" s="80"/>
      <c r="H62" s="80"/>
      <c r="I62" s="83" t="str">
        <f aca="false">IF(F62="","",IF(I61="",F62,I61+F62))</f>
        <v/>
      </c>
      <c r="J62" s="80"/>
    </row>
    <row r="63" customFormat="false" ht="15.75" hidden="false" customHeight="true" outlineLevel="0" collapsed="false">
      <c r="A63" s="66" t="n">
        <v>59</v>
      </c>
      <c r="B63" s="70"/>
      <c r="C63" s="72"/>
      <c r="D63" s="72"/>
      <c r="E63" s="72"/>
      <c r="F63" s="87"/>
      <c r="G63" s="72"/>
      <c r="H63" s="72"/>
      <c r="I63" s="75" t="str">
        <f aca="false">IF(F63="","",IF(I62="",F63,I62+F63))</f>
        <v/>
      </c>
      <c r="J63" s="72"/>
    </row>
    <row r="64" customFormat="false" ht="15.75" hidden="false" customHeight="true" outlineLevel="0" collapsed="false">
      <c r="A64" s="68" t="n">
        <v>60</v>
      </c>
      <c r="B64" s="78"/>
      <c r="C64" s="80"/>
      <c r="D64" s="80"/>
      <c r="E64" s="80"/>
      <c r="F64" s="88"/>
      <c r="G64" s="80"/>
      <c r="H64" s="80"/>
      <c r="I64" s="83" t="str">
        <f aca="false">IF(F64="","",IF(I63="",F64,I63+F64))</f>
        <v/>
      </c>
      <c r="J64" s="80"/>
    </row>
    <row r="65" customFormat="false" ht="15.75" hidden="false" customHeight="true" outlineLevel="0" collapsed="false">
      <c r="A65" s="66" t="n">
        <v>61</v>
      </c>
      <c r="B65" s="70"/>
      <c r="C65" s="72"/>
      <c r="D65" s="72"/>
      <c r="E65" s="72"/>
      <c r="F65" s="87"/>
      <c r="G65" s="72"/>
      <c r="H65" s="72"/>
      <c r="I65" s="75" t="str">
        <f aca="false">IF(F65="","",IF(I64="",F65,I64+F65))</f>
        <v/>
      </c>
      <c r="J65" s="72"/>
    </row>
    <row r="66" customFormat="false" ht="15.75" hidden="false" customHeight="true" outlineLevel="0" collapsed="false">
      <c r="A66" s="68" t="n">
        <v>62</v>
      </c>
      <c r="B66" s="78"/>
      <c r="C66" s="80"/>
      <c r="D66" s="80"/>
      <c r="E66" s="80"/>
      <c r="F66" s="88"/>
      <c r="G66" s="80"/>
      <c r="H66" s="80"/>
      <c r="I66" s="83" t="str">
        <f aca="false">IF(F66="","",IF(I65="",F66,I65+F66))</f>
        <v/>
      </c>
      <c r="J66" s="80"/>
    </row>
    <row r="67" customFormat="false" ht="15.75" hidden="false" customHeight="true" outlineLevel="0" collapsed="false">
      <c r="A67" s="66" t="n">
        <v>63</v>
      </c>
      <c r="B67" s="70"/>
      <c r="C67" s="72"/>
      <c r="D67" s="72"/>
      <c r="E67" s="72"/>
      <c r="F67" s="87"/>
      <c r="G67" s="72"/>
      <c r="H67" s="72"/>
      <c r="I67" s="75" t="str">
        <f aca="false">IF(F67="","",IF(I66="",F67,I66+F67))</f>
        <v/>
      </c>
      <c r="J67" s="72"/>
    </row>
    <row r="68" customFormat="false" ht="15.75" hidden="false" customHeight="true" outlineLevel="0" collapsed="false">
      <c r="A68" s="68" t="n">
        <v>64</v>
      </c>
      <c r="B68" s="78"/>
      <c r="C68" s="80"/>
      <c r="D68" s="80"/>
      <c r="E68" s="80"/>
      <c r="F68" s="88"/>
      <c r="G68" s="80"/>
      <c r="H68" s="80"/>
      <c r="I68" s="83" t="str">
        <f aca="false">IF(F68="","",IF(I67="",F68,I67+F68))</f>
        <v/>
      </c>
      <c r="J68" s="80"/>
    </row>
    <row r="69" customFormat="false" ht="15.75" hidden="false" customHeight="true" outlineLevel="0" collapsed="false">
      <c r="A69" s="66" t="n">
        <v>65</v>
      </c>
      <c r="B69" s="70"/>
      <c r="C69" s="72"/>
      <c r="D69" s="72"/>
      <c r="E69" s="72"/>
      <c r="F69" s="87"/>
      <c r="G69" s="72"/>
      <c r="H69" s="72"/>
      <c r="I69" s="75" t="str">
        <f aca="false">IF(F69="","",IF(I68="",F69,I68+F69))</f>
        <v/>
      </c>
      <c r="J69" s="72"/>
    </row>
    <row r="70" customFormat="false" ht="15.75" hidden="false" customHeight="true" outlineLevel="0" collapsed="false">
      <c r="A70" s="68" t="n">
        <v>66</v>
      </c>
      <c r="B70" s="78"/>
      <c r="C70" s="80"/>
      <c r="D70" s="80"/>
      <c r="E70" s="80"/>
      <c r="F70" s="88"/>
      <c r="G70" s="80"/>
      <c r="H70" s="80"/>
      <c r="I70" s="83" t="str">
        <f aca="false">IF(F70="","",IF(I69="",F70,I69+F70))</f>
        <v/>
      </c>
      <c r="J70" s="80"/>
    </row>
    <row r="71" customFormat="false" ht="15.75" hidden="false" customHeight="true" outlineLevel="0" collapsed="false">
      <c r="A71" s="66" t="n">
        <v>67</v>
      </c>
      <c r="B71" s="70"/>
      <c r="C71" s="72"/>
      <c r="D71" s="72"/>
      <c r="E71" s="72"/>
      <c r="F71" s="87"/>
      <c r="G71" s="72"/>
      <c r="H71" s="72"/>
      <c r="I71" s="75" t="str">
        <f aca="false">IF(F71="","",IF(I70="",F71,I70+F71))</f>
        <v/>
      </c>
      <c r="J71" s="72"/>
    </row>
    <row r="72" customFormat="false" ht="15.75" hidden="false" customHeight="true" outlineLevel="0" collapsed="false">
      <c r="A72" s="68" t="n">
        <v>68</v>
      </c>
      <c r="B72" s="78"/>
      <c r="C72" s="80"/>
      <c r="D72" s="80"/>
      <c r="E72" s="80"/>
      <c r="F72" s="88"/>
      <c r="G72" s="80"/>
      <c r="H72" s="80"/>
      <c r="I72" s="83" t="str">
        <f aca="false">IF(F72="","",IF(I71="",F72,I71+F72))</f>
        <v/>
      </c>
      <c r="J72" s="80"/>
    </row>
    <row r="73" customFormat="false" ht="15.75" hidden="false" customHeight="true" outlineLevel="0" collapsed="false">
      <c r="A73" s="66" t="n">
        <v>69</v>
      </c>
      <c r="B73" s="70"/>
      <c r="C73" s="72"/>
      <c r="D73" s="72"/>
      <c r="E73" s="72"/>
      <c r="F73" s="87"/>
      <c r="G73" s="72"/>
      <c r="H73" s="72"/>
      <c r="I73" s="75" t="str">
        <f aca="false">IF(F73="","",IF(I72="",F73,I72+F73))</f>
        <v/>
      </c>
      <c r="J73" s="72"/>
    </row>
    <row r="74" customFormat="false" ht="15.75" hidden="false" customHeight="true" outlineLevel="0" collapsed="false">
      <c r="A74" s="68" t="n">
        <v>70</v>
      </c>
      <c r="B74" s="78"/>
      <c r="C74" s="80"/>
      <c r="D74" s="80"/>
      <c r="E74" s="80"/>
      <c r="F74" s="88"/>
      <c r="G74" s="80"/>
      <c r="H74" s="80"/>
      <c r="I74" s="83" t="str">
        <f aca="false">IF(F74="","",IF(I73="",F74,I73+F74))</f>
        <v/>
      </c>
      <c r="J74" s="80"/>
    </row>
    <row r="75" customFormat="false" ht="15.75" hidden="false" customHeight="true" outlineLevel="0" collapsed="false">
      <c r="A75" s="66" t="n">
        <v>71</v>
      </c>
      <c r="B75" s="70"/>
      <c r="C75" s="72"/>
      <c r="D75" s="72"/>
      <c r="E75" s="72"/>
      <c r="F75" s="87"/>
      <c r="G75" s="72"/>
      <c r="H75" s="72"/>
      <c r="I75" s="75" t="str">
        <f aca="false">IF(F75="","",IF(I74="",F75,I74+F75))</f>
        <v/>
      </c>
      <c r="J75" s="72"/>
    </row>
    <row r="76" customFormat="false" ht="15.75" hidden="false" customHeight="true" outlineLevel="0" collapsed="false">
      <c r="A76" s="68" t="n">
        <v>72</v>
      </c>
      <c r="B76" s="78"/>
      <c r="C76" s="80"/>
      <c r="D76" s="80"/>
      <c r="E76" s="80"/>
      <c r="F76" s="88"/>
      <c r="G76" s="80"/>
      <c r="H76" s="80"/>
      <c r="I76" s="83" t="str">
        <f aca="false">IF(F76="","",IF(I75="",F76,I75+F76))</f>
        <v/>
      </c>
      <c r="J76" s="80"/>
    </row>
    <row r="77" customFormat="false" ht="15.75" hidden="false" customHeight="true" outlineLevel="0" collapsed="false">
      <c r="A77" s="66" t="n">
        <v>73</v>
      </c>
      <c r="B77" s="70"/>
      <c r="C77" s="72"/>
      <c r="D77" s="72"/>
      <c r="E77" s="72"/>
      <c r="F77" s="87"/>
      <c r="G77" s="72"/>
      <c r="H77" s="72"/>
      <c r="I77" s="75" t="str">
        <f aca="false">IF(F77="","",IF(I76="",F77,I76+F77))</f>
        <v/>
      </c>
      <c r="J77" s="72"/>
    </row>
    <row r="78" customFormat="false" ht="15.75" hidden="false" customHeight="true" outlineLevel="0" collapsed="false">
      <c r="A78" s="68" t="n">
        <v>74</v>
      </c>
      <c r="B78" s="78"/>
      <c r="C78" s="80"/>
      <c r="D78" s="80"/>
      <c r="E78" s="80"/>
      <c r="F78" s="88"/>
      <c r="G78" s="80"/>
      <c r="H78" s="80"/>
      <c r="I78" s="83" t="str">
        <f aca="false">IF(F78="","",IF(I77="",F78,I77+F78))</f>
        <v/>
      </c>
      <c r="J78" s="80"/>
    </row>
    <row r="79" customFormat="false" ht="15.75" hidden="false" customHeight="true" outlineLevel="0" collapsed="false">
      <c r="A79" s="66" t="n">
        <v>75</v>
      </c>
      <c r="B79" s="70"/>
      <c r="C79" s="72"/>
      <c r="D79" s="72"/>
      <c r="E79" s="72"/>
      <c r="F79" s="87"/>
      <c r="G79" s="72"/>
      <c r="H79" s="72"/>
      <c r="I79" s="75" t="str">
        <f aca="false">IF(F79="","",IF(I78="",F79,I78+F79))</f>
        <v/>
      </c>
      <c r="J79" s="72"/>
    </row>
    <row r="80" customFormat="false" ht="15.75" hidden="false" customHeight="true" outlineLevel="0" collapsed="false">
      <c r="A80" s="68" t="n">
        <v>76</v>
      </c>
      <c r="B80" s="78"/>
      <c r="C80" s="80"/>
      <c r="D80" s="80"/>
      <c r="E80" s="80"/>
      <c r="F80" s="88"/>
      <c r="G80" s="80"/>
      <c r="H80" s="80"/>
      <c r="I80" s="83" t="str">
        <f aca="false">IF(F80="","",IF(I79="",F80,I79+F80))</f>
        <v/>
      </c>
      <c r="J80" s="80"/>
    </row>
    <row r="81" customFormat="false" ht="15.75" hidden="false" customHeight="true" outlineLevel="0" collapsed="false">
      <c r="A81" s="66" t="n">
        <v>77</v>
      </c>
      <c r="B81" s="70"/>
      <c r="C81" s="72"/>
      <c r="D81" s="72"/>
      <c r="E81" s="72"/>
      <c r="F81" s="87"/>
      <c r="G81" s="72"/>
      <c r="H81" s="72"/>
      <c r="I81" s="75" t="str">
        <f aca="false">IF(F81="","",IF(I80="",F81,I80+F81))</f>
        <v/>
      </c>
      <c r="J81" s="72"/>
    </row>
    <row r="82" customFormat="false" ht="15.75" hidden="false" customHeight="true" outlineLevel="0" collapsed="false">
      <c r="A82" s="68" t="n">
        <v>78</v>
      </c>
      <c r="B82" s="78"/>
      <c r="C82" s="80"/>
      <c r="D82" s="80"/>
      <c r="E82" s="80"/>
      <c r="F82" s="88"/>
      <c r="G82" s="80"/>
      <c r="H82" s="80"/>
      <c r="I82" s="83" t="str">
        <f aca="false">IF(F82="","",IF(I81="",F82,I81+F82))</f>
        <v/>
      </c>
      <c r="J82" s="80"/>
    </row>
    <row r="83" customFormat="false" ht="15.75" hidden="false" customHeight="true" outlineLevel="0" collapsed="false">
      <c r="A83" s="66" t="n">
        <v>79</v>
      </c>
      <c r="B83" s="70"/>
      <c r="C83" s="72"/>
      <c r="D83" s="72"/>
      <c r="E83" s="72"/>
      <c r="F83" s="87"/>
      <c r="G83" s="72"/>
      <c r="H83" s="72"/>
      <c r="I83" s="75" t="str">
        <f aca="false">IF(F83="","",IF(I82="",F83,I82+F83))</f>
        <v/>
      </c>
      <c r="J83" s="72"/>
    </row>
    <row r="84" customFormat="false" ht="15.75" hidden="false" customHeight="true" outlineLevel="0" collapsed="false">
      <c r="A84" s="68" t="n">
        <v>80</v>
      </c>
      <c r="B84" s="78"/>
      <c r="C84" s="80"/>
      <c r="D84" s="80"/>
      <c r="E84" s="80"/>
      <c r="F84" s="88"/>
      <c r="G84" s="80"/>
      <c r="H84" s="80"/>
      <c r="I84" s="83" t="str">
        <f aca="false">IF(F84="","",IF(I83="",F84,I83+F84))</f>
        <v/>
      </c>
      <c r="J84" s="80"/>
    </row>
    <row r="85" customFormat="false" ht="15.75" hidden="false" customHeight="true" outlineLevel="0" collapsed="false">
      <c r="A85" s="66" t="n">
        <v>81</v>
      </c>
      <c r="B85" s="70"/>
      <c r="C85" s="72"/>
      <c r="D85" s="72"/>
      <c r="E85" s="72"/>
      <c r="F85" s="87"/>
      <c r="G85" s="72"/>
      <c r="H85" s="72"/>
      <c r="I85" s="75" t="str">
        <f aca="false">IF(F85="","",IF(I84="",F85,I84+F85))</f>
        <v/>
      </c>
      <c r="J85" s="72"/>
    </row>
    <row r="86" customFormat="false" ht="15.75" hidden="false" customHeight="true" outlineLevel="0" collapsed="false">
      <c r="A86" s="68" t="n">
        <v>82</v>
      </c>
      <c r="B86" s="78"/>
      <c r="C86" s="80"/>
      <c r="D86" s="80"/>
      <c r="E86" s="80"/>
      <c r="F86" s="88"/>
      <c r="G86" s="80"/>
      <c r="H86" s="80"/>
      <c r="I86" s="83" t="str">
        <f aca="false">IF(F86="","",IF(I85="",F86,I85+F86))</f>
        <v/>
      </c>
      <c r="J86" s="80"/>
    </row>
    <row r="87" customFormat="false" ht="15.75" hidden="false" customHeight="true" outlineLevel="0" collapsed="false">
      <c r="A87" s="66" t="n">
        <v>83</v>
      </c>
      <c r="B87" s="70"/>
      <c r="C87" s="72"/>
      <c r="D87" s="72"/>
      <c r="E87" s="72"/>
      <c r="F87" s="87"/>
      <c r="G87" s="72"/>
      <c r="H87" s="72"/>
      <c r="I87" s="75" t="str">
        <f aca="false">IF(F87="","",IF(I86="",F87,I86+F87))</f>
        <v/>
      </c>
      <c r="J87" s="72"/>
    </row>
    <row r="88" customFormat="false" ht="15.75" hidden="false" customHeight="true" outlineLevel="0" collapsed="false">
      <c r="A88" s="68" t="n">
        <v>84</v>
      </c>
      <c r="B88" s="78"/>
      <c r="C88" s="80"/>
      <c r="D88" s="80"/>
      <c r="E88" s="80"/>
      <c r="F88" s="88"/>
      <c r="G88" s="80"/>
      <c r="H88" s="80"/>
      <c r="I88" s="83" t="str">
        <f aca="false">IF(F88="","",IF(I87="",F88,I87+F88))</f>
        <v/>
      </c>
      <c r="J88" s="80"/>
    </row>
    <row r="89" customFormat="false" ht="15.75" hidden="false" customHeight="true" outlineLevel="0" collapsed="false">
      <c r="A89" s="66" t="n">
        <v>85</v>
      </c>
      <c r="B89" s="70"/>
      <c r="C89" s="72"/>
      <c r="D89" s="72"/>
      <c r="E89" s="72"/>
      <c r="F89" s="87"/>
      <c r="G89" s="72"/>
      <c r="H89" s="72"/>
      <c r="I89" s="75" t="str">
        <f aca="false">IF(F89="","",IF(I88="",F89,I88+F89))</f>
        <v/>
      </c>
      <c r="J89" s="72"/>
    </row>
    <row r="90" customFormat="false" ht="15.75" hidden="false" customHeight="true" outlineLevel="0" collapsed="false">
      <c r="A90" s="68" t="n">
        <v>86</v>
      </c>
      <c r="B90" s="78"/>
      <c r="C90" s="80"/>
      <c r="D90" s="80"/>
      <c r="E90" s="80"/>
      <c r="F90" s="88"/>
      <c r="G90" s="80"/>
      <c r="H90" s="80"/>
      <c r="I90" s="83" t="str">
        <f aca="false">IF(F90="","",IF(I89="",F90,I89+F90))</f>
        <v/>
      </c>
      <c r="J90" s="80"/>
    </row>
    <row r="91" customFormat="false" ht="15.75" hidden="false" customHeight="true" outlineLevel="0" collapsed="false">
      <c r="A91" s="66" t="n">
        <v>87</v>
      </c>
      <c r="B91" s="70"/>
      <c r="C91" s="72"/>
      <c r="D91" s="72"/>
      <c r="E91" s="72"/>
      <c r="F91" s="87"/>
      <c r="G91" s="72"/>
      <c r="H91" s="72"/>
      <c r="I91" s="75" t="str">
        <f aca="false">IF(F91="","",IF(I90="",F91,I90+F91))</f>
        <v/>
      </c>
      <c r="J91" s="72"/>
    </row>
    <row r="92" customFormat="false" ht="15.75" hidden="false" customHeight="true" outlineLevel="0" collapsed="false">
      <c r="A92" s="68" t="n">
        <v>88</v>
      </c>
      <c r="B92" s="78"/>
      <c r="C92" s="80"/>
      <c r="D92" s="80"/>
      <c r="E92" s="80"/>
      <c r="F92" s="88"/>
      <c r="G92" s="80"/>
      <c r="H92" s="80"/>
      <c r="I92" s="83" t="str">
        <f aca="false">IF(F92="","",IF(I91="",F92,I91+F92))</f>
        <v/>
      </c>
      <c r="J92" s="80"/>
    </row>
    <row r="93" customFormat="false" ht="15.75" hidden="false" customHeight="true" outlineLevel="0" collapsed="false">
      <c r="A93" s="66" t="n">
        <v>89</v>
      </c>
      <c r="B93" s="70"/>
      <c r="C93" s="72"/>
      <c r="D93" s="72"/>
      <c r="E93" s="72"/>
      <c r="F93" s="87"/>
      <c r="G93" s="72"/>
      <c r="H93" s="72"/>
      <c r="I93" s="75" t="str">
        <f aca="false">IF(F93="","",IF(I92="",F93,I92+F93))</f>
        <v/>
      </c>
      <c r="J93" s="72"/>
    </row>
    <row r="94" customFormat="false" ht="15.75" hidden="false" customHeight="true" outlineLevel="0" collapsed="false">
      <c r="A94" s="68" t="n">
        <v>90</v>
      </c>
      <c r="B94" s="78"/>
      <c r="C94" s="80"/>
      <c r="D94" s="80"/>
      <c r="E94" s="80"/>
      <c r="F94" s="88"/>
      <c r="G94" s="80"/>
      <c r="H94" s="80"/>
      <c r="I94" s="83" t="str">
        <f aca="false">IF(F94="","",IF(I93="",F94,I93+F94))</f>
        <v/>
      </c>
      <c r="J94" s="80"/>
    </row>
    <row r="95" customFormat="false" ht="15.75" hidden="false" customHeight="true" outlineLevel="0" collapsed="false">
      <c r="A95" s="66" t="n">
        <v>91</v>
      </c>
      <c r="B95" s="70"/>
      <c r="C95" s="72"/>
      <c r="D95" s="72"/>
      <c r="E95" s="72"/>
      <c r="F95" s="87"/>
      <c r="G95" s="72"/>
      <c r="H95" s="72"/>
      <c r="I95" s="75" t="str">
        <f aca="false">IF(F95="","",IF(I94="",F95,I94+F95))</f>
        <v/>
      </c>
      <c r="J95" s="72"/>
    </row>
    <row r="96" customFormat="false" ht="15.75" hidden="false" customHeight="true" outlineLevel="0" collapsed="false">
      <c r="A96" s="68" t="n">
        <v>92</v>
      </c>
      <c r="B96" s="78"/>
      <c r="C96" s="80"/>
      <c r="D96" s="80"/>
      <c r="E96" s="80"/>
      <c r="F96" s="88"/>
      <c r="G96" s="80"/>
      <c r="H96" s="80"/>
      <c r="I96" s="83" t="str">
        <f aca="false">IF(F96="","",IF(I95="",F96,I95+F96))</f>
        <v/>
      </c>
      <c r="J96" s="80"/>
    </row>
    <row r="97" customFormat="false" ht="15.75" hidden="false" customHeight="true" outlineLevel="0" collapsed="false">
      <c r="A97" s="66" t="n">
        <v>93</v>
      </c>
      <c r="B97" s="70"/>
      <c r="C97" s="72"/>
      <c r="D97" s="72"/>
      <c r="E97" s="72"/>
      <c r="F97" s="87"/>
      <c r="G97" s="72"/>
      <c r="H97" s="72"/>
      <c r="I97" s="75" t="str">
        <f aca="false">IF(F97="","",IF(I96="",F97,I96+F97))</f>
        <v/>
      </c>
      <c r="J97" s="72"/>
    </row>
    <row r="98" customFormat="false" ht="15.75" hidden="false" customHeight="true" outlineLevel="0" collapsed="false">
      <c r="A98" s="68" t="n">
        <v>94</v>
      </c>
      <c r="B98" s="78"/>
      <c r="C98" s="80"/>
      <c r="D98" s="80"/>
      <c r="E98" s="80"/>
      <c r="F98" s="88"/>
      <c r="G98" s="80"/>
      <c r="H98" s="80"/>
      <c r="I98" s="83" t="str">
        <f aca="false">IF(F98="","",IF(I97="",F98,I97+F98))</f>
        <v/>
      </c>
      <c r="J98" s="80"/>
    </row>
    <row r="99" customFormat="false" ht="15.75" hidden="false" customHeight="true" outlineLevel="0" collapsed="false">
      <c r="A99" s="66" t="n">
        <v>95</v>
      </c>
      <c r="B99" s="70"/>
      <c r="C99" s="72"/>
      <c r="D99" s="72"/>
      <c r="E99" s="72"/>
      <c r="F99" s="87"/>
      <c r="G99" s="72"/>
      <c r="H99" s="72"/>
      <c r="I99" s="75" t="str">
        <f aca="false">IF(F99="","",IF(I98="",F99,I98+F99))</f>
        <v/>
      </c>
      <c r="J99" s="72"/>
    </row>
    <row r="100" customFormat="false" ht="15.75" hidden="false" customHeight="true" outlineLevel="0" collapsed="false">
      <c r="A100" s="68" t="n">
        <v>96</v>
      </c>
      <c r="B100" s="78"/>
      <c r="C100" s="80"/>
      <c r="D100" s="80"/>
      <c r="E100" s="80"/>
      <c r="F100" s="88"/>
      <c r="G100" s="80"/>
      <c r="H100" s="80"/>
      <c r="I100" s="83" t="str">
        <f aca="false">IF(F100="","",IF(I99="",F100,I99+F100))</f>
        <v/>
      </c>
      <c r="J100" s="80"/>
    </row>
    <row r="101" customFormat="false" ht="15.75" hidden="false" customHeight="true" outlineLevel="0" collapsed="false">
      <c r="A101" s="66" t="n">
        <v>97</v>
      </c>
      <c r="B101" s="70"/>
      <c r="C101" s="72"/>
      <c r="D101" s="72"/>
      <c r="E101" s="72"/>
      <c r="F101" s="87"/>
      <c r="G101" s="72"/>
      <c r="H101" s="72"/>
      <c r="I101" s="75" t="str">
        <f aca="false">IF(F101="","",IF(I100="",F101,I100+F101))</f>
        <v/>
      </c>
      <c r="J101" s="72"/>
    </row>
    <row r="102" customFormat="false" ht="15.75" hidden="false" customHeight="true" outlineLevel="0" collapsed="false">
      <c r="A102" s="68" t="n">
        <v>98</v>
      </c>
      <c r="B102" s="78"/>
      <c r="C102" s="80"/>
      <c r="D102" s="80"/>
      <c r="E102" s="80"/>
      <c r="F102" s="88"/>
      <c r="G102" s="80"/>
      <c r="H102" s="80"/>
      <c r="I102" s="83" t="str">
        <f aca="false">IF(F102="","",IF(I101="",F102,I101+F102))</f>
        <v/>
      </c>
      <c r="J102" s="80"/>
    </row>
    <row r="103" customFormat="false" ht="15.75" hidden="false" customHeight="true" outlineLevel="0" collapsed="false">
      <c r="A103" s="66" t="n">
        <v>99</v>
      </c>
      <c r="B103" s="70"/>
      <c r="C103" s="72"/>
      <c r="D103" s="72"/>
      <c r="E103" s="72"/>
      <c r="F103" s="87"/>
      <c r="G103" s="72"/>
      <c r="H103" s="72"/>
      <c r="I103" s="75" t="str">
        <f aca="false">IF(F103="","",IF(I102="",F103,I102+F103))</f>
        <v/>
      </c>
      <c r="J103" s="72"/>
    </row>
    <row r="104" customFormat="false" ht="15.75" hidden="false" customHeight="true" outlineLevel="0" collapsed="false">
      <c r="A104" s="68" t="n">
        <v>100</v>
      </c>
      <c r="B104" s="78"/>
      <c r="C104" s="80"/>
      <c r="D104" s="80"/>
      <c r="E104" s="80"/>
      <c r="F104" s="88"/>
      <c r="G104" s="80"/>
      <c r="H104" s="80"/>
      <c r="I104" s="83" t="str">
        <f aca="false">IF(F104="","",IF(I103="",F104,I103+F104))</f>
        <v/>
      </c>
      <c r="J104" s="80"/>
    </row>
    <row r="105" customFormat="false" ht="15.75" hidden="false" customHeight="true" outlineLevel="0" collapsed="false">
      <c r="A105" s="66" t="n">
        <v>101</v>
      </c>
      <c r="B105" s="70"/>
      <c r="C105" s="72"/>
      <c r="D105" s="72"/>
      <c r="E105" s="72"/>
      <c r="F105" s="87"/>
      <c r="G105" s="72"/>
      <c r="H105" s="72"/>
      <c r="I105" s="75" t="str">
        <f aca="false">IF(F105="","",IF(I104="",F105,I104+F105))</f>
        <v/>
      </c>
      <c r="J105" s="72"/>
    </row>
    <row r="106" customFormat="false" ht="15.75" hidden="false" customHeight="true" outlineLevel="0" collapsed="false">
      <c r="A106" s="68" t="n">
        <v>102</v>
      </c>
      <c r="B106" s="78"/>
      <c r="C106" s="80"/>
      <c r="D106" s="80"/>
      <c r="E106" s="80"/>
      <c r="F106" s="88"/>
      <c r="G106" s="80"/>
      <c r="H106" s="80"/>
      <c r="I106" s="83" t="str">
        <f aca="false">IF(F106="","",IF(I105="",F106,I105+F106))</f>
        <v/>
      </c>
      <c r="J106" s="80"/>
    </row>
    <row r="107" customFormat="false" ht="15.75" hidden="false" customHeight="true" outlineLevel="0" collapsed="false">
      <c r="A107" s="66" t="n">
        <v>103</v>
      </c>
      <c r="B107" s="70"/>
      <c r="C107" s="72"/>
      <c r="D107" s="72"/>
      <c r="E107" s="72"/>
      <c r="F107" s="87"/>
      <c r="G107" s="72"/>
      <c r="H107" s="72"/>
      <c r="I107" s="75" t="str">
        <f aca="false">IF(F107="","",IF(I106="",F107,I106+F107))</f>
        <v/>
      </c>
      <c r="J107" s="72"/>
    </row>
    <row r="108" customFormat="false" ht="15.75" hidden="false" customHeight="true" outlineLevel="0" collapsed="false">
      <c r="A108" s="68" t="n">
        <v>104</v>
      </c>
      <c r="B108" s="78"/>
      <c r="C108" s="80"/>
      <c r="D108" s="80"/>
      <c r="E108" s="80"/>
      <c r="F108" s="88"/>
      <c r="G108" s="80"/>
      <c r="H108" s="80"/>
      <c r="I108" s="83" t="str">
        <f aca="false">IF(F108="","",IF(I107="",F108,I107+F108))</f>
        <v/>
      </c>
      <c r="J108" s="80"/>
    </row>
    <row r="109" customFormat="false" ht="15.75" hidden="false" customHeight="true" outlineLevel="0" collapsed="false">
      <c r="A109" s="66" t="n">
        <v>105</v>
      </c>
      <c r="B109" s="70"/>
      <c r="C109" s="72"/>
      <c r="D109" s="72"/>
      <c r="E109" s="72"/>
      <c r="F109" s="87"/>
      <c r="G109" s="72"/>
      <c r="H109" s="72"/>
      <c r="I109" s="75" t="str">
        <f aca="false">IF(F109="","",IF(I108="",F109,I108+F109))</f>
        <v/>
      </c>
      <c r="J109" s="72"/>
    </row>
    <row r="110" customFormat="false" ht="15.75" hidden="false" customHeight="true" outlineLevel="0" collapsed="false">
      <c r="A110" s="68" t="n">
        <v>106</v>
      </c>
      <c r="B110" s="78"/>
      <c r="C110" s="80"/>
      <c r="D110" s="80"/>
      <c r="E110" s="80"/>
      <c r="F110" s="88"/>
      <c r="G110" s="80"/>
      <c r="H110" s="80"/>
      <c r="I110" s="83" t="str">
        <f aca="false">IF(F110="","",IF(I109="",F110,I109+F110))</f>
        <v/>
      </c>
      <c r="J110" s="80"/>
    </row>
    <row r="111" customFormat="false" ht="15.75" hidden="false" customHeight="true" outlineLevel="0" collapsed="false">
      <c r="A111" s="66" t="n">
        <v>107</v>
      </c>
      <c r="B111" s="70"/>
      <c r="C111" s="72"/>
      <c r="D111" s="72"/>
      <c r="E111" s="72"/>
      <c r="F111" s="87"/>
      <c r="G111" s="72"/>
      <c r="H111" s="72"/>
      <c r="I111" s="75" t="str">
        <f aca="false">IF(F111="","",IF(I110="",F111,I110+F111))</f>
        <v/>
      </c>
      <c r="J111" s="72"/>
    </row>
    <row r="112" customFormat="false" ht="15.75" hidden="false" customHeight="true" outlineLevel="0" collapsed="false">
      <c r="A112" s="68" t="n">
        <v>108</v>
      </c>
      <c r="B112" s="78"/>
      <c r="C112" s="80"/>
      <c r="D112" s="80"/>
      <c r="E112" s="80"/>
      <c r="F112" s="88"/>
      <c r="G112" s="80"/>
      <c r="H112" s="80"/>
      <c r="I112" s="83" t="str">
        <f aca="false">IF(F112="","",IF(I111="",F112,I111+F112))</f>
        <v/>
      </c>
      <c r="J112" s="80"/>
    </row>
    <row r="113" customFormat="false" ht="15.75" hidden="false" customHeight="true" outlineLevel="0" collapsed="false">
      <c r="A113" s="66" t="n">
        <v>109</v>
      </c>
      <c r="B113" s="70"/>
      <c r="C113" s="72"/>
      <c r="D113" s="72"/>
      <c r="E113" s="72"/>
      <c r="F113" s="87"/>
      <c r="G113" s="72"/>
      <c r="H113" s="72"/>
      <c r="I113" s="75" t="str">
        <f aca="false">IF(F113="","",IF(I112="",F113,I112+F113))</f>
        <v/>
      </c>
      <c r="J113" s="72"/>
    </row>
    <row r="114" customFormat="false" ht="15.75" hidden="false" customHeight="true" outlineLevel="0" collapsed="false">
      <c r="A114" s="68" t="n">
        <v>110</v>
      </c>
      <c r="B114" s="78"/>
      <c r="C114" s="80"/>
      <c r="D114" s="80"/>
      <c r="E114" s="80"/>
      <c r="F114" s="88"/>
      <c r="G114" s="80"/>
      <c r="H114" s="80"/>
      <c r="I114" s="83" t="str">
        <f aca="false">IF(F114="","",IF(I113="",F114,I113+F114))</f>
        <v/>
      </c>
      <c r="J114" s="80"/>
    </row>
    <row r="115" customFormat="false" ht="15.75" hidden="false" customHeight="true" outlineLevel="0" collapsed="false">
      <c r="A115" s="66" t="n">
        <v>111</v>
      </c>
      <c r="B115" s="70"/>
      <c r="C115" s="72"/>
      <c r="D115" s="72"/>
      <c r="E115" s="72"/>
      <c r="F115" s="87"/>
      <c r="G115" s="72"/>
      <c r="H115" s="72"/>
      <c r="I115" s="75" t="str">
        <f aca="false">IF(F115="","",IF(I114="",F115,I114+F115))</f>
        <v/>
      </c>
      <c r="J115" s="72"/>
    </row>
    <row r="116" customFormat="false" ht="15.75" hidden="false" customHeight="true" outlineLevel="0" collapsed="false">
      <c r="A116" s="68" t="n">
        <v>112</v>
      </c>
      <c r="B116" s="78"/>
      <c r="C116" s="80"/>
      <c r="D116" s="80"/>
      <c r="E116" s="80"/>
      <c r="F116" s="88"/>
      <c r="G116" s="80"/>
      <c r="H116" s="80"/>
      <c r="I116" s="83" t="str">
        <f aca="false">IF(F116="","",IF(I115="",F116,I115+F116))</f>
        <v/>
      </c>
      <c r="J116" s="80"/>
    </row>
    <row r="117" customFormat="false" ht="15.75" hidden="false" customHeight="true" outlineLevel="0" collapsed="false">
      <c r="A117" s="66" t="n">
        <v>113</v>
      </c>
      <c r="B117" s="70"/>
      <c r="C117" s="72"/>
      <c r="D117" s="72"/>
      <c r="E117" s="72"/>
      <c r="F117" s="87"/>
      <c r="G117" s="72"/>
      <c r="H117" s="72"/>
      <c r="I117" s="75" t="str">
        <f aca="false">IF(F117="","",IF(I116="",F117,I116+F117))</f>
        <v/>
      </c>
      <c r="J117" s="72"/>
    </row>
    <row r="118" customFormat="false" ht="15.75" hidden="false" customHeight="true" outlineLevel="0" collapsed="false">
      <c r="A118" s="68" t="n">
        <v>114</v>
      </c>
      <c r="B118" s="78"/>
      <c r="C118" s="80"/>
      <c r="D118" s="80"/>
      <c r="E118" s="80"/>
      <c r="F118" s="88"/>
      <c r="G118" s="80"/>
      <c r="H118" s="80"/>
      <c r="I118" s="83" t="str">
        <f aca="false">IF(F118="","",IF(I117="",F118,I117+F118))</f>
        <v/>
      </c>
      <c r="J118" s="80"/>
    </row>
    <row r="119" customFormat="false" ht="15.75" hidden="false" customHeight="true" outlineLevel="0" collapsed="false">
      <c r="A119" s="66" t="n">
        <v>115</v>
      </c>
      <c r="B119" s="70"/>
      <c r="C119" s="72"/>
      <c r="D119" s="72"/>
      <c r="E119" s="72"/>
      <c r="F119" s="87"/>
      <c r="G119" s="72"/>
      <c r="H119" s="72"/>
      <c r="I119" s="75" t="str">
        <f aca="false">IF(F119="","",IF(I118="",F119,I118+F119))</f>
        <v/>
      </c>
      <c r="J119" s="72"/>
    </row>
    <row r="120" customFormat="false" ht="15.75" hidden="false" customHeight="true" outlineLevel="0" collapsed="false">
      <c r="A120" s="68" t="n">
        <v>116</v>
      </c>
      <c r="B120" s="78"/>
      <c r="C120" s="80"/>
      <c r="D120" s="80"/>
      <c r="E120" s="80"/>
      <c r="F120" s="88"/>
      <c r="G120" s="80"/>
      <c r="H120" s="80"/>
      <c r="I120" s="83" t="str">
        <f aca="false">IF(F120="","",IF(I119="",F120,I119+F120))</f>
        <v/>
      </c>
      <c r="J120" s="80"/>
    </row>
    <row r="121" customFormat="false" ht="15.75" hidden="false" customHeight="true" outlineLevel="0" collapsed="false">
      <c r="A121" s="66" t="n">
        <v>117</v>
      </c>
      <c r="B121" s="70"/>
      <c r="C121" s="72"/>
      <c r="D121" s="72"/>
      <c r="E121" s="72"/>
      <c r="F121" s="87"/>
      <c r="G121" s="72"/>
      <c r="H121" s="72"/>
      <c r="I121" s="75" t="str">
        <f aca="false">IF(F121="","",IF(I120="",F121,I120+F121))</f>
        <v/>
      </c>
      <c r="J121" s="72"/>
    </row>
    <row r="122" customFormat="false" ht="15.75" hidden="false" customHeight="true" outlineLevel="0" collapsed="false">
      <c r="A122" s="68" t="n">
        <v>118</v>
      </c>
      <c r="B122" s="78"/>
      <c r="C122" s="80"/>
      <c r="D122" s="80"/>
      <c r="E122" s="80"/>
      <c r="F122" s="88"/>
      <c r="G122" s="80"/>
      <c r="H122" s="80"/>
      <c r="I122" s="83" t="str">
        <f aca="false">IF(F122="","",IF(I121="",F122,I121+F122))</f>
        <v/>
      </c>
      <c r="J122" s="80"/>
    </row>
    <row r="123" customFormat="false" ht="15.75" hidden="false" customHeight="true" outlineLevel="0" collapsed="false">
      <c r="A123" s="66" t="n">
        <v>119</v>
      </c>
      <c r="B123" s="70"/>
      <c r="C123" s="72"/>
      <c r="D123" s="72"/>
      <c r="E123" s="72"/>
      <c r="F123" s="87"/>
      <c r="G123" s="72"/>
      <c r="H123" s="72"/>
      <c r="I123" s="75" t="str">
        <f aca="false">IF(F123="","",IF(I122="",F123,I122+F123))</f>
        <v/>
      </c>
      <c r="J123" s="72"/>
    </row>
    <row r="124" customFormat="false" ht="15.75" hidden="false" customHeight="true" outlineLevel="0" collapsed="false">
      <c r="A124" s="68" t="n">
        <v>120</v>
      </c>
      <c r="B124" s="78"/>
      <c r="C124" s="80"/>
      <c r="D124" s="80"/>
      <c r="E124" s="80"/>
      <c r="F124" s="88"/>
      <c r="G124" s="80"/>
      <c r="H124" s="80"/>
      <c r="I124" s="83" t="str">
        <f aca="false">IF(F124="","",IF(I123="",F124,I123+F124))</f>
        <v/>
      </c>
      <c r="J124" s="80"/>
    </row>
    <row r="125" customFormat="false" ht="15.75" hidden="false" customHeight="true" outlineLevel="0" collapsed="false">
      <c r="A125" s="66" t="n">
        <v>121</v>
      </c>
      <c r="B125" s="70"/>
      <c r="C125" s="72"/>
      <c r="D125" s="72"/>
      <c r="E125" s="72"/>
      <c r="F125" s="87"/>
      <c r="G125" s="72"/>
      <c r="H125" s="72"/>
      <c r="I125" s="75" t="str">
        <f aca="false">IF(F125="","",IF(I124="",F125,I124+F125))</f>
        <v/>
      </c>
      <c r="J125" s="72"/>
    </row>
    <row r="126" customFormat="false" ht="15.75" hidden="false" customHeight="true" outlineLevel="0" collapsed="false">
      <c r="A126" s="68" t="n">
        <v>122</v>
      </c>
      <c r="B126" s="78"/>
      <c r="C126" s="80"/>
      <c r="D126" s="80"/>
      <c r="E126" s="80"/>
      <c r="F126" s="88"/>
      <c r="G126" s="80"/>
      <c r="H126" s="80"/>
      <c r="I126" s="83" t="str">
        <f aca="false">IF(F126="","",IF(I125="",F126,I125+F126))</f>
        <v/>
      </c>
      <c r="J126" s="80"/>
    </row>
    <row r="127" customFormat="false" ht="15.75" hidden="false" customHeight="true" outlineLevel="0" collapsed="false">
      <c r="A127" s="66" t="n">
        <v>123</v>
      </c>
      <c r="B127" s="70"/>
      <c r="C127" s="72"/>
      <c r="D127" s="72"/>
      <c r="E127" s="72"/>
      <c r="F127" s="87"/>
      <c r="G127" s="72"/>
      <c r="H127" s="72"/>
      <c r="I127" s="75" t="str">
        <f aca="false">IF(F127="","",IF(I126="",F127,I126+F127))</f>
        <v/>
      </c>
      <c r="J127" s="72"/>
    </row>
    <row r="128" customFormat="false" ht="15.75" hidden="false" customHeight="true" outlineLevel="0" collapsed="false">
      <c r="A128" s="68" t="n">
        <v>124</v>
      </c>
      <c r="B128" s="78"/>
      <c r="C128" s="80"/>
      <c r="D128" s="80"/>
      <c r="E128" s="80"/>
      <c r="F128" s="88"/>
      <c r="G128" s="80"/>
      <c r="H128" s="80"/>
      <c r="I128" s="83" t="str">
        <f aca="false">IF(F128="","",IF(I127="",F128,I127+F128))</f>
        <v/>
      </c>
      <c r="J128" s="80"/>
    </row>
    <row r="129" customFormat="false" ht="15.75" hidden="false" customHeight="true" outlineLevel="0" collapsed="false">
      <c r="A129" s="66" t="n">
        <v>125</v>
      </c>
      <c r="B129" s="70"/>
      <c r="C129" s="72"/>
      <c r="D129" s="72"/>
      <c r="E129" s="72"/>
      <c r="F129" s="87"/>
      <c r="G129" s="72"/>
      <c r="H129" s="72"/>
      <c r="I129" s="75" t="str">
        <f aca="false">IF(F129="","",IF(I128="",F129,I128+F129))</f>
        <v/>
      </c>
      <c r="J129" s="72"/>
    </row>
    <row r="130" customFormat="false" ht="15.75" hidden="false" customHeight="true" outlineLevel="0" collapsed="false">
      <c r="A130" s="68" t="n">
        <v>126</v>
      </c>
      <c r="B130" s="78"/>
      <c r="C130" s="80"/>
      <c r="D130" s="80"/>
      <c r="E130" s="80"/>
      <c r="F130" s="88"/>
      <c r="G130" s="80"/>
      <c r="H130" s="80"/>
      <c r="I130" s="83" t="str">
        <f aca="false">IF(F130="","",IF(I129="",F130,I129+F130))</f>
        <v/>
      </c>
      <c r="J130" s="80"/>
    </row>
    <row r="131" customFormat="false" ht="15.75" hidden="false" customHeight="true" outlineLevel="0" collapsed="false">
      <c r="A131" s="66" t="n">
        <v>127</v>
      </c>
      <c r="B131" s="70"/>
      <c r="C131" s="72"/>
      <c r="D131" s="72"/>
      <c r="E131" s="72"/>
      <c r="F131" s="87"/>
      <c r="G131" s="72"/>
      <c r="H131" s="72"/>
      <c r="I131" s="75" t="str">
        <f aca="false">IF(F131="","",IF(I130="",F131,I130+F131))</f>
        <v/>
      </c>
      <c r="J131" s="72"/>
    </row>
    <row r="132" customFormat="false" ht="15.75" hidden="false" customHeight="true" outlineLevel="0" collapsed="false">
      <c r="A132" s="68" t="n">
        <v>128</v>
      </c>
      <c r="B132" s="78"/>
      <c r="C132" s="80"/>
      <c r="D132" s="80"/>
      <c r="E132" s="80"/>
      <c r="F132" s="88"/>
      <c r="G132" s="80"/>
      <c r="H132" s="80"/>
      <c r="I132" s="83" t="str">
        <f aca="false">IF(F132="","",IF(I131="",F132,I131+F132))</f>
        <v/>
      </c>
      <c r="J132" s="80"/>
    </row>
    <row r="133" customFormat="false" ht="15.75" hidden="false" customHeight="true" outlineLevel="0" collapsed="false">
      <c r="A133" s="66" t="n">
        <v>129</v>
      </c>
      <c r="B133" s="70"/>
      <c r="C133" s="72"/>
      <c r="D133" s="72"/>
      <c r="E133" s="72"/>
      <c r="F133" s="87"/>
      <c r="G133" s="72"/>
      <c r="H133" s="72"/>
      <c r="I133" s="75" t="str">
        <f aca="false">IF(F133="","",IF(I132="",F133,I132+F133))</f>
        <v/>
      </c>
      <c r="J133" s="72"/>
    </row>
    <row r="134" customFormat="false" ht="15.75" hidden="false" customHeight="true" outlineLevel="0" collapsed="false">
      <c r="A134" s="68" t="n">
        <v>130</v>
      </c>
      <c r="B134" s="78"/>
      <c r="C134" s="80"/>
      <c r="D134" s="80"/>
      <c r="E134" s="80"/>
      <c r="F134" s="88"/>
      <c r="G134" s="80"/>
      <c r="H134" s="80"/>
      <c r="I134" s="83" t="str">
        <f aca="false">IF(F134="","",IF(I133="",F134,I133+F134))</f>
        <v/>
      </c>
      <c r="J134" s="80"/>
    </row>
    <row r="135" customFormat="false" ht="15.75" hidden="false" customHeight="true" outlineLevel="0" collapsed="false">
      <c r="A135" s="66" t="n">
        <v>131</v>
      </c>
      <c r="B135" s="70"/>
      <c r="C135" s="72"/>
      <c r="D135" s="72"/>
      <c r="E135" s="72"/>
      <c r="F135" s="87"/>
      <c r="G135" s="72"/>
      <c r="H135" s="72"/>
      <c r="I135" s="75" t="str">
        <f aca="false">IF(F135="","",IF(I134="",F135,I134+F135))</f>
        <v/>
      </c>
      <c r="J135" s="72"/>
    </row>
    <row r="136" customFormat="false" ht="15.75" hidden="false" customHeight="true" outlineLevel="0" collapsed="false">
      <c r="A136" s="68" t="n">
        <v>132</v>
      </c>
      <c r="B136" s="78"/>
      <c r="C136" s="80"/>
      <c r="D136" s="80"/>
      <c r="E136" s="80"/>
      <c r="F136" s="88"/>
      <c r="G136" s="80"/>
      <c r="H136" s="80"/>
      <c r="I136" s="83" t="str">
        <f aca="false">IF(F136="","",IF(I135="",F136,I135+F136))</f>
        <v/>
      </c>
      <c r="J136" s="80"/>
    </row>
    <row r="137" customFormat="false" ht="15.75" hidden="false" customHeight="true" outlineLevel="0" collapsed="false">
      <c r="A137" s="66" t="n">
        <v>133</v>
      </c>
      <c r="B137" s="70"/>
      <c r="C137" s="72"/>
      <c r="D137" s="72"/>
      <c r="E137" s="72"/>
      <c r="F137" s="87"/>
      <c r="G137" s="72"/>
      <c r="H137" s="72"/>
      <c r="I137" s="75" t="str">
        <f aca="false">IF(F137="","",IF(I136="",F137,I136+F137))</f>
        <v/>
      </c>
      <c r="J137" s="72"/>
    </row>
    <row r="138" customFormat="false" ht="15.75" hidden="false" customHeight="true" outlineLevel="0" collapsed="false">
      <c r="A138" s="68" t="n">
        <v>134</v>
      </c>
      <c r="B138" s="78"/>
      <c r="C138" s="80"/>
      <c r="D138" s="80"/>
      <c r="E138" s="80"/>
      <c r="F138" s="88"/>
      <c r="G138" s="80"/>
      <c r="H138" s="80"/>
      <c r="I138" s="83" t="str">
        <f aca="false">IF(F138="","",IF(I137="",F138,I137+F138))</f>
        <v/>
      </c>
      <c r="J138" s="80"/>
    </row>
    <row r="139" customFormat="false" ht="15.75" hidden="false" customHeight="true" outlineLevel="0" collapsed="false">
      <c r="A139" s="66" t="n">
        <v>135</v>
      </c>
      <c r="B139" s="70"/>
      <c r="C139" s="72"/>
      <c r="D139" s="72"/>
      <c r="E139" s="72"/>
      <c r="F139" s="87"/>
      <c r="G139" s="72"/>
      <c r="H139" s="72"/>
      <c r="I139" s="75" t="str">
        <f aca="false">IF(F139="","",IF(I138="",F139,I138+F139))</f>
        <v/>
      </c>
      <c r="J139" s="72"/>
    </row>
    <row r="140" customFormat="false" ht="15.75" hidden="false" customHeight="true" outlineLevel="0" collapsed="false">
      <c r="A140" s="68" t="n">
        <v>136</v>
      </c>
      <c r="B140" s="78"/>
      <c r="C140" s="80"/>
      <c r="D140" s="80"/>
      <c r="E140" s="80"/>
      <c r="F140" s="88"/>
      <c r="G140" s="80"/>
      <c r="H140" s="80"/>
      <c r="I140" s="83" t="str">
        <f aca="false">IF(F140="","",IF(I139="",F140,I139+F140))</f>
        <v/>
      </c>
      <c r="J140" s="80"/>
    </row>
    <row r="141" customFormat="false" ht="15.75" hidden="false" customHeight="true" outlineLevel="0" collapsed="false">
      <c r="A141" s="66" t="n">
        <v>137</v>
      </c>
      <c r="B141" s="70"/>
      <c r="C141" s="72"/>
      <c r="D141" s="72"/>
      <c r="E141" s="72"/>
      <c r="F141" s="87"/>
      <c r="G141" s="72"/>
      <c r="H141" s="72"/>
      <c r="I141" s="75" t="str">
        <f aca="false">IF(F141="","",IF(I140="",F141,I140+F141))</f>
        <v/>
      </c>
      <c r="J141" s="72"/>
    </row>
    <row r="142" customFormat="false" ht="15.75" hidden="false" customHeight="true" outlineLevel="0" collapsed="false">
      <c r="A142" s="68" t="n">
        <v>138</v>
      </c>
      <c r="B142" s="78"/>
      <c r="C142" s="80"/>
      <c r="D142" s="80"/>
      <c r="E142" s="80"/>
      <c r="F142" s="88"/>
      <c r="G142" s="80"/>
      <c r="H142" s="80"/>
      <c r="I142" s="83" t="str">
        <f aca="false">IF(F142="","",IF(I141="",F142,I141+F142))</f>
        <v/>
      </c>
      <c r="J142" s="80"/>
    </row>
    <row r="143" customFormat="false" ht="15.75" hidden="false" customHeight="true" outlineLevel="0" collapsed="false">
      <c r="A143" s="66" t="n">
        <v>139</v>
      </c>
      <c r="B143" s="70"/>
      <c r="C143" s="72"/>
      <c r="D143" s="72"/>
      <c r="E143" s="72"/>
      <c r="F143" s="87"/>
      <c r="G143" s="72"/>
      <c r="H143" s="72"/>
      <c r="I143" s="75" t="str">
        <f aca="false">IF(F143="","",IF(I142="",F143,I142+F143))</f>
        <v/>
      </c>
      <c r="J143" s="72"/>
    </row>
    <row r="144" customFormat="false" ht="15.75" hidden="false" customHeight="true" outlineLevel="0" collapsed="false">
      <c r="A144" s="68" t="n">
        <v>140</v>
      </c>
      <c r="B144" s="78"/>
      <c r="C144" s="80"/>
      <c r="D144" s="80"/>
      <c r="E144" s="80"/>
      <c r="F144" s="88"/>
      <c r="G144" s="80"/>
      <c r="H144" s="80"/>
      <c r="I144" s="83" t="str">
        <f aca="false">IF(F144="","",IF(I143="",F144,I143+F144))</f>
        <v/>
      </c>
      <c r="J144" s="80"/>
    </row>
    <row r="145" customFormat="false" ht="15.75" hidden="false" customHeight="true" outlineLevel="0" collapsed="false">
      <c r="A145" s="66" t="n">
        <v>141</v>
      </c>
      <c r="B145" s="70"/>
      <c r="C145" s="72"/>
      <c r="D145" s="72"/>
      <c r="E145" s="72"/>
      <c r="F145" s="87"/>
      <c r="G145" s="72"/>
      <c r="H145" s="72"/>
      <c r="I145" s="75" t="str">
        <f aca="false">IF(F145="","",IF(I144="",F145,I144+F145))</f>
        <v/>
      </c>
      <c r="J145" s="72"/>
    </row>
    <row r="146" customFormat="false" ht="15.75" hidden="false" customHeight="true" outlineLevel="0" collapsed="false">
      <c r="A146" s="68" t="n">
        <v>142</v>
      </c>
      <c r="B146" s="78"/>
      <c r="C146" s="80"/>
      <c r="D146" s="80"/>
      <c r="E146" s="80"/>
      <c r="F146" s="88"/>
      <c r="G146" s="80"/>
      <c r="H146" s="80"/>
      <c r="I146" s="83" t="str">
        <f aca="false">IF(F146="","",IF(I145="",F146,I145+F146))</f>
        <v/>
      </c>
      <c r="J146" s="80"/>
    </row>
    <row r="147" customFormat="false" ht="15.75" hidden="false" customHeight="true" outlineLevel="0" collapsed="false">
      <c r="A147" s="66" t="n">
        <v>143</v>
      </c>
      <c r="B147" s="70"/>
      <c r="C147" s="72"/>
      <c r="D147" s="72"/>
      <c r="E147" s="72"/>
      <c r="F147" s="87"/>
      <c r="G147" s="72"/>
      <c r="H147" s="72"/>
      <c r="I147" s="75" t="str">
        <f aca="false">IF(F147="","",IF(I146="",F147,I146+F147))</f>
        <v/>
      </c>
      <c r="J147" s="72"/>
    </row>
    <row r="148" customFormat="false" ht="15.75" hidden="false" customHeight="true" outlineLevel="0" collapsed="false">
      <c r="A148" s="68" t="n">
        <v>144</v>
      </c>
      <c r="B148" s="78"/>
      <c r="C148" s="80"/>
      <c r="D148" s="80"/>
      <c r="E148" s="80"/>
      <c r="F148" s="88"/>
      <c r="G148" s="80"/>
      <c r="H148" s="80"/>
      <c r="I148" s="83" t="str">
        <f aca="false">IF(F148="","",IF(I147="",F148,I147+F148))</f>
        <v/>
      </c>
      <c r="J148" s="80"/>
    </row>
    <row r="149" customFormat="false" ht="15.75" hidden="false" customHeight="true" outlineLevel="0" collapsed="false">
      <c r="A149" s="66" t="n">
        <v>145</v>
      </c>
      <c r="B149" s="70"/>
      <c r="C149" s="72"/>
      <c r="D149" s="72"/>
      <c r="E149" s="72"/>
      <c r="F149" s="87"/>
      <c r="G149" s="72"/>
      <c r="H149" s="72"/>
      <c r="I149" s="75" t="str">
        <f aca="false">IF(F149="","",IF(I148="",F149,I148+F149))</f>
        <v/>
      </c>
      <c r="J149" s="72"/>
    </row>
    <row r="150" customFormat="false" ht="15.75" hidden="false" customHeight="true" outlineLevel="0" collapsed="false">
      <c r="A150" s="68" t="n">
        <v>146</v>
      </c>
      <c r="B150" s="78"/>
      <c r="C150" s="80"/>
      <c r="D150" s="80"/>
      <c r="E150" s="80"/>
      <c r="F150" s="88"/>
      <c r="G150" s="80"/>
      <c r="H150" s="80"/>
      <c r="I150" s="83" t="str">
        <f aca="false">IF(F150="","",IF(I149="",F150,I149+F150))</f>
        <v/>
      </c>
      <c r="J150" s="80"/>
    </row>
    <row r="151" customFormat="false" ht="15.75" hidden="false" customHeight="true" outlineLevel="0" collapsed="false">
      <c r="A151" s="66" t="n">
        <v>147</v>
      </c>
      <c r="B151" s="70"/>
      <c r="C151" s="72"/>
      <c r="D151" s="72"/>
      <c r="E151" s="72"/>
      <c r="F151" s="87"/>
      <c r="G151" s="72"/>
      <c r="H151" s="72"/>
      <c r="I151" s="75" t="str">
        <f aca="false">IF(F151="","",IF(I150="",F151,I150+F151))</f>
        <v/>
      </c>
      <c r="J151" s="72"/>
    </row>
    <row r="152" customFormat="false" ht="15.75" hidden="false" customHeight="true" outlineLevel="0" collapsed="false">
      <c r="A152" s="68" t="n">
        <v>148</v>
      </c>
      <c r="B152" s="78"/>
      <c r="C152" s="80"/>
      <c r="D152" s="80"/>
      <c r="E152" s="80"/>
      <c r="F152" s="88"/>
      <c r="G152" s="80"/>
      <c r="H152" s="80"/>
      <c r="I152" s="83" t="str">
        <f aca="false">IF(F152="","",IF(I151="",F152,I151+F152))</f>
        <v/>
      </c>
      <c r="J152" s="80"/>
    </row>
    <row r="153" customFormat="false" ht="15.75" hidden="false" customHeight="true" outlineLevel="0" collapsed="false">
      <c r="A153" s="66" t="n">
        <v>149</v>
      </c>
      <c r="B153" s="70"/>
      <c r="C153" s="72"/>
      <c r="D153" s="72"/>
      <c r="E153" s="72"/>
      <c r="F153" s="87"/>
      <c r="G153" s="72"/>
      <c r="H153" s="72"/>
      <c r="I153" s="75" t="str">
        <f aca="false">IF(F153="","",IF(I152="",F153,I152+F153))</f>
        <v/>
      </c>
      <c r="J153" s="72"/>
    </row>
    <row r="154" customFormat="false" ht="15.75" hidden="false" customHeight="true" outlineLevel="0" collapsed="false">
      <c r="A154" s="68" t="n">
        <v>150</v>
      </c>
      <c r="B154" s="78"/>
      <c r="C154" s="80"/>
      <c r="D154" s="80"/>
      <c r="E154" s="80"/>
      <c r="F154" s="88"/>
      <c r="G154" s="80"/>
      <c r="H154" s="80"/>
      <c r="I154" s="83" t="str">
        <f aca="false">IF(F154="","",IF(I153="",F154,I153+F154))</f>
        <v/>
      </c>
      <c r="J154" s="80"/>
    </row>
    <row r="155" customFormat="false" ht="15.75" hidden="false" customHeight="true" outlineLevel="0" collapsed="false">
      <c r="A155" s="66" t="n">
        <v>151</v>
      </c>
      <c r="B155" s="70"/>
      <c r="C155" s="72"/>
      <c r="D155" s="72"/>
      <c r="E155" s="72"/>
      <c r="F155" s="87"/>
      <c r="G155" s="72"/>
      <c r="H155" s="72"/>
      <c r="I155" s="75" t="str">
        <f aca="false">IF(F155="","",IF(I154="",F155,I154+F155))</f>
        <v/>
      </c>
      <c r="J155" s="72"/>
    </row>
    <row r="156" customFormat="false" ht="15.75" hidden="false" customHeight="true" outlineLevel="0" collapsed="false">
      <c r="A156" s="68" t="n">
        <v>152</v>
      </c>
      <c r="B156" s="78"/>
      <c r="C156" s="80"/>
      <c r="D156" s="80"/>
      <c r="E156" s="80"/>
      <c r="F156" s="88"/>
      <c r="G156" s="80"/>
      <c r="H156" s="80"/>
      <c r="I156" s="83" t="str">
        <f aca="false">IF(F156="","",IF(I155="",F156,I155+F156))</f>
        <v/>
      </c>
      <c r="J156" s="80"/>
    </row>
    <row r="157" customFormat="false" ht="15.75" hidden="false" customHeight="true" outlineLevel="0" collapsed="false">
      <c r="A157" s="66" t="n">
        <v>153</v>
      </c>
      <c r="B157" s="70"/>
      <c r="C157" s="72"/>
      <c r="D157" s="72"/>
      <c r="E157" s="72"/>
      <c r="F157" s="87"/>
      <c r="G157" s="72"/>
      <c r="H157" s="72"/>
      <c r="I157" s="75" t="str">
        <f aca="false">IF(F157="","",IF(I156="",F157,I156+F157))</f>
        <v/>
      </c>
      <c r="J157" s="72"/>
    </row>
    <row r="158" customFormat="false" ht="15.75" hidden="false" customHeight="true" outlineLevel="0" collapsed="false">
      <c r="A158" s="68" t="n">
        <v>154</v>
      </c>
      <c r="B158" s="78"/>
      <c r="C158" s="80"/>
      <c r="D158" s="80"/>
      <c r="E158" s="80"/>
      <c r="F158" s="88"/>
      <c r="G158" s="80"/>
      <c r="H158" s="80"/>
      <c r="I158" s="83" t="str">
        <f aca="false">IF(F158="","",IF(I157="",F158,I157+F158))</f>
        <v/>
      </c>
      <c r="J158" s="80"/>
    </row>
    <row r="159" customFormat="false" ht="15.75" hidden="false" customHeight="true" outlineLevel="0" collapsed="false">
      <c r="A159" s="66" t="n">
        <v>155</v>
      </c>
      <c r="B159" s="70"/>
      <c r="C159" s="72"/>
      <c r="D159" s="72"/>
      <c r="E159" s="72"/>
      <c r="F159" s="87"/>
      <c r="G159" s="72"/>
      <c r="H159" s="72"/>
      <c r="I159" s="75" t="str">
        <f aca="false">IF(F159="","",IF(I158="",F159,I158+F159))</f>
        <v/>
      </c>
      <c r="J159" s="72"/>
    </row>
    <row r="160" customFormat="false" ht="15.75" hidden="false" customHeight="true" outlineLevel="0" collapsed="false">
      <c r="A160" s="68" t="n">
        <v>156</v>
      </c>
      <c r="B160" s="78"/>
      <c r="C160" s="80"/>
      <c r="D160" s="80"/>
      <c r="E160" s="80"/>
      <c r="F160" s="88"/>
      <c r="G160" s="80"/>
      <c r="H160" s="80"/>
      <c r="I160" s="83" t="str">
        <f aca="false">IF(F160="","",IF(I159="",F160,I159+F160))</f>
        <v/>
      </c>
      <c r="J160" s="80"/>
    </row>
    <row r="161" customFormat="false" ht="15.75" hidden="false" customHeight="true" outlineLevel="0" collapsed="false">
      <c r="A161" s="66" t="n">
        <v>157</v>
      </c>
      <c r="B161" s="70"/>
      <c r="C161" s="72"/>
      <c r="D161" s="72"/>
      <c r="E161" s="72"/>
      <c r="F161" s="87"/>
      <c r="G161" s="72"/>
      <c r="H161" s="72"/>
      <c r="I161" s="75" t="str">
        <f aca="false">IF(F161="","",IF(I160="",F161,I160+F161))</f>
        <v/>
      </c>
      <c r="J161" s="72"/>
    </row>
    <row r="162" customFormat="false" ht="15.75" hidden="false" customHeight="true" outlineLevel="0" collapsed="false">
      <c r="A162" s="68" t="n">
        <v>158</v>
      </c>
      <c r="B162" s="78"/>
      <c r="C162" s="80"/>
      <c r="D162" s="80"/>
      <c r="E162" s="80"/>
      <c r="F162" s="88"/>
      <c r="G162" s="80"/>
      <c r="H162" s="80"/>
      <c r="I162" s="83" t="str">
        <f aca="false">IF(F162="","",IF(I161="",F162,I161+F162))</f>
        <v/>
      </c>
      <c r="J162" s="80"/>
    </row>
    <row r="163" customFormat="false" ht="15.75" hidden="false" customHeight="true" outlineLevel="0" collapsed="false">
      <c r="A163" s="66" t="n">
        <v>159</v>
      </c>
      <c r="B163" s="70"/>
      <c r="C163" s="72"/>
      <c r="D163" s="72"/>
      <c r="E163" s="72"/>
      <c r="F163" s="87"/>
      <c r="G163" s="72"/>
      <c r="H163" s="72"/>
      <c r="I163" s="75" t="str">
        <f aca="false">IF(F163="","",IF(I162="",F163,I162+F163))</f>
        <v/>
      </c>
      <c r="J163" s="72"/>
    </row>
    <row r="164" customFormat="false" ht="15.75" hidden="false" customHeight="true" outlineLevel="0" collapsed="false">
      <c r="A164" s="68" t="n">
        <v>160</v>
      </c>
      <c r="B164" s="78"/>
      <c r="C164" s="80"/>
      <c r="D164" s="80"/>
      <c r="E164" s="80"/>
      <c r="F164" s="88"/>
      <c r="G164" s="80"/>
      <c r="H164" s="80"/>
      <c r="I164" s="83" t="str">
        <f aca="false">IF(F164="","",IF(I163="",F164,I163+F164))</f>
        <v/>
      </c>
      <c r="J164" s="80"/>
    </row>
    <row r="165" customFormat="false" ht="15.75" hidden="false" customHeight="true" outlineLevel="0" collapsed="false">
      <c r="A165" s="66" t="n">
        <v>161</v>
      </c>
      <c r="B165" s="70"/>
      <c r="C165" s="72"/>
      <c r="D165" s="72"/>
      <c r="E165" s="72"/>
      <c r="F165" s="87"/>
      <c r="G165" s="72"/>
      <c r="H165" s="72"/>
      <c r="I165" s="75" t="str">
        <f aca="false">IF(F165="","",IF(I164="",F165,I164+F165))</f>
        <v/>
      </c>
      <c r="J165" s="72"/>
    </row>
    <row r="166" customFormat="false" ht="15.75" hidden="false" customHeight="true" outlineLevel="0" collapsed="false">
      <c r="A166" s="68" t="n">
        <v>162</v>
      </c>
      <c r="B166" s="78"/>
      <c r="C166" s="80"/>
      <c r="D166" s="80"/>
      <c r="E166" s="80"/>
      <c r="F166" s="88"/>
      <c r="G166" s="80"/>
      <c r="H166" s="80"/>
      <c r="I166" s="83" t="str">
        <f aca="false">IF(F166="","",IF(I165="",F166,I165+F166))</f>
        <v/>
      </c>
      <c r="J166" s="80"/>
    </row>
    <row r="167" customFormat="false" ht="15.75" hidden="false" customHeight="true" outlineLevel="0" collapsed="false">
      <c r="A167" s="66" t="n">
        <v>163</v>
      </c>
      <c r="B167" s="70"/>
      <c r="C167" s="72"/>
      <c r="D167" s="72"/>
      <c r="E167" s="72"/>
      <c r="F167" s="87"/>
      <c r="G167" s="72"/>
      <c r="H167" s="72"/>
      <c r="I167" s="75" t="str">
        <f aca="false">IF(F167="","",IF(I166="",F167,I166+F167))</f>
        <v/>
      </c>
      <c r="J167" s="72"/>
    </row>
    <row r="168" customFormat="false" ht="15.75" hidden="false" customHeight="true" outlineLevel="0" collapsed="false">
      <c r="A168" s="68" t="n">
        <v>164</v>
      </c>
      <c r="B168" s="78"/>
      <c r="C168" s="80"/>
      <c r="D168" s="80"/>
      <c r="E168" s="80"/>
      <c r="F168" s="88"/>
      <c r="G168" s="80"/>
      <c r="H168" s="80"/>
      <c r="I168" s="83" t="str">
        <f aca="false">IF(F168="","",IF(I167="",F168,I167+F168))</f>
        <v/>
      </c>
      <c r="J168" s="80"/>
    </row>
    <row r="169" customFormat="false" ht="15.75" hidden="false" customHeight="true" outlineLevel="0" collapsed="false">
      <c r="A169" s="66" t="n">
        <v>165</v>
      </c>
      <c r="B169" s="70"/>
      <c r="C169" s="72"/>
      <c r="D169" s="72"/>
      <c r="E169" s="72"/>
      <c r="F169" s="87"/>
      <c r="G169" s="72"/>
      <c r="H169" s="72"/>
      <c r="I169" s="75" t="str">
        <f aca="false">IF(F169="","",IF(I168="",F169,I168+F169))</f>
        <v/>
      </c>
      <c r="J169" s="72"/>
    </row>
    <row r="170" customFormat="false" ht="15.75" hidden="false" customHeight="true" outlineLevel="0" collapsed="false">
      <c r="A170" s="68" t="n">
        <v>166</v>
      </c>
      <c r="B170" s="78"/>
      <c r="C170" s="80"/>
      <c r="D170" s="80"/>
      <c r="E170" s="80"/>
      <c r="F170" s="88"/>
      <c r="G170" s="80"/>
      <c r="H170" s="80"/>
      <c r="I170" s="83" t="str">
        <f aca="false">IF(F170="","",IF(I169="",F170,I169+F170))</f>
        <v/>
      </c>
      <c r="J170" s="80"/>
    </row>
    <row r="171" customFormat="false" ht="15.75" hidden="false" customHeight="true" outlineLevel="0" collapsed="false">
      <c r="A171" s="66" t="n">
        <v>167</v>
      </c>
      <c r="B171" s="70"/>
      <c r="C171" s="72"/>
      <c r="D171" s="72"/>
      <c r="E171" s="72"/>
      <c r="F171" s="87"/>
      <c r="G171" s="72"/>
      <c r="H171" s="72"/>
      <c r="I171" s="75" t="str">
        <f aca="false">IF(F171="","",IF(I170="",F171,I170+F171))</f>
        <v/>
      </c>
      <c r="J171" s="72"/>
    </row>
    <row r="172" customFormat="false" ht="15.75" hidden="false" customHeight="true" outlineLevel="0" collapsed="false">
      <c r="A172" s="68" t="n">
        <v>168</v>
      </c>
      <c r="B172" s="78"/>
      <c r="C172" s="80"/>
      <c r="D172" s="80"/>
      <c r="E172" s="80"/>
      <c r="F172" s="88"/>
      <c r="G172" s="80"/>
      <c r="H172" s="80"/>
      <c r="I172" s="83" t="str">
        <f aca="false">IF(F172="","",IF(I171="",F172,I171+F172))</f>
        <v/>
      </c>
      <c r="J172" s="80"/>
    </row>
    <row r="173" customFormat="false" ht="15.75" hidden="false" customHeight="true" outlineLevel="0" collapsed="false">
      <c r="A173" s="66" t="n">
        <v>169</v>
      </c>
      <c r="B173" s="70"/>
      <c r="C173" s="72"/>
      <c r="D173" s="72"/>
      <c r="E173" s="72"/>
      <c r="F173" s="87"/>
      <c r="G173" s="72"/>
      <c r="H173" s="72"/>
      <c r="I173" s="75" t="str">
        <f aca="false">IF(F173="","",IF(I172="",F173,I172+F173))</f>
        <v/>
      </c>
      <c r="J173" s="72"/>
    </row>
    <row r="174" customFormat="false" ht="15.75" hidden="false" customHeight="true" outlineLevel="0" collapsed="false">
      <c r="A174" s="68" t="n">
        <v>170</v>
      </c>
      <c r="B174" s="78"/>
      <c r="C174" s="80"/>
      <c r="D174" s="80"/>
      <c r="E174" s="80"/>
      <c r="F174" s="88"/>
      <c r="G174" s="80"/>
      <c r="H174" s="80"/>
      <c r="I174" s="83" t="str">
        <f aca="false">IF(F174="","",IF(I173="",F174,I173+F174))</f>
        <v/>
      </c>
      <c r="J174" s="80"/>
    </row>
    <row r="175" customFormat="false" ht="15.75" hidden="false" customHeight="true" outlineLevel="0" collapsed="false">
      <c r="A175" s="66" t="n">
        <v>171</v>
      </c>
      <c r="B175" s="70"/>
      <c r="C175" s="72"/>
      <c r="D175" s="72"/>
      <c r="E175" s="72"/>
      <c r="F175" s="87"/>
      <c r="G175" s="72"/>
      <c r="H175" s="72"/>
      <c r="I175" s="75" t="str">
        <f aca="false">IF(F175="","",IF(I174="",F175,I174+F175))</f>
        <v/>
      </c>
      <c r="J175" s="72"/>
    </row>
    <row r="176" customFormat="false" ht="15.75" hidden="false" customHeight="true" outlineLevel="0" collapsed="false">
      <c r="A176" s="68" t="n">
        <v>172</v>
      </c>
      <c r="B176" s="78"/>
      <c r="C176" s="80"/>
      <c r="D176" s="80"/>
      <c r="E176" s="80"/>
      <c r="F176" s="88"/>
      <c r="G176" s="80"/>
      <c r="H176" s="80"/>
      <c r="I176" s="83" t="str">
        <f aca="false">IF(F176="","",IF(I175="",F176,I175+F176))</f>
        <v/>
      </c>
      <c r="J176" s="80"/>
    </row>
    <row r="177" customFormat="false" ht="15.75" hidden="false" customHeight="true" outlineLevel="0" collapsed="false">
      <c r="A177" s="66" t="n">
        <v>173</v>
      </c>
      <c r="B177" s="70"/>
      <c r="C177" s="72"/>
      <c r="D177" s="72"/>
      <c r="E177" s="72"/>
      <c r="F177" s="87"/>
      <c r="G177" s="72"/>
      <c r="H177" s="72"/>
      <c r="I177" s="75" t="str">
        <f aca="false">IF(F177="","",IF(I176="",F177,I176+F177))</f>
        <v/>
      </c>
      <c r="J177" s="72"/>
    </row>
    <row r="178" customFormat="false" ht="15.75" hidden="false" customHeight="true" outlineLevel="0" collapsed="false">
      <c r="A178" s="68" t="n">
        <v>174</v>
      </c>
      <c r="B178" s="78"/>
      <c r="C178" s="80"/>
      <c r="D178" s="80"/>
      <c r="E178" s="80"/>
      <c r="F178" s="88"/>
      <c r="G178" s="80"/>
      <c r="H178" s="80"/>
      <c r="I178" s="83" t="str">
        <f aca="false">IF(F178="","",IF(I177="",F178,I177+F178))</f>
        <v/>
      </c>
      <c r="J178" s="80"/>
    </row>
    <row r="179" customFormat="false" ht="15.75" hidden="false" customHeight="true" outlineLevel="0" collapsed="false">
      <c r="A179" s="66" t="n">
        <v>175</v>
      </c>
      <c r="B179" s="70"/>
      <c r="C179" s="72"/>
      <c r="D179" s="72"/>
      <c r="E179" s="72"/>
      <c r="F179" s="87"/>
      <c r="G179" s="72"/>
      <c r="H179" s="72"/>
      <c r="I179" s="75" t="str">
        <f aca="false">IF(F179="","",IF(I178="",F179,I178+F179))</f>
        <v/>
      </c>
      <c r="J179" s="72"/>
    </row>
    <row r="180" customFormat="false" ht="15.75" hidden="false" customHeight="true" outlineLevel="0" collapsed="false">
      <c r="A180" s="68" t="n">
        <v>176</v>
      </c>
      <c r="B180" s="78"/>
      <c r="C180" s="80"/>
      <c r="D180" s="80"/>
      <c r="E180" s="80"/>
      <c r="F180" s="88"/>
      <c r="G180" s="80"/>
      <c r="H180" s="80"/>
      <c r="I180" s="83" t="str">
        <f aca="false">IF(F180="","",IF(I179="",F180,I179+F180))</f>
        <v/>
      </c>
      <c r="J180" s="80"/>
    </row>
    <row r="181" customFormat="false" ht="15.75" hidden="false" customHeight="true" outlineLevel="0" collapsed="false">
      <c r="A181" s="66" t="n">
        <v>177</v>
      </c>
      <c r="B181" s="70"/>
      <c r="C181" s="72"/>
      <c r="D181" s="72"/>
      <c r="E181" s="72"/>
      <c r="F181" s="87"/>
      <c r="G181" s="72"/>
      <c r="H181" s="72"/>
      <c r="I181" s="75" t="str">
        <f aca="false">IF(F181="","",IF(I180="",F181,I180+F181))</f>
        <v/>
      </c>
      <c r="J181" s="72"/>
    </row>
    <row r="182" customFormat="false" ht="15.75" hidden="false" customHeight="true" outlineLevel="0" collapsed="false">
      <c r="A182" s="68" t="n">
        <v>178</v>
      </c>
      <c r="B182" s="78"/>
      <c r="C182" s="80"/>
      <c r="D182" s="80"/>
      <c r="E182" s="80"/>
      <c r="F182" s="88"/>
      <c r="G182" s="80"/>
      <c r="H182" s="80"/>
      <c r="I182" s="83" t="str">
        <f aca="false">IF(F182="","",IF(I181="",F182,I181+F182))</f>
        <v/>
      </c>
      <c r="J182" s="80"/>
    </row>
    <row r="183" customFormat="false" ht="15.75" hidden="false" customHeight="true" outlineLevel="0" collapsed="false">
      <c r="A183" s="66" t="n">
        <v>179</v>
      </c>
      <c r="B183" s="70"/>
      <c r="C183" s="72"/>
      <c r="D183" s="72"/>
      <c r="E183" s="72"/>
      <c r="F183" s="87"/>
      <c r="G183" s="72"/>
      <c r="H183" s="72"/>
      <c r="I183" s="75" t="str">
        <f aca="false">IF(F183="","",IF(I182="",F183,I182+F183))</f>
        <v/>
      </c>
      <c r="J183" s="72"/>
    </row>
    <row r="184" customFormat="false" ht="15.75" hidden="false" customHeight="true" outlineLevel="0" collapsed="false">
      <c r="A184" s="68" t="n">
        <v>180</v>
      </c>
      <c r="B184" s="78"/>
      <c r="C184" s="80"/>
      <c r="D184" s="80"/>
      <c r="E184" s="80"/>
      <c r="F184" s="88"/>
      <c r="G184" s="80"/>
      <c r="H184" s="80"/>
      <c r="I184" s="83" t="str">
        <f aca="false">IF(F184="","",IF(I183="",F184,I183+F184))</f>
        <v/>
      </c>
      <c r="J184" s="80"/>
    </row>
    <row r="185" customFormat="false" ht="15.75" hidden="false" customHeight="true" outlineLevel="0" collapsed="false">
      <c r="A185" s="66" t="n">
        <v>181</v>
      </c>
      <c r="B185" s="70"/>
      <c r="C185" s="72"/>
      <c r="D185" s="72"/>
      <c r="E185" s="72"/>
      <c r="F185" s="87"/>
      <c r="G185" s="72"/>
      <c r="H185" s="72"/>
      <c r="I185" s="75" t="str">
        <f aca="false">IF(F185="","",IF(I184="",F185,I184+F185))</f>
        <v/>
      </c>
      <c r="J185" s="72"/>
    </row>
    <row r="186" customFormat="false" ht="15.75" hidden="false" customHeight="true" outlineLevel="0" collapsed="false">
      <c r="A186" s="68" t="n">
        <v>182</v>
      </c>
      <c r="B186" s="78"/>
      <c r="C186" s="80"/>
      <c r="D186" s="80"/>
      <c r="E186" s="80"/>
      <c r="F186" s="88"/>
      <c r="G186" s="80"/>
      <c r="H186" s="80"/>
      <c r="I186" s="83" t="str">
        <f aca="false">IF(F186="","",IF(I185="",F186,I185+F186))</f>
        <v/>
      </c>
      <c r="J186" s="80"/>
    </row>
    <row r="187" customFormat="false" ht="15.75" hidden="false" customHeight="true" outlineLevel="0" collapsed="false">
      <c r="A187" s="66" t="n">
        <v>183</v>
      </c>
      <c r="B187" s="70"/>
      <c r="C187" s="72"/>
      <c r="D187" s="72"/>
      <c r="E187" s="72"/>
      <c r="F187" s="87"/>
      <c r="G187" s="72"/>
      <c r="H187" s="72"/>
      <c r="I187" s="75" t="str">
        <f aca="false">IF(F187="","",IF(I186="",F187,I186+F187))</f>
        <v/>
      </c>
      <c r="J187" s="72"/>
    </row>
    <row r="188" customFormat="false" ht="15.75" hidden="false" customHeight="true" outlineLevel="0" collapsed="false">
      <c r="A188" s="68" t="n">
        <v>184</v>
      </c>
      <c r="B188" s="78"/>
      <c r="C188" s="80"/>
      <c r="D188" s="80"/>
      <c r="E188" s="80"/>
      <c r="F188" s="88"/>
      <c r="G188" s="80"/>
      <c r="H188" s="80"/>
      <c r="I188" s="83" t="str">
        <f aca="false">IF(F188="","",IF(I187="",F188,I187+F188))</f>
        <v/>
      </c>
      <c r="J188" s="80"/>
    </row>
    <row r="189" customFormat="false" ht="15.75" hidden="false" customHeight="true" outlineLevel="0" collapsed="false">
      <c r="A189" s="66" t="n">
        <v>185</v>
      </c>
      <c r="B189" s="70"/>
      <c r="C189" s="72"/>
      <c r="D189" s="72"/>
      <c r="E189" s="72"/>
      <c r="F189" s="87"/>
      <c r="G189" s="72"/>
      <c r="H189" s="72"/>
      <c r="I189" s="75" t="str">
        <f aca="false">IF(F189="","",IF(I188="",F189,I188+F189))</f>
        <v/>
      </c>
      <c r="J189" s="72"/>
    </row>
    <row r="190" customFormat="false" ht="15.75" hidden="false" customHeight="true" outlineLevel="0" collapsed="false">
      <c r="A190" s="68" t="n">
        <v>186</v>
      </c>
      <c r="B190" s="78"/>
      <c r="C190" s="80"/>
      <c r="D190" s="80"/>
      <c r="E190" s="80"/>
      <c r="F190" s="88"/>
      <c r="G190" s="80"/>
      <c r="H190" s="80"/>
      <c r="I190" s="83" t="str">
        <f aca="false">IF(F190="","",IF(I189="",F190,I189+F190))</f>
        <v/>
      </c>
      <c r="J190" s="80"/>
    </row>
    <row r="191" customFormat="false" ht="15.75" hidden="false" customHeight="true" outlineLevel="0" collapsed="false">
      <c r="A191" s="66" t="n">
        <v>187</v>
      </c>
      <c r="B191" s="70"/>
      <c r="C191" s="72"/>
      <c r="D191" s="72"/>
      <c r="E191" s="72"/>
      <c r="F191" s="87"/>
      <c r="G191" s="72"/>
      <c r="H191" s="72"/>
      <c r="I191" s="75" t="str">
        <f aca="false">IF(F191="","",IF(I190="",F191,I190+F191))</f>
        <v/>
      </c>
      <c r="J191" s="72"/>
    </row>
    <row r="192" customFormat="false" ht="15.75" hidden="false" customHeight="true" outlineLevel="0" collapsed="false">
      <c r="A192" s="68" t="n">
        <v>188</v>
      </c>
      <c r="B192" s="78"/>
      <c r="C192" s="80"/>
      <c r="D192" s="80"/>
      <c r="E192" s="80"/>
      <c r="F192" s="88"/>
      <c r="G192" s="80"/>
      <c r="H192" s="80"/>
      <c r="I192" s="83" t="str">
        <f aca="false">IF(F192="","",IF(I191="",F192,I191+F192))</f>
        <v/>
      </c>
      <c r="J192" s="80"/>
    </row>
    <row r="193" customFormat="false" ht="15.75" hidden="false" customHeight="true" outlineLevel="0" collapsed="false">
      <c r="A193" s="66" t="n">
        <v>189</v>
      </c>
      <c r="B193" s="70"/>
      <c r="C193" s="72"/>
      <c r="D193" s="72"/>
      <c r="E193" s="72"/>
      <c r="F193" s="87"/>
      <c r="G193" s="72"/>
      <c r="H193" s="72"/>
      <c r="I193" s="75" t="str">
        <f aca="false">IF(F193="","",IF(I192="",F193,I192+F193))</f>
        <v/>
      </c>
      <c r="J193" s="72"/>
    </row>
    <row r="194" customFormat="false" ht="15.75" hidden="false" customHeight="true" outlineLevel="0" collapsed="false">
      <c r="A194" s="68" t="n">
        <v>190</v>
      </c>
      <c r="B194" s="78"/>
      <c r="C194" s="80"/>
      <c r="D194" s="80"/>
      <c r="E194" s="80"/>
      <c r="F194" s="88"/>
      <c r="G194" s="80"/>
      <c r="H194" s="80"/>
      <c r="I194" s="83" t="str">
        <f aca="false">IF(F194="","",IF(I193="",F194,I193+F194))</f>
        <v/>
      </c>
      <c r="J194" s="80"/>
    </row>
    <row r="195" customFormat="false" ht="15.75" hidden="false" customHeight="true" outlineLevel="0" collapsed="false">
      <c r="A195" s="66" t="n">
        <v>191</v>
      </c>
      <c r="B195" s="70"/>
      <c r="C195" s="72"/>
      <c r="D195" s="72"/>
      <c r="E195" s="72"/>
      <c r="F195" s="87"/>
      <c r="G195" s="72"/>
      <c r="H195" s="72"/>
      <c r="I195" s="75" t="str">
        <f aca="false">IF(F195="","",IF(I194="",F195,I194+F195))</f>
        <v/>
      </c>
      <c r="J195" s="72"/>
    </row>
    <row r="196" customFormat="false" ht="15.75" hidden="false" customHeight="true" outlineLevel="0" collapsed="false">
      <c r="A196" s="68" t="n">
        <v>192</v>
      </c>
      <c r="B196" s="78"/>
      <c r="C196" s="80"/>
      <c r="D196" s="80"/>
      <c r="E196" s="80"/>
      <c r="F196" s="88"/>
      <c r="G196" s="80"/>
      <c r="H196" s="80"/>
      <c r="I196" s="83" t="str">
        <f aca="false">IF(F196="","",IF(I195="",F196,I195+F196))</f>
        <v/>
      </c>
      <c r="J196" s="80"/>
    </row>
    <row r="197" customFormat="false" ht="15.75" hidden="false" customHeight="true" outlineLevel="0" collapsed="false">
      <c r="A197" s="66" t="n">
        <v>193</v>
      </c>
      <c r="B197" s="70"/>
      <c r="C197" s="72"/>
      <c r="D197" s="72"/>
      <c r="E197" s="72"/>
      <c r="F197" s="87"/>
      <c r="G197" s="72"/>
      <c r="H197" s="72"/>
      <c r="I197" s="75" t="str">
        <f aca="false">IF(F197="","",IF(I196="",F197,I196+F197))</f>
        <v/>
      </c>
      <c r="J197" s="72"/>
    </row>
    <row r="198" customFormat="false" ht="15.75" hidden="false" customHeight="true" outlineLevel="0" collapsed="false">
      <c r="A198" s="68" t="n">
        <v>194</v>
      </c>
      <c r="B198" s="78"/>
      <c r="C198" s="80"/>
      <c r="D198" s="80"/>
      <c r="E198" s="80"/>
      <c r="F198" s="88"/>
      <c r="G198" s="80"/>
      <c r="H198" s="80"/>
      <c r="I198" s="83" t="str">
        <f aca="false">IF(F198="","",IF(I197="",F198,I197+F198))</f>
        <v/>
      </c>
      <c r="J198" s="80"/>
    </row>
    <row r="199" customFormat="false" ht="15.75" hidden="false" customHeight="true" outlineLevel="0" collapsed="false">
      <c r="A199" s="66" t="n">
        <v>195</v>
      </c>
      <c r="B199" s="70"/>
      <c r="C199" s="72"/>
      <c r="D199" s="72"/>
      <c r="E199" s="72"/>
      <c r="F199" s="87"/>
      <c r="G199" s="72"/>
      <c r="H199" s="72"/>
      <c r="I199" s="75" t="str">
        <f aca="false">IF(F199="","",IF(I198="",F199,I198+F199))</f>
        <v/>
      </c>
      <c r="J199" s="72"/>
    </row>
    <row r="200" customFormat="false" ht="15.75" hidden="false" customHeight="true" outlineLevel="0" collapsed="false">
      <c r="A200" s="68" t="n">
        <v>196</v>
      </c>
      <c r="B200" s="78"/>
      <c r="C200" s="80"/>
      <c r="D200" s="80"/>
      <c r="E200" s="80"/>
      <c r="F200" s="88"/>
      <c r="G200" s="80"/>
      <c r="H200" s="80"/>
      <c r="I200" s="83" t="str">
        <f aca="false">IF(F200="","",IF(I199="",F200,I199+F200))</f>
        <v/>
      </c>
      <c r="J200" s="80"/>
    </row>
    <row r="201" customFormat="false" ht="15.75" hidden="false" customHeight="true" outlineLevel="0" collapsed="false">
      <c r="A201" s="66" t="n">
        <v>197</v>
      </c>
      <c r="B201" s="70"/>
      <c r="C201" s="72"/>
      <c r="D201" s="72"/>
      <c r="E201" s="72"/>
      <c r="F201" s="87"/>
      <c r="G201" s="72"/>
      <c r="H201" s="72"/>
      <c r="I201" s="75" t="str">
        <f aca="false">IF(F201="","",IF(I200="",F201,I200+F201))</f>
        <v/>
      </c>
      <c r="J201" s="72"/>
    </row>
    <row r="202" customFormat="false" ht="15.75" hidden="false" customHeight="true" outlineLevel="0" collapsed="false">
      <c r="A202" s="68" t="n">
        <v>198</v>
      </c>
      <c r="B202" s="78"/>
      <c r="C202" s="80"/>
      <c r="D202" s="80"/>
      <c r="E202" s="80"/>
      <c r="F202" s="88"/>
      <c r="G202" s="80"/>
      <c r="H202" s="80"/>
      <c r="I202" s="83" t="str">
        <f aca="false">IF(F202="","",IF(I201="",F202,I201+F202))</f>
        <v/>
      </c>
      <c r="J202" s="80"/>
    </row>
    <row r="203" customFormat="false" ht="15.75" hidden="false" customHeight="true" outlineLevel="0" collapsed="false">
      <c r="A203" s="66" t="n">
        <v>199</v>
      </c>
      <c r="B203" s="70"/>
      <c r="C203" s="72"/>
      <c r="D203" s="72"/>
      <c r="E203" s="72"/>
      <c r="F203" s="87"/>
      <c r="G203" s="72"/>
      <c r="H203" s="72"/>
      <c r="I203" s="75" t="str">
        <f aca="false">IF(F203="","",IF(I202="",F203,I202+F203))</f>
        <v/>
      </c>
      <c r="J203" s="72"/>
    </row>
    <row r="204" customFormat="false" ht="15.75" hidden="false" customHeight="true" outlineLevel="0" collapsed="false">
      <c r="A204" s="68" t="n">
        <v>200</v>
      </c>
      <c r="B204" s="78"/>
      <c r="C204" s="80"/>
      <c r="D204" s="80"/>
      <c r="E204" s="80"/>
      <c r="F204" s="88"/>
      <c r="G204" s="80"/>
      <c r="H204" s="80"/>
      <c r="I204" s="83" t="str">
        <f aca="false">IF(F204="","",IF(I203="",F204,I203+F204))</f>
        <v/>
      </c>
      <c r="J204" s="80"/>
    </row>
    <row r="205" customFormat="false" ht="15.75" hidden="false" customHeight="true" outlineLevel="0" collapsed="false">
      <c r="A205" s="66" t="n">
        <v>201</v>
      </c>
      <c r="B205" s="70"/>
      <c r="C205" s="72"/>
      <c r="D205" s="72"/>
      <c r="E205" s="72"/>
      <c r="F205" s="87"/>
      <c r="G205" s="72"/>
      <c r="H205" s="72"/>
      <c r="I205" s="75" t="str">
        <f aca="false">IF(F205="","",IF(I204="",F205,I204+F205))</f>
        <v/>
      </c>
      <c r="J205" s="72"/>
    </row>
    <row r="206" customFormat="false" ht="15.75" hidden="false" customHeight="true" outlineLevel="0" collapsed="false">
      <c r="A206" s="68" t="n">
        <v>202</v>
      </c>
      <c r="B206" s="78"/>
      <c r="C206" s="80"/>
      <c r="D206" s="80"/>
      <c r="E206" s="80"/>
      <c r="F206" s="88"/>
      <c r="G206" s="80"/>
      <c r="H206" s="80"/>
      <c r="I206" s="83" t="str">
        <f aca="false">IF(F206="","",IF(I205="",F206,I205+F206))</f>
        <v/>
      </c>
      <c r="J206" s="80"/>
    </row>
    <row r="207" customFormat="false" ht="15.75" hidden="false" customHeight="true" outlineLevel="0" collapsed="false">
      <c r="A207" s="66" t="n">
        <v>203</v>
      </c>
      <c r="B207" s="70"/>
      <c r="C207" s="72"/>
      <c r="D207" s="72"/>
      <c r="E207" s="72"/>
      <c r="F207" s="87"/>
      <c r="G207" s="72"/>
      <c r="H207" s="72"/>
      <c r="I207" s="75" t="str">
        <f aca="false">IF(F207="","",IF(I206="",F207,I206+F207))</f>
        <v/>
      </c>
      <c r="J207" s="72"/>
    </row>
    <row r="208" customFormat="false" ht="15.75" hidden="false" customHeight="true" outlineLevel="0" collapsed="false">
      <c r="A208" s="68" t="n">
        <v>204</v>
      </c>
      <c r="B208" s="78"/>
      <c r="C208" s="80"/>
      <c r="D208" s="80"/>
      <c r="E208" s="80"/>
      <c r="F208" s="88"/>
      <c r="G208" s="80"/>
      <c r="H208" s="80"/>
      <c r="I208" s="83" t="str">
        <f aca="false">IF(F208="","",IF(I207="",F208,I207+F208))</f>
        <v/>
      </c>
      <c r="J208" s="80"/>
    </row>
    <row r="209" customFormat="false" ht="15.75" hidden="false" customHeight="true" outlineLevel="0" collapsed="false">
      <c r="A209" s="66" t="n">
        <v>205</v>
      </c>
      <c r="B209" s="70"/>
      <c r="C209" s="72"/>
      <c r="D209" s="72"/>
      <c r="E209" s="72"/>
      <c r="F209" s="87"/>
      <c r="G209" s="72"/>
      <c r="H209" s="72"/>
      <c r="I209" s="75" t="str">
        <f aca="false">IF(F209="","",IF(I208="",F209,I208+F209))</f>
        <v/>
      </c>
      <c r="J209" s="72"/>
    </row>
    <row r="210" customFormat="false" ht="15.75" hidden="false" customHeight="true" outlineLevel="0" collapsed="false">
      <c r="A210" s="68" t="n">
        <v>206</v>
      </c>
      <c r="B210" s="78"/>
      <c r="C210" s="80"/>
      <c r="D210" s="80"/>
      <c r="E210" s="80"/>
      <c r="F210" s="88"/>
      <c r="G210" s="80"/>
      <c r="H210" s="80"/>
      <c r="I210" s="83" t="str">
        <f aca="false">IF(F210="","",IF(I209="",F210,I209+F210))</f>
        <v/>
      </c>
      <c r="J210" s="80"/>
    </row>
    <row r="211" customFormat="false" ht="15.75" hidden="false" customHeight="true" outlineLevel="0" collapsed="false">
      <c r="A211" s="66" t="n">
        <v>207</v>
      </c>
      <c r="B211" s="70"/>
      <c r="C211" s="72"/>
      <c r="D211" s="72"/>
      <c r="E211" s="72"/>
      <c r="F211" s="87"/>
      <c r="G211" s="72"/>
      <c r="H211" s="72"/>
      <c r="I211" s="75" t="str">
        <f aca="false">IF(F211="","",IF(I210="",F211,I210+F211))</f>
        <v/>
      </c>
      <c r="J211" s="72"/>
    </row>
    <row r="212" customFormat="false" ht="15.75" hidden="false" customHeight="true" outlineLevel="0" collapsed="false">
      <c r="A212" s="68" t="n">
        <v>208</v>
      </c>
      <c r="B212" s="78"/>
      <c r="C212" s="80"/>
      <c r="D212" s="80"/>
      <c r="E212" s="80"/>
      <c r="F212" s="88"/>
      <c r="G212" s="80"/>
      <c r="H212" s="80"/>
      <c r="I212" s="83" t="str">
        <f aca="false">IF(F212="","",IF(I211="",F212,I211+F212))</f>
        <v/>
      </c>
      <c r="J212" s="80"/>
    </row>
    <row r="213" customFormat="false" ht="15.75" hidden="false" customHeight="true" outlineLevel="0" collapsed="false">
      <c r="A213" s="66" t="n">
        <v>209</v>
      </c>
      <c r="B213" s="70"/>
      <c r="C213" s="72"/>
      <c r="D213" s="72"/>
      <c r="E213" s="72"/>
      <c r="F213" s="87"/>
      <c r="G213" s="72"/>
      <c r="H213" s="72"/>
      <c r="I213" s="75" t="str">
        <f aca="false">IF(F213="","",IF(I212="",F213,I212+F213))</f>
        <v/>
      </c>
      <c r="J213" s="72"/>
    </row>
    <row r="214" customFormat="false" ht="15.75" hidden="false" customHeight="true" outlineLevel="0" collapsed="false">
      <c r="A214" s="68" t="n">
        <v>210</v>
      </c>
      <c r="B214" s="78"/>
      <c r="C214" s="80"/>
      <c r="D214" s="80"/>
      <c r="E214" s="80"/>
      <c r="F214" s="88"/>
      <c r="G214" s="80"/>
      <c r="H214" s="80"/>
      <c r="I214" s="83" t="str">
        <f aca="false">IF(F214="","",IF(I213="",F214,I213+F214))</f>
        <v/>
      </c>
      <c r="J214" s="80"/>
    </row>
    <row r="215" customFormat="false" ht="15.75" hidden="false" customHeight="true" outlineLevel="0" collapsed="false">
      <c r="A215" s="66" t="n">
        <v>211</v>
      </c>
      <c r="B215" s="70"/>
      <c r="C215" s="72"/>
      <c r="D215" s="72"/>
      <c r="E215" s="72"/>
      <c r="F215" s="87"/>
      <c r="G215" s="72"/>
      <c r="H215" s="72"/>
      <c r="I215" s="75" t="str">
        <f aca="false">IF(F215="","",IF(I214="",F215,I214+F215))</f>
        <v/>
      </c>
      <c r="J215" s="72"/>
    </row>
    <row r="216" customFormat="false" ht="15.75" hidden="false" customHeight="true" outlineLevel="0" collapsed="false">
      <c r="A216" s="68" t="n">
        <v>212</v>
      </c>
      <c r="B216" s="78"/>
      <c r="C216" s="80"/>
      <c r="D216" s="80"/>
      <c r="E216" s="80"/>
      <c r="F216" s="88"/>
      <c r="G216" s="80"/>
      <c r="H216" s="80"/>
      <c r="I216" s="83" t="str">
        <f aca="false">IF(F216="","",IF(I215="",F216,I215+F216))</f>
        <v/>
      </c>
      <c r="J216" s="80"/>
    </row>
    <row r="217" customFormat="false" ht="15.75" hidden="false" customHeight="true" outlineLevel="0" collapsed="false">
      <c r="A217" s="66" t="n">
        <v>213</v>
      </c>
      <c r="B217" s="70"/>
      <c r="C217" s="72"/>
      <c r="D217" s="72"/>
      <c r="E217" s="72"/>
      <c r="F217" s="87"/>
      <c r="G217" s="72"/>
      <c r="H217" s="72"/>
      <c r="I217" s="75" t="str">
        <f aca="false">IF(F217="","",IF(I216="",F217,I216+F217))</f>
        <v/>
      </c>
      <c r="J217" s="72"/>
    </row>
    <row r="218" customFormat="false" ht="15.75" hidden="false" customHeight="true" outlineLevel="0" collapsed="false">
      <c r="A218" s="68" t="n">
        <v>214</v>
      </c>
      <c r="B218" s="78"/>
      <c r="C218" s="80"/>
      <c r="D218" s="80"/>
      <c r="E218" s="80"/>
      <c r="F218" s="88"/>
      <c r="G218" s="80"/>
      <c r="H218" s="80"/>
      <c r="I218" s="83" t="str">
        <f aca="false">IF(F218="","",IF(I217="",F218,I217+F218))</f>
        <v/>
      </c>
      <c r="J218" s="80"/>
    </row>
    <row r="219" customFormat="false" ht="15.75" hidden="false" customHeight="true" outlineLevel="0" collapsed="false">
      <c r="A219" s="66" t="n">
        <v>215</v>
      </c>
      <c r="B219" s="70"/>
      <c r="C219" s="72"/>
      <c r="D219" s="72"/>
      <c r="E219" s="72"/>
      <c r="F219" s="87"/>
      <c r="G219" s="72"/>
      <c r="H219" s="72"/>
      <c r="I219" s="75" t="str">
        <f aca="false">IF(F219="","",IF(I218="",F219,I218+F219))</f>
        <v/>
      </c>
      <c r="J219" s="72"/>
    </row>
    <row r="220" customFormat="false" ht="15.75" hidden="false" customHeight="true" outlineLevel="0" collapsed="false">
      <c r="A220" s="68" t="n">
        <v>216</v>
      </c>
      <c r="B220" s="78"/>
      <c r="C220" s="80"/>
      <c r="D220" s="80"/>
      <c r="E220" s="80"/>
      <c r="F220" s="88"/>
      <c r="G220" s="80"/>
      <c r="H220" s="80"/>
      <c r="I220" s="83" t="str">
        <f aca="false">IF(F220="","",IF(I219="",F220,I219+F220))</f>
        <v/>
      </c>
      <c r="J220" s="80"/>
    </row>
    <row r="221" customFormat="false" ht="15.75" hidden="false" customHeight="true" outlineLevel="0" collapsed="false">
      <c r="A221" s="66" t="n">
        <v>217</v>
      </c>
      <c r="B221" s="70"/>
      <c r="C221" s="72"/>
      <c r="D221" s="72"/>
      <c r="E221" s="72"/>
      <c r="F221" s="87"/>
      <c r="G221" s="72"/>
      <c r="H221" s="72"/>
      <c r="I221" s="75" t="str">
        <f aca="false">IF(F221="","",IF(I220="",F221,I220+F221))</f>
        <v/>
      </c>
      <c r="J221" s="72"/>
    </row>
    <row r="222" customFormat="false" ht="15.75" hidden="false" customHeight="true" outlineLevel="0" collapsed="false">
      <c r="A222" s="68" t="n">
        <v>218</v>
      </c>
      <c r="B222" s="78"/>
      <c r="C222" s="80"/>
      <c r="D222" s="80"/>
      <c r="E222" s="80"/>
      <c r="F222" s="88"/>
      <c r="G222" s="80"/>
      <c r="H222" s="80"/>
      <c r="I222" s="83" t="str">
        <f aca="false">IF(F222="","",IF(I221="",F222,I221+F222))</f>
        <v/>
      </c>
      <c r="J222" s="80"/>
    </row>
    <row r="223" customFormat="false" ht="15.75" hidden="false" customHeight="true" outlineLevel="0" collapsed="false">
      <c r="A223" s="66" t="n">
        <v>219</v>
      </c>
      <c r="B223" s="70"/>
      <c r="C223" s="72"/>
      <c r="D223" s="72"/>
      <c r="E223" s="72"/>
      <c r="F223" s="87"/>
      <c r="G223" s="72"/>
      <c r="H223" s="72"/>
      <c r="I223" s="75" t="str">
        <f aca="false">IF(F223="","",IF(I222="",F223,I222+F223))</f>
        <v/>
      </c>
      <c r="J223" s="72"/>
    </row>
    <row r="224" customFormat="false" ht="15.75" hidden="false" customHeight="true" outlineLevel="0" collapsed="false">
      <c r="A224" s="68" t="n">
        <v>220</v>
      </c>
      <c r="B224" s="78"/>
      <c r="C224" s="80"/>
      <c r="D224" s="80"/>
      <c r="E224" s="80"/>
      <c r="F224" s="88"/>
      <c r="G224" s="80"/>
      <c r="H224" s="80"/>
      <c r="I224" s="83" t="str">
        <f aca="false">IF(F224="","",IF(I223="",F224,I223+F224))</f>
        <v/>
      </c>
      <c r="J224" s="80"/>
    </row>
    <row r="225" customFormat="false" ht="15.75" hidden="false" customHeight="true" outlineLevel="0" collapsed="false">
      <c r="A225" s="66" t="n">
        <v>221</v>
      </c>
      <c r="B225" s="70"/>
      <c r="C225" s="72"/>
      <c r="D225" s="72"/>
      <c r="E225" s="72"/>
      <c r="F225" s="87"/>
      <c r="G225" s="72"/>
      <c r="H225" s="72"/>
      <c r="I225" s="75" t="str">
        <f aca="false">IF(F225="","",IF(I224="",F225,I224+F225))</f>
        <v/>
      </c>
      <c r="J225" s="72"/>
    </row>
    <row r="226" customFormat="false" ht="15.75" hidden="false" customHeight="true" outlineLevel="0" collapsed="false">
      <c r="A226" s="68" t="n">
        <v>222</v>
      </c>
      <c r="B226" s="78"/>
      <c r="C226" s="80"/>
      <c r="D226" s="80"/>
      <c r="E226" s="80"/>
      <c r="F226" s="88"/>
      <c r="G226" s="80"/>
      <c r="H226" s="80"/>
      <c r="I226" s="83" t="str">
        <f aca="false">IF(F226="","",IF(I225="",F226,I225+F226))</f>
        <v/>
      </c>
      <c r="J226" s="80"/>
    </row>
    <row r="227" customFormat="false" ht="15.75" hidden="false" customHeight="true" outlineLevel="0" collapsed="false">
      <c r="A227" s="66" t="n">
        <v>223</v>
      </c>
      <c r="B227" s="70"/>
      <c r="C227" s="72"/>
      <c r="D227" s="72"/>
      <c r="E227" s="72"/>
      <c r="F227" s="87"/>
      <c r="G227" s="72"/>
      <c r="H227" s="72"/>
      <c r="I227" s="75" t="str">
        <f aca="false">IF(F227="","",IF(I226="",F227,I226+F227))</f>
        <v/>
      </c>
      <c r="J227" s="72"/>
    </row>
    <row r="228" customFormat="false" ht="15.75" hidden="false" customHeight="true" outlineLevel="0" collapsed="false">
      <c r="A228" s="68" t="n">
        <v>224</v>
      </c>
      <c r="B228" s="78"/>
      <c r="C228" s="80"/>
      <c r="D228" s="80"/>
      <c r="E228" s="80"/>
      <c r="F228" s="88"/>
      <c r="G228" s="80"/>
      <c r="H228" s="80"/>
      <c r="I228" s="83" t="str">
        <f aca="false">IF(F228="","",IF(I227="",F228,I227+F228))</f>
        <v/>
      </c>
      <c r="J228" s="80"/>
    </row>
    <row r="229" customFormat="false" ht="15.75" hidden="false" customHeight="true" outlineLevel="0" collapsed="false">
      <c r="A229" s="66" t="n">
        <v>225</v>
      </c>
      <c r="B229" s="70"/>
      <c r="C229" s="72"/>
      <c r="D229" s="72"/>
      <c r="E229" s="72"/>
      <c r="F229" s="87"/>
      <c r="G229" s="72"/>
      <c r="H229" s="72"/>
      <c r="I229" s="75" t="str">
        <f aca="false">IF(F229="","",IF(I228="",F229,I228+F229))</f>
        <v/>
      </c>
      <c r="J229" s="72"/>
    </row>
    <row r="230" customFormat="false" ht="15.75" hidden="false" customHeight="true" outlineLevel="0" collapsed="false">
      <c r="A230" s="68" t="n">
        <v>226</v>
      </c>
      <c r="B230" s="78"/>
      <c r="C230" s="80"/>
      <c r="D230" s="80"/>
      <c r="E230" s="80"/>
      <c r="F230" s="88"/>
      <c r="G230" s="80"/>
      <c r="H230" s="80"/>
      <c r="I230" s="83" t="str">
        <f aca="false">IF(F230="","",IF(I229="",F230,I229+F230))</f>
        <v/>
      </c>
      <c r="J230" s="80"/>
    </row>
    <row r="231" customFormat="false" ht="15.75" hidden="false" customHeight="true" outlineLevel="0" collapsed="false">
      <c r="A231" s="66" t="n">
        <v>227</v>
      </c>
      <c r="B231" s="70"/>
      <c r="C231" s="72"/>
      <c r="D231" s="72"/>
      <c r="E231" s="72"/>
      <c r="F231" s="87"/>
      <c r="G231" s="72"/>
      <c r="H231" s="72"/>
      <c r="I231" s="75" t="str">
        <f aca="false">IF(F231="","",IF(I230="",F231,I230+F231))</f>
        <v/>
      </c>
      <c r="J231" s="72"/>
    </row>
    <row r="232" customFormat="false" ht="15.75" hidden="false" customHeight="true" outlineLevel="0" collapsed="false">
      <c r="A232" s="68" t="n">
        <v>228</v>
      </c>
      <c r="B232" s="78"/>
      <c r="C232" s="80"/>
      <c r="D232" s="80"/>
      <c r="E232" s="80"/>
      <c r="F232" s="88"/>
      <c r="G232" s="80"/>
      <c r="H232" s="80"/>
      <c r="I232" s="83" t="str">
        <f aca="false">IF(F232="","",IF(I231="",F232,I231+F232))</f>
        <v/>
      </c>
      <c r="J232" s="80"/>
    </row>
    <row r="233" customFormat="false" ht="15.75" hidden="false" customHeight="true" outlineLevel="0" collapsed="false">
      <c r="A233" s="66" t="n">
        <v>229</v>
      </c>
      <c r="B233" s="70"/>
      <c r="C233" s="72"/>
      <c r="D233" s="72"/>
      <c r="E233" s="72"/>
      <c r="F233" s="87"/>
      <c r="G233" s="72"/>
      <c r="H233" s="72"/>
      <c r="I233" s="75" t="str">
        <f aca="false">IF(F233="","",IF(I232="",F233,I232+F233))</f>
        <v/>
      </c>
      <c r="J233" s="72"/>
    </row>
    <row r="234" customFormat="false" ht="15.75" hidden="false" customHeight="true" outlineLevel="0" collapsed="false">
      <c r="A234" s="68" t="n">
        <v>230</v>
      </c>
      <c r="B234" s="78"/>
      <c r="C234" s="80"/>
      <c r="D234" s="80"/>
      <c r="E234" s="80"/>
      <c r="F234" s="88"/>
      <c r="G234" s="80"/>
      <c r="H234" s="80"/>
      <c r="I234" s="83" t="str">
        <f aca="false">IF(F234="","",IF(I233="",F234,I233+F234))</f>
        <v/>
      </c>
      <c r="J234" s="80"/>
    </row>
    <row r="235" customFormat="false" ht="15.75" hidden="false" customHeight="true" outlineLevel="0" collapsed="false">
      <c r="A235" s="66" t="n">
        <v>231</v>
      </c>
      <c r="B235" s="70"/>
      <c r="C235" s="72"/>
      <c r="D235" s="72"/>
      <c r="E235" s="72"/>
      <c r="F235" s="87"/>
      <c r="G235" s="72"/>
      <c r="H235" s="72"/>
      <c r="I235" s="75" t="str">
        <f aca="false">IF(F235="","",IF(I234="",F235,I234+F235))</f>
        <v/>
      </c>
      <c r="J235" s="72"/>
    </row>
    <row r="236" customFormat="false" ht="15.75" hidden="false" customHeight="true" outlineLevel="0" collapsed="false">
      <c r="A236" s="68" t="n">
        <v>232</v>
      </c>
      <c r="B236" s="78"/>
      <c r="C236" s="80"/>
      <c r="D236" s="80"/>
      <c r="E236" s="80"/>
      <c r="F236" s="88"/>
      <c r="G236" s="80"/>
      <c r="H236" s="80"/>
      <c r="I236" s="83" t="str">
        <f aca="false">IF(F236="","",IF(I235="",F236,I235+F236))</f>
        <v/>
      </c>
      <c r="J236" s="80"/>
    </row>
    <row r="237" customFormat="false" ht="15.75" hidden="false" customHeight="true" outlineLevel="0" collapsed="false">
      <c r="A237" s="66" t="n">
        <v>233</v>
      </c>
      <c r="B237" s="70"/>
      <c r="C237" s="72"/>
      <c r="D237" s="72"/>
      <c r="E237" s="72"/>
      <c r="F237" s="87"/>
      <c r="G237" s="72"/>
      <c r="H237" s="72"/>
      <c r="I237" s="75" t="str">
        <f aca="false">IF(F237="","",IF(I236="",F237,I236+F237))</f>
        <v/>
      </c>
      <c r="J237" s="72"/>
    </row>
    <row r="238" customFormat="false" ht="15.75" hidden="false" customHeight="true" outlineLevel="0" collapsed="false">
      <c r="A238" s="68" t="n">
        <v>234</v>
      </c>
      <c r="B238" s="78"/>
      <c r="C238" s="80"/>
      <c r="D238" s="80"/>
      <c r="E238" s="80"/>
      <c r="F238" s="88"/>
      <c r="G238" s="80"/>
      <c r="H238" s="80"/>
      <c r="I238" s="83" t="str">
        <f aca="false">IF(F238="","",IF(I237="",F238,I237+F238))</f>
        <v/>
      </c>
      <c r="J238" s="80"/>
    </row>
    <row r="239" customFormat="false" ht="15.75" hidden="false" customHeight="true" outlineLevel="0" collapsed="false">
      <c r="A239" s="66" t="n">
        <v>235</v>
      </c>
      <c r="B239" s="70"/>
      <c r="C239" s="72"/>
      <c r="D239" s="72"/>
      <c r="E239" s="72"/>
      <c r="F239" s="87"/>
      <c r="G239" s="72"/>
      <c r="H239" s="72"/>
      <c r="I239" s="75" t="str">
        <f aca="false">IF(F239="","",IF(I238="",F239,I238+F239))</f>
        <v/>
      </c>
      <c r="J239" s="72"/>
    </row>
    <row r="240" customFormat="false" ht="15.75" hidden="false" customHeight="true" outlineLevel="0" collapsed="false">
      <c r="A240" s="68" t="n">
        <v>236</v>
      </c>
      <c r="B240" s="78"/>
      <c r="C240" s="80"/>
      <c r="D240" s="80"/>
      <c r="E240" s="80"/>
      <c r="F240" s="88"/>
      <c r="G240" s="80"/>
      <c r="H240" s="80"/>
      <c r="I240" s="83" t="str">
        <f aca="false">IF(F240="","",IF(I239="",F240,I239+F240))</f>
        <v/>
      </c>
      <c r="J240" s="80"/>
    </row>
    <row r="241" customFormat="false" ht="15.75" hidden="false" customHeight="true" outlineLevel="0" collapsed="false">
      <c r="A241" s="66" t="n">
        <v>237</v>
      </c>
      <c r="B241" s="70"/>
      <c r="C241" s="72"/>
      <c r="D241" s="72"/>
      <c r="E241" s="72"/>
      <c r="F241" s="87"/>
      <c r="G241" s="72"/>
      <c r="H241" s="72"/>
      <c r="I241" s="75" t="str">
        <f aca="false">IF(F241="","",IF(I240="",F241,I240+F241))</f>
        <v/>
      </c>
      <c r="J241" s="72"/>
    </row>
    <row r="242" customFormat="false" ht="15.75" hidden="false" customHeight="true" outlineLevel="0" collapsed="false">
      <c r="A242" s="68" t="n">
        <v>238</v>
      </c>
      <c r="B242" s="78"/>
      <c r="C242" s="80"/>
      <c r="D242" s="80"/>
      <c r="E242" s="80"/>
      <c r="F242" s="88"/>
      <c r="G242" s="80"/>
      <c r="H242" s="80"/>
      <c r="I242" s="83" t="str">
        <f aca="false">IF(F242="","",IF(I241="",F242,I241+F242))</f>
        <v/>
      </c>
      <c r="J242" s="80"/>
    </row>
    <row r="243" customFormat="false" ht="15.75" hidden="false" customHeight="true" outlineLevel="0" collapsed="false">
      <c r="A243" s="66" t="n">
        <v>239</v>
      </c>
      <c r="B243" s="70"/>
      <c r="C243" s="72"/>
      <c r="D243" s="72"/>
      <c r="E243" s="72"/>
      <c r="F243" s="87"/>
      <c r="G243" s="72"/>
      <c r="H243" s="72"/>
      <c r="I243" s="75" t="str">
        <f aca="false">IF(F243="","",IF(I242="",F243,I242+F243))</f>
        <v/>
      </c>
      <c r="J243" s="72"/>
    </row>
    <row r="244" customFormat="false" ht="15.75" hidden="false" customHeight="true" outlineLevel="0" collapsed="false">
      <c r="A244" s="68" t="n">
        <v>240</v>
      </c>
      <c r="B244" s="78"/>
      <c r="C244" s="80"/>
      <c r="D244" s="80"/>
      <c r="E244" s="80"/>
      <c r="F244" s="88"/>
      <c r="G244" s="80"/>
      <c r="H244" s="80"/>
      <c r="I244" s="83" t="str">
        <f aca="false">IF(F244="","",IF(I243="",F244,I243+F244))</f>
        <v/>
      </c>
      <c r="J244" s="80"/>
    </row>
    <row r="245" customFormat="false" ht="15.75" hidden="false" customHeight="true" outlineLevel="0" collapsed="false">
      <c r="A245" s="66" t="n">
        <v>241</v>
      </c>
      <c r="B245" s="70"/>
      <c r="C245" s="72"/>
      <c r="D245" s="72"/>
      <c r="E245" s="72"/>
      <c r="F245" s="87"/>
      <c r="G245" s="72"/>
      <c r="H245" s="72"/>
      <c r="I245" s="75" t="str">
        <f aca="false">IF(F245="","",IF(I244="",F245,I244+F245))</f>
        <v/>
      </c>
      <c r="J245" s="72"/>
    </row>
    <row r="246" customFormat="false" ht="15.75" hidden="false" customHeight="true" outlineLevel="0" collapsed="false">
      <c r="A246" s="68" t="n">
        <v>242</v>
      </c>
      <c r="B246" s="78"/>
      <c r="C246" s="80"/>
      <c r="D246" s="80"/>
      <c r="E246" s="80"/>
      <c r="F246" s="88"/>
      <c r="G246" s="80"/>
      <c r="H246" s="80"/>
      <c r="I246" s="83" t="str">
        <f aca="false">IF(F246="","",IF(I245="",F246,I245+F246))</f>
        <v/>
      </c>
      <c r="J246" s="80"/>
    </row>
    <row r="247" customFormat="false" ht="15.75" hidden="false" customHeight="true" outlineLevel="0" collapsed="false">
      <c r="A247" s="66" t="n">
        <v>243</v>
      </c>
      <c r="B247" s="70"/>
      <c r="C247" s="72"/>
      <c r="D247" s="72"/>
      <c r="E247" s="72"/>
      <c r="F247" s="87"/>
      <c r="G247" s="72"/>
      <c r="H247" s="72"/>
      <c r="I247" s="75" t="str">
        <f aca="false">IF(F247="","",IF(I246="",F247,I246+F247))</f>
        <v/>
      </c>
      <c r="J247" s="72"/>
    </row>
    <row r="248" customFormat="false" ht="15.75" hidden="false" customHeight="true" outlineLevel="0" collapsed="false">
      <c r="A248" s="68" t="n">
        <v>244</v>
      </c>
      <c r="B248" s="78"/>
      <c r="C248" s="80"/>
      <c r="D248" s="80"/>
      <c r="E248" s="80"/>
      <c r="F248" s="88"/>
      <c r="G248" s="80"/>
      <c r="H248" s="80"/>
      <c r="I248" s="83" t="str">
        <f aca="false">IF(F248="","",IF(I247="",F248,I247+F248))</f>
        <v/>
      </c>
      <c r="J248" s="80"/>
    </row>
    <row r="249" customFormat="false" ht="15.75" hidden="false" customHeight="true" outlineLevel="0" collapsed="false">
      <c r="A249" s="66" t="n">
        <v>245</v>
      </c>
      <c r="B249" s="70"/>
      <c r="C249" s="72"/>
      <c r="D249" s="72"/>
      <c r="E249" s="72"/>
      <c r="F249" s="87"/>
      <c r="G249" s="72"/>
      <c r="H249" s="72"/>
      <c r="I249" s="75" t="str">
        <f aca="false">IF(F249="","",IF(I248="",F249,I248+F249))</f>
        <v/>
      </c>
      <c r="J249" s="72"/>
    </row>
    <row r="250" customFormat="false" ht="15.75" hidden="false" customHeight="true" outlineLevel="0" collapsed="false">
      <c r="A250" s="68" t="n">
        <v>246</v>
      </c>
      <c r="B250" s="78"/>
      <c r="C250" s="80"/>
      <c r="D250" s="80"/>
      <c r="E250" s="80"/>
      <c r="F250" s="88"/>
      <c r="G250" s="80"/>
      <c r="H250" s="80"/>
      <c r="I250" s="83" t="str">
        <f aca="false">IF(F250="","",IF(I249="",F250,I249+F250))</f>
        <v/>
      </c>
      <c r="J250" s="80"/>
    </row>
    <row r="251" customFormat="false" ht="15.75" hidden="false" customHeight="true" outlineLevel="0" collapsed="false">
      <c r="A251" s="66" t="n">
        <v>247</v>
      </c>
      <c r="B251" s="70"/>
      <c r="C251" s="72"/>
      <c r="D251" s="72"/>
      <c r="E251" s="72"/>
      <c r="F251" s="87"/>
      <c r="G251" s="72"/>
      <c r="H251" s="72"/>
      <c r="I251" s="75" t="str">
        <f aca="false">IF(F251="","",IF(I250="",F251,I250+F251))</f>
        <v/>
      </c>
      <c r="J251" s="72"/>
    </row>
    <row r="252" customFormat="false" ht="15.75" hidden="false" customHeight="true" outlineLevel="0" collapsed="false">
      <c r="A252" s="68" t="n">
        <v>248</v>
      </c>
      <c r="B252" s="78"/>
      <c r="C252" s="80"/>
      <c r="D252" s="80"/>
      <c r="E252" s="80"/>
      <c r="F252" s="88"/>
      <c r="G252" s="80"/>
      <c r="H252" s="80"/>
      <c r="I252" s="83" t="str">
        <f aca="false">IF(F252="","",IF(I251="",F252,I251+F252))</f>
        <v/>
      </c>
      <c r="J252" s="80"/>
    </row>
    <row r="253" customFormat="false" ht="15.75" hidden="false" customHeight="true" outlineLevel="0" collapsed="false">
      <c r="A253" s="66" t="n">
        <v>249</v>
      </c>
      <c r="B253" s="70"/>
      <c r="C253" s="72"/>
      <c r="D253" s="72"/>
      <c r="E253" s="72"/>
      <c r="F253" s="87"/>
      <c r="G253" s="72"/>
      <c r="H253" s="72"/>
      <c r="I253" s="75" t="str">
        <f aca="false">IF(F253="","",IF(I252="",F253,I252+F253))</f>
        <v/>
      </c>
      <c r="J253" s="72"/>
    </row>
    <row r="254" customFormat="false" ht="15.75" hidden="false" customHeight="true" outlineLevel="0" collapsed="false">
      <c r="A254" s="68" t="n">
        <v>250</v>
      </c>
      <c r="B254" s="78"/>
      <c r="C254" s="80"/>
      <c r="D254" s="80"/>
      <c r="E254" s="80"/>
      <c r="F254" s="88"/>
      <c r="G254" s="80"/>
      <c r="H254" s="80"/>
      <c r="I254" s="83" t="str">
        <f aca="false">IF(F254="","",IF(I253="",F254,I253+F254))</f>
        <v/>
      </c>
      <c r="J254" s="80"/>
    </row>
    <row r="255" customFormat="false" ht="15.75" hidden="false" customHeight="true" outlineLevel="0" collapsed="false">
      <c r="A255" s="66" t="n">
        <v>251</v>
      </c>
      <c r="B255" s="70"/>
      <c r="C255" s="72"/>
      <c r="D255" s="72"/>
      <c r="E255" s="72"/>
      <c r="F255" s="87"/>
      <c r="G255" s="72"/>
      <c r="H255" s="72"/>
      <c r="I255" s="75" t="str">
        <f aca="false">IF(F255="","",IF(I254="",F255,I254+F255))</f>
        <v/>
      </c>
      <c r="J255" s="72"/>
    </row>
    <row r="256" customFormat="false" ht="15.75" hidden="false" customHeight="true" outlineLevel="0" collapsed="false">
      <c r="A256" s="68" t="n">
        <v>252</v>
      </c>
      <c r="B256" s="78"/>
      <c r="C256" s="80"/>
      <c r="D256" s="80"/>
      <c r="E256" s="80"/>
      <c r="F256" s="88"/>
      <c r="G256" s="80"/>
      <c r="H256" s="80"/>
      <c r="I256" s="83" t="str">
        <f aca="false">IF(F256="","",IF(I255="",F256,I255+F256))</f>
        <v/>
      </c>
      <c r="J256" s="80"/>
    </row>
    <row r="257" customFormat="false" ht="15.75" hidden="false" customHeight="true" outlineLevel="0" collapsed="false">
      <c r="A257" s="66" t="n">
        <v>253</v>
      </c>
      <c r="B257" s="70"/>
      <c r="C257" s="72"/>
      <c r="D257" s="72"/>
      <c r="E257" s="72"/>
      <c r="F257" s="87"/>
      <c r="G257" s="72"/>
      <c r="H257" s="72"/>
      <c r="I257" s="75" t="str">
        <f aca="false">IF(F257="","",IF(I256="",F257,I256+F257))</f>
        <v/>
      </c>
      <c r="J257" s="72"/>
    </row>
    <row r="258" customFormat="false" ht="15.75" hidden="false" customHeight="true" outlineLevel="0" collapsed="false">
      <c r="A258" s="68" t="n">
        <v>254</v>
      </c>
      <c r="B258" s="78"/>
      <c r="C258" s="80"/>
      <c r="D258" s="80"/>
      <c r="E258" s="80"/>
      <c r="F258" s="88"/>
      <c r="G258" s="80"/>
      <c r="H258" s="80"/>
      <c r="I258" s="83" t="str">
        <f aca="false">IF(F258="","",IF(I257="",F258,I257+F258))</f>
        <v/>
      </c>
      <c r="J258" s="80"/>
    </row>
    <row r="259" customFormat="false" ht="15.75" hidden="false" customHeight="true" outlineLevel="0" collapsed="false">
      <c r="A259" s="66" t="n">
        <v>255</v>
      </c>
      <c r="B259" s="70"/>
      <c r="C259" s="72"/>
      <c r="D259" s="72"/>
      <c r="E259" s="72"/>
      <c r="F259" s="87"/>
      <c r="G259" s="72"/>
      <c r="H259" s="72"/>
      <c r="I259" s="75" t="str">
        <f aca="false">IF(F259="","",IF(I258="",F259,I258+F259))</f>
        <v/>
      </c>
      <c r="J259" s="72"/>
    </row>
    <row r="260" customFormat="false" ht="15.75" hidden="false" customHeight="true" outlineLevel="0" collapsed="false">
      <c r="A260" s="68" t="n">
        <v>256</v>
      </c>
      <c r="B260" s="78"/>
      <c r="C260" s="80"/>
      <c r="D260" s="80"/>
      <c r="E260" s="80"/>
      <c r="F260" s="88"/>
      <c r="G260" s="80"/>
      <c r="H260" s="80"/>
      <c r="I260" s="83" t="str">
        <f aca="false">IF(F260="","",IF(I259="",F260,I259+F260))</f>
        <v/>
      </c>
      <c r="J260" s="80"/>
    </row>
    <row r="261" customFormat="false" ht="15.75" hidden="false" customHeight="true" outlineLevel="0" collapsed="false">
      <c r="A261" s="66" t="n">
        <v>257</v>
      </c>
      <c r="B261" s="70"/>
      <c r="C261" s="72"/>
      <c r="D261" s="72"/>
      <c r="E261" s="72"/>
      <c r="F261" s="87"/>
      <c r="G261" s="72"/>
      <c r="H261" s="72"/>
      <c r="I261" s="75" t="str">
        <f aca="false">IF(F261="","",IF(I260="",F261,I260+F261))</f>
        <v/>
      </c>
      <c r="J261" s="72"/>
    </row>
    <row r="262" customFormat="false" ht="15.75" hidden="false" customHeight="true" outlineLevel="0" collapsed="false">
      <c r="A262" s="68" t="n">
        <v>258</v>
      </c>
      <c r="B262" s="78"/>
      <c r="C262" s="80"/>
      <c r="D262" s="80"/>
      <c r="E262" s="80"/>
      <c r="F262" s="88"/>
      <c r="G262" s="80"/>
      <c r="H262" s="80"/>
      <c r="I262" s="83" t="str">
        <f aca="false">IF(F262="","",IF(I261="",F262,I261+F262))</f>
        <v/>
      </c>
      <c r="J262" s="80"/>
    </row>
    <row r="263" customFormat="false" ht="15.75" hidden="false" customHeight="true" outlineLevel="0" collapsed="false">
      <c r="A263" s="66" t="n">
        <v>259</v>
      </c>
      <c r="B263" s="70"/>
      <c r="C263" s="72"/>
      <c r="D263" s="72"/>
      <c r="E263" s="72"/>
      <c r="F263" s="87"/>
      <c r="G263" s="72"/>
      <c r="H263" s="72"/>
      <c r="I263" s="75" t="str">
        <f aca="false">IF(F263="","",IF(I262="",F263,I262+F263))</f>
        <v/>
      </c>
      <c r="J263" s="72"/>
    </row>
    <row r="264" customFormat="false" ht="15.75" hidden="false" customHeight="true" outlineLevel="0" collapsed="false">
      <c r="A264" s="68" t="n">
        <v>260</v>
      </c>
      <c r="B264" s="78"/>
      <c r="C264" s="80"/>
      <c r="D264" s="80"/>
      <c r="E264" s="80"/>
      <c r="F264" s="88"/>
      <c r="G264" s="80"/>
      <c r="H264" s="80"/>
      <c r="I264" s="83" t="str">
        <f aca="false">IF(F264="","",IF(I263="",F264,I263+F264))</f>
        <v/>
      </c>
      <c r="J264" s="80"/>
    </row>
    <row r="265" customFormat="false" ht="15.75" hidden="false" customHeight="true" outlineLevel="0" collapsed="false">
      <c r="A265" s="66" t="n">
        <v>261</v>
      </c>
      <c r="B265" s="70"/>
      <c r="C265" s="72"/>
      <c r="D265" s="72"/>
      <c r="E265" s="72"/>
      <c r="F265" s="87"/>
      <c r="G265" s="72"/>
      <c r="H265" s="72"/>
      <c r="I265" s="75" t="str">
        <f aca="false">IF(F265="","",IF(I264="",F265,I264+F265))</f>
        <v/>
      </c>
      <c r="J265" s="72"/>
    </row>
    <row r="266" customFormat="false" ht="15.75" hidden="false" customHeight="true" outlineLevel="0" collapsed="false">
      <c r="A266" s="68" t="n">
        <v>262</v>
      </c>
      <c r="B266" s="78"/>
      <c r="C266" s="80"/>
      <c r="D266" s="80"/>
      <c r="E266" s="80"/>
      <c r="F266" s="88"/>
      <c r="G266" s="80"/>
      <c r="H266" s="80"/>
      <c r="I266" s="83" t="str">
        <f aca="false">IF(F266="","",IF(I265="",F266,I265+F266))</f>
        <v/>
      </c>
      <c r="J266" s="80"/>
    </row>
    <row r="267" customFormat="false" ht="15.75" hidden="false" customHeight="true" outlineLevel="0" collapsed="false">
      <c r="A267" s="66" t="n">
        <v>263</v>
      </c>
      <c r="B267" s="70"/>
      <c r="C267" s="72"/>
      <c r="D267" s="72"/>
      <c r="E267" s="72"/>
      <c r="F267" s="87"/>
      <c r="G267" s="72"/>
      <c r="H267" s="72"/>
      <c r="I267" s="75" t="str">
        <f aca="false">IF(F267="","",IF(I266="",F267,I266+F267))</f>
        <v/>
      </c>
      <c r="J267" s="72"/>
    </row>
    <row r="268" customFormat="false" ht="15.75" hidden="false" customHeight="true" outlineLevel="0" collapsed="false">
      <c r="A268" s="68" t="n">
        <v>264</v>
      </c>
      <c r="B268" s="78"/>
      <c r="C268" s="80"/>
      <c r="D268" s="80"/>
      <c r="E268" s="80"/>
      <c r="F268" s="88"/>
      <c r="G268" s="80"/>
      <c r="H268" s="80"/>
      <c r="I268" s="83" t="str">
        <f aca="false">IF(F268="","",IF(I267="",F268,I267+F268))</f>
        <v/>
      </c>
      <c r="J268" s="80"/>
    </row>
    <row r="269" customFormat="false" ht="15.75" hidden="false" customHeight="true" outlineLevel="0" collapsed="false">
      <c r="A269" s="66" t="n">
        <v>265</v>
      </c>
      <c r="B269" s="70"/>
      <c r="C269" s="72"/>
      <c r="D269" s="72"/>
      <c r="E269" s="72"/>
      <c r="F269" s="87"/>
      <c r="G269" s="72"/>
      <c r="H269" s="72"/>
      <c r="I269" s="75" t="str">
        <f aca="false">IF(F269="","",IF(I268="",F269,I268+F269))</f>
        <v/>
      </c>
      <c r="J269" s="72"/>
    </row>
    <row r="270" customFormat="false" ht="15.75" hidden="false" customHeight="true" outlineLevel="0" collapsed="false">
      <c r="A270" s="68" t="n">
        <v>266</v>
      </c>
      <c r="B270" s="78"/>
      <c r="C270" s="80"/>
      <c r="D270" s="80"/>
      <c r="E270" s="80"/>
      <c r="F270" s="88"/>
      <c r="G270" s="80"/>
      <c r="H270" s="80"/>
      <c r="I270" s="83" t="str">
        <f aca="false">IF(F270="","",IF(I269="",F270,I269+F270))</f>
        <v/>
      </c>
      <c r="J270" s="80"/>
    </row>
    <row r="271" customFormat="false" ht="15.75" hidden="false" customHeight="true" outlineLevel="0" collapsed="false">
      <c r="A271" s="66" t="n">
        <v>267</v>
      </c>
      <c r="B271" s="70"/>
      <c r="C271" s="72"/>
      <c r="D271" s="72"/>
      <c r="E271" s="72"/>
      <c r="F271" s="87"/>
      <c r="G271" s="72"/>
      <c r="H271" s="72"/>
      <c r="I271" s="75" t="str">
        <f aca="false">IF(F271="","",IF(I270="",F271,I270+F271))</f>
        <v/>
      </c>
      <c r="J271" s="72"/>
    </row>
    <row r="272" customFormat="false" ht="15.75" hidden="false" customHeight="true" outlineLevel="0" collapsed="false">
      <c r="A272" s="68" t="n">
        <v>268</v>
      </c>
      <c r="B272" s="78"/>
      <c r="C272" s="80"/>
      <c r="D272" s="80"/>
      <c r="E272" s="80"/>
      <c r="F272" s="88"/>
      <c r="G272" s="80"/>
      <c r="H272" s="80"/>
      <c r="I272" s="83" t="str">
        <f aca="false">IF(F272="","",IF(I271="",F272,I271+F272))</f>
        <v/>
      </c>
      <c r="J272" s="80"/>
    </row>
    <row r="273" customFormat="false" ht="15.75" hidden="false" customHeight="true" outlineLevel="0" collapsed="false">
      <c r="A273" s="66" t="n">
        <v>269</v>
      </c>
      <c r="B273" s="70"/>
      <c r="C273" s="72"/>
      <c r="D273" s="72"/>
      <c r="E273" s="72"/>
      <c r="F273" s="87"/>
      <c r="G273" s="72"/>
      <c r="H273" s="72"/>
      <c r="I273" s="75" t="str">
        <f aca="false">IF(F273="","",IF(I272="",F273,I272+F273))</f>
        <v/>
      </c>
      <c r="J273" s="72"/>
    </row>
    <row r="274" customFormat="false" ht="15.75" hidden="false" customHeight="true" outlineLevel="0" collapsed="false">
      <c r="A274" s="68" t="n">
        <v>270</v>
      </c>
      <c r="B274" s="78"/>
      <c r="C274" s="80"/>
      <c r="D274" s="80"/>
      <c r="E274" s="80"/>
      <c r="F274" s="88"/>
      <c r="G274" s="80"/>
      <c r="H274" s="80"/>
      <c r="I274" s="83" t="str">
        <f aca="false">IF(F274="","",IF(I273="",F274,I273+F274))</f>
        <v/>
      </c>
      <c r="J274" s="80"/>
    </row>
    <row r="275" customFormat="false" ht="15.75" hidden="false" customHeight="true" outlineLevel="0" collapsed="false">
      <c r="A275" s="66" t="n">
        <v>271</v>
      </c>
      <c r="B275" s="70"/>
      <c r="C275" s="72"/>
      <c r="D275" s="72"/>
      <c r="E275" s="72"/>
      <c r="F275" s="87"/>
      <c r="G275" s="72"/>
      <c r="H275" s="72"/>
      <c r="I275" s="75" t="str">
        <f aca="false">IF(F275="","",IF(I274="",F275,I274+F275))</f>
        <v/>
      </c>
      <c r="J275" s="72"/>
    </row>
    <row r="276" customFormat="false" ht="15.75" hidden="false" customHeight="true" outlineLevel="0" collapsed="false">
      <c r="A276" s="68" t="n">
        <v>272</v>
      </c>
      <c r="B276" s="78"/>
      <c r="C276" s="80"/>
      <c r="D276" s="80"/>
      <c r="E276" s="80"/>
      <c r="F276" s="88"/>
      <c r="G276" s="80"/>
      <c r="H276" s="80"/>
      <c r="I276" s="83" t="str">
        <f aca="false">IF(F276="","",IF(I275="",F276,I275+F276))</f>
        <v/>
      </c>
      <c r="J276" s="80"/>
    </row>
    <row r="277" customFormat="false" ht="15.75" hidden="false" customHeight="true" outlineLevel="0" collapsed="false">
      <c r="A277" s="66" t="n">
        <v>273</v>
      </c>
      <c r="B277" s="70"/>
      <c r="C277" s="72"/>
      <c r="D277" s="72"/>
      <c r="E277" s="72"/>
      <c r="F277" s="87"/>
      <c r="G277" s="72"/>
      <c r="H277" s="72"/>
      <c r="I277" s="75" t="str">
        <f aca="false">IF(F277="","",IF(I276="",F277,I276+F277))</f>
        <v/>
      </c>
      <c r="J277" s="72"/>
    </row>
    <row r="278" customFormat="false" ht="15.75" hidden="false" customHeight="true" outlineLevel="0" collapsed="false">
      <c r="A278" s="68" t="n">
        <v>274</v>
      </c>
      <c r="B278" s="78"/>
      <c r="C278" s="80"/>
      <c r="D278" s="80"/>
      <c r="E278" s="80"/>
      <c r="F278" s="88"/>
      <c r="G278" s="80"/>
      <c r="H278" s="80"/>
      <c r="I278" s="83" t="str">
        <f aca="false">IF(F278="","",IF(I277="",F278,I277+F278))</f>
        <v/>
      </c>
      <c r="J278" s="80"/>
    </row>
    <row r="279" customFormat="false" ht="15.75" hidden="false" customHeight="true" outlineLevel="0" collapsed="false">
      <c r="A279" s="66" t="n">
        <v>275</v>
      </c>
      <c r="B279" s="70"/>
      <c r="C279" s="72"/>
      <c r="D279" s="72"/>
      <c r="E279" s="72"/>
      <c r="F279" s="87"/>
      <c r="G279" s="72"/>
      <c r="H279" s="72"/>
      <c r="I279" s="75" t="str">
        <f aca="false">IF(F279="","",IF(I278="",F279,I278+F279))</f>
        <v/>
      </c>
      <c r="J279" s="72"/>
    </row>
    <row r="280" customFormat="false" ht="15.75" hidden="false" customHeight="true" outlineLevel="0" collapsed="false">
      <c r="A280" s="68" t="n">
        <v>276</v>
      </c>
      <c r="B280" s="78"/>
      <c r="C280" s="80"/>
      <c r="D280" s="80"/>
      <c r="E280" s="80"/>
      <c r="F280" s="88"/>
      <c r="G280" s="80"/>
      <c r="H280" s="80"/>
      <c r="I280" s="83" t="str">
        <f aca="false">IF(F280="","",IF(I279="",F280,I279+F280))</f>
        <v/>
      </c>
      <c r="J280" s="80"/>
    </row>
    <row r="281" customFormat="false" ht="15.75" hidden="false" customHeight="true" outlineLevel="0" collapsed="false">
      <c r="A281" s="66" t="n">
        <v>277</v>
      </c>
      <c r="B281" s="70"/>
      <c r="C281" s="72"/>
      <c r="D281" s="72"/>
      <c r="E281" s="72"/>
      <c r="F281" s="87"/>
      <c r="G281" s="72"/>
      <c r="H281" s="72"/>
      <c r="I281" s="75" t="str">
        <f aca="false">IF(F281="","",IF(I280="",F281,I280+F281))</f>
        <v/>
      </c>
      <c r="J281" s="72"/>
    </row>
    <row r="282" customFormat="false" ht="15.75" hidden="false" customHeight="true" outlineLevel="0" collapsed="false">
      <c r="A282" s="68" t="n">
        <v>278</v>
      </c>
      <c r="B282" s="78"/>
      <c r="C282" s="80"/>
      <c r="D282" s="80"/>
      <c r="E282" s="80"/>
      <c r="F282" s="88"/>
      <c r="G282" s="80"/>
      <c r="H282" s="80"/>
      <c r="I282" s="83" t="str">
        <f aca="false">IF(F282="","",IF(I281="",F282,I281+F282))</f>
        <v/>
      </c>
      <c r="J282" s="80"/>
    </row>
    <row r="283" customFormat="false" ht="15.75" hidden="false" customHeight="true" outlineLevel="0" collapsed="false">
      <c r="A283" s="66" t="n">
        <v>279</v>
      </c>
      <c r="B283" s="70"/>
      <c r="C283" s="72"/>
      <c r="D283" s="72"/>
      <c r="E283" s="72"/>
      <c r="F283" s="87"/>
      <c r="G283" s="72"/>
      <c r="H283" s="72"/>
      <c r="I283" s="75" t="str">
        <f aca="false">IF(F283="","",IF(I282="",F283,I282+F283))</f>
        <v/>
      </c>
      <c r="J283" s="72"/>
    </row>
    <row r="284" customFormat="false" ht="15.75" hidden="false" customHeight="true" outlineLevel="0" collapsed="false">
      <c r="A284" s="68" t="n">
        <v>280</v>
      </c>
      <c r="B284" s="78"/>
      <c r="C284" s="80"/>
      <c r="D284" s="80"/>
      <c r="E284" s="80"/>
      <c r="F284" s="88"/>
      <c r="G284" s="80"/>
      <c r="H284" s="80"/>
      <c r="I284" s="83" t="str">
        <f aca="false">IF(F284="","",IF(I283="",F284,I283+F284))</f>
        <v/>
      </c>
      <c r="J284" s="80"/>
    </row>
    <row r="285" customFormat="false" ht="15.75" hidden="false" customHeight="true" outlineLevel="0" collapsed="false">
      <c r="A285" s="66" t="n">
        <v>281</v>
      </c>
      <c r="B285" s="70"/>
      <c r="C285" s="72"/>
      <c r="D285" s="72"/>
      <c r="E285" s="72"/>
      <c r="F285" s="87"/>
      <c r="G285" s="72"/>
      <c r="H285" s="72"/>
      <c r="I285" s="75" t="str">
        <f aca="false">IF(F285="","",IF(I284="",F285,I284+F285))</f>
        <v/>
      </c>
      <c r="J285" s="72"/>
    </row>
    <row r="286" customFormat="false" ht="15.75" hidden="false" customHeight="true" outlineLevel="0" collapsed="false">
      <c r="A286" s="68" t="n">
        <v>282</v>
      </c>
      <c r="B286" s="78"/>
      <c r="C286" s="80"/>
      <c r="D286" s="80"/>
      <c r="E286" s="80"/>
      <c r="F286" s="88"/>
      <c r="G286" s="80"/>
      <c r="H286" s="80"/>
      <c r="I286" s="83" t="str">
        <f aca="false">IF(F286="","",IF(I285="",F286,I285+F286))</f>
        <v/>
      </c>
      <c r="J286" s="80"/>
    </row>
    <row r="287" customFormat="false" ht="15.75" hidden="false" customHeight="true" outlineLevel="0" collapsed="false">
      <c r="A287" s="66" t="n">
        <v>283</v>
      </c>
      <c r="B287" s="70"/>
      <c r="C287" s="72"/>
      <c r="D287" s="72"/>
      <c r="E287" s="72"/>
      <c r="F287" s="87"/>
      <c r="G287" s="72"/>
      <c r="H287" s="72"/>
      <c r="I287" s="75" t="str">
        <f aca="false">IF(F287="","",IF(I286="",F287,I286+F287))</f>
        <v/>
      </c>
      <c r="J287" s="72"/>
    </row>
    <row r="288" customFormat="false" ht="15.75" hidden="false" customHeight="true" outlineLevel="0" collapsed="false">
      <c r="A288" s="68" t="n">
        <v>284</v>
      </c>
      <c r="B288" s="78"/>
      <c r="C288" s="80"/>
      <c r="D288" s="80"/>
      <c r="E288" s="80"/>
      <c r="F288" s="88"/>
      <c r="G288" s="80"/>
      <c r="H288" s="80"/>
      <c r="I288" s="83" t="str">
        <f aca="false">IF(F288="","",IF(I287="",F288,I287+F288))</f>
        <v/>
      </c>
      <c r="J288" s="80"/>
    </row>
    <row r="289" customFormat="false" ht="15.75" hidden="false" customHeight="true" outlineLevel="0" collapsed="false">
      <c r="A289" s="66" t="n">
        <v>285</v>
      </c>
      <c r="B289" s="70"/>
      <c r="C289" s="72"/>
      <c r="D289" s="72"/>
      <c r="E289" s="72"/>
      <c r="F289" s="87"/>
      <c r="G289" s="72"/>
      <c r="H289" s="72"/>
      <c r="I289" s="75" t="str">
        <f aca="false">IF(F289="","",IF(I288="",F289,I288+F289))</f>
        <v/>
      </c>
      <c r="J289" s="72"/>
    </row>
    <row r="290" customFormat="false" ht="15.75" hidden="false" customHeight="true" outlineLevel="0" collapsed="false">
      <c r="A290" s="68" t="n">
        <v>286</v>
      </c>
      <c r="B290" s="78"/>
      <c r="C290" s="80"/>
      <c r="D290" s="80"/>
      <c r="E290" s="80"/>
      <c r="F290" s="88"/>
      <c r="G290" s="80"/>
      <c r="H290" s="80"/>
      <c r="I290" s="83" t="str">
        <f aca="false">IF(F290="","",IF(I289="",F290,I289+F290))</f>
        <v/>
      </c>
      <c r="J290" s="80"/>
    </row>
    <row r="291" customFormat="false" ht="15.75" hidden="false" customHeight="true" outlineLevel="0" collapsed="false">
      <c r="A291" s="66" t="n">
        <v>287</v>
      </c>
      <c r="B291" s="70"/>
      <c r="C291" s="72"/>
      <c r="D291" s="72"/>
      <c r="E291" s="72"/>
      <c r="F291" s="87"/>
      <c r="G291" s="72"/>
      <c r="H291" s="72"/>
      <c r="I291" s="75" t="str">
        <f aca="false">IF(F291="","",IF(I290="",F291,I290+F291))</f>
        <v/>
      </c>
      <c r="J291" s="72"/>
    </row>
    <row r="292" customFormat="false" ht="15.75" hidden="false" customHeight="true" outlineLevel="0" collapsed="false">
      <c r="A292" s="68" t="n">
        <v>288</v>
      </c>
      <c r="B292" s="78"/>
      <c r="C292" s="80"/>
      <c r="D292" s="80"/>
      <c r="E292" s="80"/>
      <c r="F292" s="88"/>
      <c r="G292" s="80"/>
      <c r="H292" s="80"/>
      <c r="I292" s="83" t="str">
        <f aca="false">IF(F292="","",IF(I291="",F292,I291+F292))</f>
        <v/>
      </c>
      <c r="J292" s="80"/>
    </row>
    <row r="293" customFormat="false" ht="15.75" hidden="false" customHeight="true" outlineLevel="0" collapsed="false">
      <c r="A293" s="66" t="n">
        <v>289</v>
      </c>
      <c r="B293" s="70"/>
      <c r="C293" s="72"/>
      <c r="D293" s="72"/>
      <c r="E293" s="72"/>
      <c r="F293" s="87"/>
      <c r="G293" s="72"/>
      <c r="H293" s="72"/>
      <c r="I293" s="75" t="str">
        <f aca="false">IF(F293="","",IF(I292="",F293,I292+F293))</f>
        <v/>
      </c>
      <c r="J293" s="72"/>
    </row>
    <row r="294" customFormat="false" ht="15.75" hidden="false" customHeight="true" outlineLevel="0" collapsed="false">
      <c r="A294" s="68" t="n">
        <v>290</v>
      </c>
      <c r="B294" s="78"/>
      <c r="C294" s="80"/>
      <c r="D294" s="80"/>
      <c r="E294" s="80"/>
      <c r="F294" s="88"/>
      <c r="G294" s="80"/>
      <c r="H294" s="80"/>
      <c r="I294" s="83" t="str">
        <f aca="false">IF(F294="","",IF(I293="",F294,I293+F294))</f>
        <v/>
      </c>
      <c r="J294" s="80"/>
    </row>
    <row r="295" customFormat="false" ht="15.75" hidden="false" customHeight="true" outlineLevel="0" collapsed="false">
      <c r="A295" s="66" t="n">
        <v>291</v>
      </c>
      <c r="B295" s="70"/>
      <c r="C295" s="72"/>
      <c r="D295" s="72"/>
      <c r="E295" s="72"/>
      <c r="F295" s="87"/>
      <c r="G295" s="72"/>
      <c r="H295" s="72"/>
      <c r="I295" s="75" t="str">
        <f aca="false">IF(F295="","",IF(I294="",F295,I294+F295))</f>
        <v/>
      </c>
      <c r="J295" s="72"/>
    </row>
    <row r="296" customFormat="false" ht="15.75" hidden="false" customHeight="true" outlineLevel="0" collapsed="false">
      <c r="A296" s="68" t="n">
        <v>292</v>
      </c>
      <c r="B296" s="78"/>
      <c r="C296" s="80"/>
      <c r="D296" s="80"/>
      <c r="E296" s="80"/>
      <c r="F296" s="88"/>
      <c r="G296" s="80"/>
      <c r="H296" s="80"/>
      <c r="I296" s="83" t="str">
        <f aca="false">IF(F296="","",IF(I295="",F296,I295+F296))</f>
        <v/>
      </c>
      <c r="J296" s="80"/>
    </row>
    <row r="297" customFormat="false" ht="15.75" hidden="false" customHeight="true" outlineLevel="0" collapsed="false">
      <c r="A297" s="66" t="n">
        <v>293</v>
      </c>
      <c r="B297" s="70"/>
      <c r="C297" s="72"/>
      <c r="D297" s="72"/>
      <c r="E297" s="72"/>
      <c r="F297" s="87"/>
      <c r="G297" s="72"/>
      <c r="H297" s="72"/>
      <c r="I297" s="75" t="str">
        <f aca="false">IF(F297="","",IF(I296="",F297,I296+F297))</f>
        <v/>
      </c>
      <c r="J297" s="72"/>
    </row>
    <row r="298" customFormat="false" ht="15.75" hidden="false" customHeight="true" outlineLevel="0" collapsed="false">
      <c r="A298" s="68" t="n">
        <v>294</v>
      </c>
      <c r="B298" s="78"/>
      <c r="C298" s="80"/>
      <c r="D298" s="80"/>
      <c r="E298" s="80"/>
      <c r="F298" s="88"/>
      <c r="G298" s="80"/>
      <c r="H298" s="80"/>
      <c r="I298" s="83" t="str">
        <f aca="false">IF(F298="","",IF(I297="",F298,I297+F298))</f>
        <v/>
      </c>
      <c r="J298" s="80"/>
    </row>
    <row r="299" customFormat="false" ht="15.75" hidden="false" customHeight="true" outlineLevel="0" collapsed="false">
      <c r="A299" s="66" t="n">
        <v>295</v>
      </c>
      <c r="B299" s="70"/>
      <c r="C299" s="72"/>
      <c r="D299" s="72"/>
      <c r="E299" s="72"/>
      <c r="F299" s="87"/>
      <c r="G299" s="72"/>
      <c r="H299" s="72"/>
      <c r="I299" s="75" t="str">
        <f aca="false">IF(F299="","",IF(I298="",F299,I298+F299))</f>
        <v/>
      </c>
      <c r="J299" s="72"/>
    </row>
    <row r="300" customFormat="false" ht="15.75" hidden="false" customHeight="true" outlineLevel="0" collapsed="false">
      <c r="A300" s="68" t="n">
        <v>296</v>
      </c>
      <c r="B300" s="78"/>
      <c r="C300" s="80"/>
      <c r="D300" s="80"/>
      <c r="E300" s="80"/>
      <c r="F300" s="88"/>
      <c r="G300" s="80"/>
      <c r="H300" s="80"/>
      <c r="I300" s="83" t="str">
        <f aca="false">IF(F300="","",IF(I299="",F300,I299+F300))</f>
        <v/>
      </c>
      <c r="J300" s="80"/>
    </row>
    <row r="301" customFormat="false" ht="15.75" hidden="false" customHeight="true" outlineLevel="0" collapsed="false">
      <c r="A301" s="66" t="n">
        <v>297</v>
      </c>
      <c r="B301" s="70"/>
      <c r="C301" s="72"/>
      <c r="D301" s="72"/>
      <c r="E301" s="72"/>
      <c r="F301" s="87"/>
      <c r="G301" s="72"/>
      <c r="H301" s="72"/>
      <c r="I301" s="75" t="str">
        <f aca="false">IF(F301="","",IF(I300="",F301,I300+F301))</f>
        <v/>
      </c>
      <c r="J301" s="72"/>
    </row>
    <row r="302" customFormat="false" ht="15.75" hidden="false" customHeight="true" outlineLevel="0" collapsed="false">
      <c r="A302" s="68" t="n">
        <v>298</v>
      </c>
      <c r="B302" s="78"/>
      <c r="C302" s="80"/>
      <c r="D302" s="80"/>
      <c r="E302" s="80"/>
      <c r="F302" s="88"/>
      <c r="G302" s="80"/>
      <c r="H302" s="80"/>
      <c r="I302" s="83" t="str">
        <f aca="false">IF(F302="","",IF(I301="",F302,I301+F302))</f>
        <v/>
      </c>
      <c r="J302" s="80"/>
    </row>
    <row r="303" customFormat="false" ht="15.75" hidden="false" customHeight="true" outlineLevel="0" collapsed="false">
      <c r="A303" s="66" t="n">
        <v>299</v>
      </c>
      <c r="B303" s="70"/>
      <c r="C303" s="72"/>
      <c r="D303" s="72"/>
      <c r="E303" s="72"/>
      <c r="F303" s="87"/>
      <c r="G303" s="72"/>
      <c r="H303" s="72"/>
      <c r="I303" s="75" t="str">
        <f aca="false">IF(F303="","",IF(I302="",F303,I302+F303))</f>
        <v/>
      </c>
      <c r="J303" s="72"/>
    </row>
    <row r="304" customFormat="false" ht="15.75" hidden="false" customHeight="true" outlineLevel="0" collapsed="false">
      <c r="A304" s="68" t="n">
        <v>300</v>
      </c>
      <c r="B304" s="78"/>
      <c r="C304" s="80"/>
      <c r="D304" s="80"/>
      <c r="E304" s="80"/>
      <c r="F304" s="88"/>
      <c r="G304" s="80"/>
      <c r="H304" s="80"/>
      <c r="I304" s="83" t="str">
        <f aca="false">IF(F304="","",IF(I303="",F304,I303+F304))</f>
        <v/>
      </c>
      <c r="J304" s="80"/>
    </row>
    <row r="305" customFormat="false" ht="15.75" hidden="false" customHeight="true" outlineLevel="0" collapsed="false">
      <c r="A305" s="66" t="n">
        <v>301</v>
      </c>
      <c r="B305" s="70"/>
      <c r="C305" s="72"/>
      <c r="D305" s="72"/>
      <c r="E305" s="72"/>
      <c r="F305" s="87"/>
      <c r="G305" s="72"/>
      <c r="H305" s="72"/>
      <c r="I305" s="75" t="str">
        <f aca="false">IF(F305="","",IF(I304="",F305,I304+F305))</f>
        <v/>
      </c>
      <c r="J305" s="72"/>
    </row>
    <row r="306" customFormat="false" ht="15.75" hidden="false" customHeight="true" outlineLevel="0" collapsed="false">
      <c r="A306" s="68" t="n">
        <v>302</v>
      </c>
      <c r="B306" s="78"/>
      <c r="C306" s="80"/>
      <c r="D306" s="80"/>
      <c r="E306" s="80"/>
      <c r="F306" s="88"/>
      <c r="G306" s="80"/>
      <c r="H306" s="80"/>
      <c r="I306" s="83" t="str">
        <f aca="false">IF(F306="","",IF(I305="",F306,I305+F306))</f>
        <v/>
      </c>
      <c r="J306" s="80"/>
    </row>
    <row r="307" customFormat="false" ht="15.75" hidden="false" customHeight="true" outlineLevel="0" collapsed="false">
      <c r="A307" s="66" t="n">
        <v>303</v>
      </c>
      <c r="B307" s="70"/>
      <c r="C307" s="72"/>
      <c r="D307" s="72"/>
      <c r="E307" s="72"/>
      <c r="F307" s="87"/>
      <c r="G307" s="72"/>
      <c r="H307" s="72"/>
      <c r="I307" s="75" t="str">
        <f aca="false">IF(F307="","",IF(I306="",F307,I306+F307))</f>
        <v/>
      </c>
      <c r="J307" s="72"/>
    </row>
    <row r="308" customFormat="false" ht="15.75" hidden="false" customHeight="true" outlineLevel="0" collapsed="false">
      <c r="A308" s="68" t="n">
        <v>304</v>
      </c>
      <c r="B308" s="78"/>
      <c r="C308" s="80"/>
      <c r="D308" s="80"/>
      <c r="E308" s="80"/>
      <c r="F308" s="88"/>
      <c r="G308" s="80"/>
      <c r="H308" s="80"/>
      <c r="I308" s="83" t="str">
        <f aca="false">IF(F308="","",IF(I307="",F308,I307+F308))</f>
        <v/>
      </c>
      <c r="J308" s="80"/>
    </row>
    <row r="309" customFormat="false" ht="15.75" hidden="false" customHeight="true" outlineLevel="0" collapsed="false">
      <c r="A309" s="66" t="n">
        <v>305</v>
      </c>
      <c r="B309" s="70"/>
      <c r="C309" s="72"/>
      <c r="D309" s="72"/>
      <c r="E309" s="72"/>
      <c r="F309" s="87"/>
      <c r="G309" s="72"/>
      <c r="H309" s="72"/>
      <c r="I309" s="75" t="str">
        <f aca="false">IF(F309="","",IF(I308="",F309,I308+F309))</f>
        <v/>
      </c>
      <c r="J309" s="72"/>
    </row>
    <row r="310" customFormat="false" ht="15.75" hidden="false" customHeight="true" outlineLevel="0" collapsed="false">
      <c r="A310" s="68" t="n">
        <v>306</v>
      </c>
      <c r="B310" s="78"/>
      <c r="C310" s="80"/>
      <c r="D310" s="80"/>
      <c r="E310" s="80"/>
      <c r="F310" s="88"/>
      <c r="G310" s="80"/>
      <c r="H310" s="80"/>
      <c r="I310" s="83" t="str">
        <f aca="false">IF(F310="","",IF(I309="",F310,I309+F310))</f>
        <v/>
      </c>
      <c r="J310" s="80"/>
    </row>
    <row r="311" customFormat="false" ht="15.75" hidden="false" customHeight="true" outlineLevel="0" collapsed="false">
      <c r="A311" s="66" t="n">
        <v>307</v>
      </c>
      <c r="B311" s="70"/>
      <c r="C311" s="72"/>
      <c r="D311" s="72"/>
      <c r="E311" s="72"/>
      <c r="F311" s="87"/>
      <c r="G311" s="72"/>
      <c r="H311" s="72"/>
      <c r="I311" s="75" t="str">
        <f aca="false">IF(F311="","",IF(I310="",F311,I310+F311))</f>
        <v/>
      </c>
      <c r="J311" s="72"/>
    </row>
    <row r="312" customFormat="false" ht="15.75" hidden="false" customHeight="true" outlineLevel="0" collapsed="false">
      <c r="A312" s="68" t="n">
        <v>308</v>
      </c>
      <c r="B312" s="78"/>
      <c r="C312" s="80"/>
      <c r="D312" s="80"/>
      <c r="E312" s="80"/>
      <c r="F312" s="88"/>
      <c r="G312" s="80"/>
      <c r="H312" s="80"/>
      <c r="I312" s="83" t="str">
        <f aca="false">IF(F312="","",IF(I311="",F312,I311+F312))</f>
        <v/>
      </c>
      <c r="J312" s="80"/>
    </row>
    <row r="313" customFormat="false" ht="15.75" hidden="false" customHeight="true" outlineLevel="0" collapsed="false">
      <c r="A313" s="66" t="n">
        <v>309</v>
      </c>
      <c r="B313" s="70"/>
      <c r="C313" s="72"/>
      <c r="D313" s="72"/>
      <c r="E313" s="72"/>
      <c r="F313" s="87"/>
      <c r="G313" s="72"/>
      <c r="H313" s="72"/>
      <c r="I313" s="75" t="str">
        <f aca="false">IF(F313="","",IF(I312="",F313,I312+F313))</f>
        <v/>
      </c>
      <c r="J313" s="72"/>
    </row>
    <row r="314" customFormat="false" ht="15.75" hidden="false" customHeight="true" outlineLevel="0" collapsed="false">
      <c r="A314" s="68" t="n">
        <v>310</v>
      </c>
      <c r="B314" s="78"/>
      <c r="C314" s="80"/>
      <c r="D314" s="80"/>
      <c r="E314" s="80"/>
      <c r="F314" s="88"/>
      <c r="G314" s="80"/>
      <c r="H314" s="80"/>
      <c r="I314" s="83" t="str">
        <f aca="false">IF(F314="","",IF(I313="",F314,I313+F314))</f>
        <v/>
      </c>
      <c r="J314" s="80"/>
    </row>
    <row r="315" customFormat="false" ht="15.75" hidden="false" customHeight="true" outlineLevel="0" collapsed="false">
      <c r="A315" s="66" t="n">
        <v>311</v>
      </c>
      <c r="B315" s="70"/>
      <c r="C315" s="72"/>
      <c r="D315" s="72"/>
      <c r="E315" s="72"/>
      <c r="F315" s="87"/>
      <c r="G315" s="72"/>
      <c r="H315" s="72"/>
      <c r="I315" s="75" t="str">
        <f aca="false">IF(F315="","",IF(I314="",F315,I314+F315))</f>
        <v/>
      </c>
      <c r="J315" s="72"/>
    </row>
    <row r="316" customFormat="false" ht="15.75" hidden="false" customHeight="true" outlineLevel="0" collapsed="false">
      <c r="A316" s="68" t="n">
        <v>312</v>
      </c>
      <c r="B316" s="78"/>
      <c r="C316" s="80"/>
      <c r="D316" s="80"/>
      <c r="E316" s="80"/>
      <c r="F316" s="88"/>
      <c r="G316" s="80"/>
      <c r="H316" s="80"/>
      <c r="I316" s="83" t="str">
        <f aca="false">IF(F316="","",IF(I315="",F316,I315+F316))</f>
        <v/>
      </c>
      <c r="J316" s="80"/>
    </row>
    <row r="317" customFormat="false" ht="15.75" hidden="false" customHeight="true" outlineLevel="0" collapsed="false">
      <c r="A317" s="66" t="n">
        <v>313</v>
      </c>
      <c r="B317" s="70"/>
      <c r="C317" s="72"/>
      <c r="D317" s="72"/>
      <c r="E317" s="72"/>
      <c r="F317" s="87"/>
      <c r="G317" s="72"/>
      <c r="H317" s="72"/>
      <c r="I317" s="75" t="str">
        <f aca="false">IF(F317="","",IF(I316="",F317,I316+F317))</f>
        <v/>
      </c>
      <c r="J317" s="72"/>
    </row>
    <row r="318" customFormat="false" ht="15.75" hidden="false" customHeight="true" outlineLevel="0" collapsed="false">
      <c r="A318" s="68" t="n">
        <v>314</v>
      </c>
      <c r="B318" s="78"/>
      <c r="C318" s="80"/>
      <c r="D318" s="80"/>
      <c r="E318" s="80"/>
      <c r="F318" s="88"/>
      <c r="G318" s="80"/>
      <c r="H318" s="80"/>
      <c r="I318" s="83" t="str">
        <f aca="false">IF(F318="","",IF(I317="",F318,I317+F318))</f>
        <v/>
      </c>
      <c r="J318" s="80"/>
    </row>
    <row r="319" customFormat="false" ht="15.75" hidden="false" customHeight="true" outlineLevel="0" collapsed="false">
      <c r="A319" s="66" t="n">
        <v>315</v>
      </c>
      <c r="B319" s="70"/>
      <c r="C319" s="72"/>
      <c r="D319" s="72"/>
      <c r="E319" s="72"/>
      <c r="F319" s="87"/>
      <c r="G319" s="72"/>
      <c r="H319" s="72"/>
      <c r="I319" s="75" t="str">
        <f aca="false">IF(F319="","",IF(I318="",F319,I318+F319))</f>
        <v/>
      </c>
      <c r="J319" s="72"/>
    </row>
    <row r="320" customFormat="false" ht="15.75" hidden="false" customHeight="true" outlineLevel="0" collapsed="false">
      <c r="A320" s="68" t="n">
        <v>316</v>
      </c>
      <c r="B320" s="78"/>
      <c r="C320" s="80"/>
      <c r="D320" s="80"/>
      <c r="E320" s="80"/>
      <c r="F320" s="88"/>
      <c r="G320" s="80"/>
      <c r="H320" s="80"/>
      <c r="I320" s="83" t="str">
        <f aca="false">IF(F320="","",IF(I319="",F320,I319+F320))</f>
        <v/>
      </c>
      <c r="J320" s="80"/>
    </row>
    <row r="321" customFormat="false" ht="15.75" hidden="false" customHeight="true" outlineLevel="0" collapsed="false">
      <c r="A321" s="66" t="n">
        <v>317</v>
      </c>
      <c r="B321" s="70"/>
      <c r="C321" s="72"/>
      <c r="D321" s="72"/>
      <c r="E321" s="72"/>
      <c r="F321" s="87"/>
      <c r="G321" s="72"/>
      <c r="H321" s="72"/>
      <c r="I321" s="75" t="str">
        <f aca="false">IF(F321="","",IF(I320="",F321,I320+F321))</f>
        <v/>
      </c>
      <c r="J321" s="72"/>
    </row>
    <row r="322" customFormat="false" ht="15.75" hidden="false" customHeight="true" outlineLevel="0" collapsed="false">
      <c r="A322" s="68" t="n">
        <v>318</v>
      </c>
      <c r="B322" s="78"/>
      <c r="C322" s="80"/>
      <c r="D322" s="80"/>
      <c r="E322" s="80"/>
      <c r="F322" s="88"/>
      <c r="G322" s="80"/>
      <c r="H322" s="80"/>
      <c r="I322" s="83" t="str">
        <f aca="false">IF(F322="","",IF(I321="",F322,I321+F322))</f>
        <v/>
      </c>
      <c r="J322" s="80"/>
    </row>
    <row r="323" customFormat="false" ht="15.75" hidden="false" customHeight="true" outlineLevel="0" collapsed="false">
      <c r="A323" s="66" t="n">
        <v>319</v>
      </c>
      <c r="B323" s="70"/>
      <c r="C323" s="72"/>
      <c r="D323" s="72"/>
      <c r="E323" s="72"/>
      <c r="F323" s="87"/>
      <c r="G323" s="72"/>
      <c r="H323" s="72"/>
      <c r="I323" s="75" t="str">
        <f aca="false">IF(F323="","",IF(I322="",F323,I322+F323))</f>
        <v/>
      </c>
      <c r="J323" s="72"/>
    </row>
    <row r="324" customFormat="false" ht="15.75" hidden="false" customHeight="true" outlineLevel="0" collapsed="false">
      <c r="A324" s="68" t="n">
        <v>320</v>
      </c>
      <c r="B324" s="78"/>
      <c r="C324" s="80"/>
      <c r="D324" s="80"/>
      <c r="E324" s="80"/>
      <c r="F324" s="88"/>
      <c r="G324" s="80"/>
      <c r="H324" s="80"/>
      <c r="I324" s="83" t="str">
        <f aca="false">IF(F324="","",IF(I323="",F324,I323+F324))</f>
        <v/>
      </c>
      <c r="J324" s="80"/>
    </row>
    <row r="325" customFormat="false" ht="15.75" hidden="false" customHeight="true" outlineLevel="0" collapsed="false">
      <c r="A325" s="66" t="n">
        <v>321</v>
      </c>
      <c r="B325" s="70"/>
      <c r="C325" s="72"/>
      <c r="D325" s="72"/>
      <c r="E325" s="72"/>
      <c r="F325" s="87"/>
      <c r="G325" s="72"/>
      <c r="H325" s="72"/>
      <c r="I325" s="75" t="str">
        <f aca="false">IF(F325="","",IF(I324="",F325,I324+F325))</f>
        <v/>
      </c>
      <c r="J325" s="72"/>
    </row>
    <row r="326" customFormat="false" ht="15.75" hidden="false" customHeight="true" outlineLevel="0" collapsed="false">
      <c r="A326" s="68" t="n">
        <v>322</v>
      </c>
      <c r="B326" s="78"/>
      <c r="C326" s="80"/>
      <c r="D326" s="80"/>
      <c r="E326" s="80"/>
      <c r="F326" s="88"/>
      <c r="G326" s="80"/>
      <c r="H326" s="80"/>
      <c r="I326" s="83" t="str">
        <f aca="false">IF(F326="","",IF(I325="",F326,I325+F326))</f>
        <v/>
      </c>
      <c r="J326" s="80"/>
    </row>
    <row r="327" customFormat="false" ht="15.75" hidden="false" customHeight="true" outlineLevel="0" collapsed="false">
      <c r="A327" s="66" t="n">
        <v>323</v>
      </c>
      <c r="B327" s="70"/>
      <c r="C327" s="72"/>
      <c r="D327" s="72"/>
      <c r="E327" s="72"/>
      <c r="F327" s="87"/>
      <c r="G327" s="72"/>
      <c r="H327" s="72"/>
      <c r="I327" s="75" t="str">
        <f aca="false">IF(F327="","",IF(I326="",F327,I326+F327))</f>
        <v/>
      </c>
      <c r="J327" s="72"/>
    </row>
    <row r="328" customFormat="false" ht="15.75" hidden="false" customHeight="true" outlineLevel="0" collapsed="false">
      <c r="A328" s="68" t="n">
        <v>324</v>
      </c>
      <c r="B328" s="78"/>
      <c r="C328" s="80"/>
      <c r="D328" s="80"/>
      <c r="E328" s="80"/>
      <c r="F328" s="88"/>
      <c r="G328" s="80"/>
      <c r="H328" s="80"/>
      <c r="I328" s="83" t="str">
        <f aca="false">IF(F328="","",IF(I327="",F328,I327+F328))</f>
        <v/>
      </c>
      <c r="J328" s="80"/>
    </row>
    <row r="329" customFormat="false" ht="15.75" hidden="false" customHeight="true" outlineLevel="0" collapsed="false">
      <c r="A329" s="66" t="n">
        <v>325</v>
      </c>
      <c r="B329" s="70"/>
      <c r="C329" s="72"/>
      <c r="D329" s="72"/>
      <c r="E329" s="72"/>
      <c r="F329" s="87"/>
      <c r="G329" s="72"/>
      <c r="H329" s="72"/>
      <c r="I329" s="75" t="str">
        <f aca="false">IF(F329="","",IF(I328="",F329,I328+F329))</f>
        <v/>
      </c>
      <c r="J329" s="72"/>
    </row>
    <row r="330" customFormat="false" ht="15.75" hidden="false" customHeight="true" outlineLevel="0" collapsed="false">
      <c r="A330" s="68" t="n">
        <v>326</v>
      </c>
      <c r="B330" s="78"/>
      <c r="C330" s="80"/>
      <c r="D330" s="80"/>
      <c r="E330" s="80"/>
      <c r="F330" s="88"/>
      <c r="G330" s="80"/>
      <c r="H330" s="80"/>
      <c r="I330" s="83" t="str">
        <f aca="false">IF(F330="","",IF(I329="",F330,I329+F330))</f>
        <v/>
      </c>
      <c r="J330" s="80"/>
    </row>
    <row r="331" customFormat="false" ht="15.75" hidden="false" customHeight="true" outlineLevel="0" collapsed="false">
      <c r="A331" s="66" t="n">
        <v>327</v>
      </c>
      <c r="B331" s="70"/>
      <c r="C331" s="72"/>
      <c r="D331" s="72"/>
      <c r="E331" s="72"/>
      <c r="F331" s="87"/>
      <c r="G331" s="72"/>
      <c r="H331" s="72"/>
      <c r="I331" s="75" t="str">
        <f aca="false">IF(F331="","",IF(I330="",F331,I330+F331))</f>
        <v/>
      </c>
      <c r="J331" s="72"/>
    </row>
    <row r="332" customFormat="false" ht="15.75" hidden="false" customHeight="true" outlineLevel="0" collapsed="false">
      <c r="A332" s="68" t="n">
        <v>328</v>
      </c>
      <c r="B332" s="78"/>
      <c r="C332" s="80"/>
      <c r="D332" s="80"/>
      <c r="E332" s="80"/>
      <c r="F332" s="88"/>
      <c r="G332" s="80"/>
      <c r="H332" s="80"/>
      <c r="I332" s="83" t="str">
        <f aca="false">IF(F332="","",IF(I331="",F332,I331+F332))</f>
        <v/>
      </c>
      <c r="J332" s="80"/>
    </row>
    <row r="333" customFormat="false" ht="15.75" hidden="false" customHeight="true" outlineLevel="0" collapsed="false">
      <c r="A333" s="66" t="n">
        <v>329</v>
      </c>
      <c r="B333" s="70"/>
      <c r="C333" s="72"/>
      <c r="D333" s="72"/>
      <c r="E333" s="72"/>
      <c r="F333" s="87"/>
      <c r="G333" s="72"/>
      <c r="H333" s="72"/>
      <c r="I333" s="75" t="str">
        <f aca="false">IF(F333="","",IF(I332="",F333,I332+F333))</f>
        <v/>
      </c>
      <c r="J333" s="72"/>
    </row>
    <row r="334" customFormat="false" ht="15.75" hidden="false" customHeight="true" outlineLevel="0" collapsed="false">
      <c r="A334" s="68" t="n">
        <v>330</v>
      </c>
      <c r="B334" s="78"/>
      <c r="C334" s="80"/>
      <c r="D334" s="80"/>
      <c r="E334" s="80"/>
      <c r="F334" s="88"/>
      <c r="G334" s="80"/>
      <c r="H334" s="80"/>
      <c r="I334" s="83" t="str">
        <f aca="false">IF(F334="","",IF(I333="",F334,I333+F334))</f>
        <v/>
      </c>
      <c r="J334" s="80"/>
    </row>
    <row r="335" customFormat="false" ht="15.75" hidden="false" customHeight="true" outlineLevel="0" collapsed="false">
      <c r="A335" s="66" t="n">
        <v>331</v>
      </c>
      <c r="B335" s="70"/>
      <c r="C335" s="72"/>
      <c r="D335" s="72"/>
      <c r="E335" s="72"/>
      <c r="F335" s="87"/>
      <c r="G335" s="72"/>
      <c r="H335" s="72"/>
      <c r="I335" s="75" t="str">
        <f aca="false">IF(F335="","",IF(I334="",F335,I334+F335))</f>
        <v/>
      </c>
      <c r="J335" s="72"/>
    </row>
    <row r="336" customFormat="false" ht="15.75" hidden="false" customHeight="true" outlineLevel="0" collapsed="false">
      <c r="A336" s="68" t="n">
        <v>332</v>
      </c>
      <c r="B336" s="78"/>
      <c r="C336" s="80"/>
      <c r="D336" s="80"/>
      <c r="E336" s="80"/>
      <c r="F336" s="88"/>
      <c r="G336" s="80"/>
      <c r="H336" s="80"/>
      <c r="I336" s="83" t="str">
        <f aca="false">IF(F336="","",IF(I335="",F336,I335+F336))</f>
        <v/>
      </c>
      <c r="J336" s="80"/>
    </row>
    <row r="337" customFormat="false" ht="15.75" hidden="false" customHeight="true" outlineLevel="0" collapsed="false">
      <c r="A337" s="66" t="n">
        <v>333</v>
      </c>
      <c r="B337" s="70"/>
      <c r="C337" s="72"/>
      <c r="D337" s="72"/>
      <c r="E337" s="72"/>
      <c r="F337" s="87"/>
      <c r="G337" s="72"/>
      <c r="H337" s="72"/>
      <c r="I337" s="75" t="str">
        <f aca="false">IF(F337="","",IF(I336="",F337,I336+F337))</f>
        <v/>
      </c>
      <c r="J337" s="72"/>
    </row>
    <row r="338" customFormat="false" ht="15.75" hidden="false" customHeight="true" outlineLevel="0" collapsed="false">
      <c r="A338" s="68" t="n">
        <v>334</v>
      </c>
      <c r="B338" s="78"/>
      <c r="C338" s="80"/>
      <c r="D338" s="80"/>
      <c r="E338" s="80"/>
      <c r="F338" s="88"/>
      <c r="G338" s="80"/>
      <c r="H338" s="80"/>
      <c r="I338" s="83" t="str">
        <f aca="false">IF(F338="","",IF(I337="",F338,I337+F338))</f>
        <v/>
      </c>
      <c r="J338" s="80"/>
    </row>
    <row r="339" customFormat="false" ht="15.75" hidden="false" customHeight="true" outlineLevel="0" collapsed="false">
      <c r="A339" s="66" t="n">
        <v>335</v>
      </c>
      <c r="B339" s="70"/>
      <c r="C339" s="72"/>
      <c r="D339" s="72"/>
      <c r="E339" s="72"/>
      <c r="F339" s="87"/>
      <c r="G339" s="72"/>
      <c r="H339" s="72"/>
      <c r="I339" s="75" t="str">
        <f aca="false">IF(F339="","",IF(I338="",F339,I338+F339))</f>
        <v/>
      </c>
      <c r="J339" s="72"/>
    </row>
    <row r="340" customFormat="false" ht="15.75" hidden="false" customHeight="true" outlineLevel="0" collapsed="false">
      <c r="A340" s="68" t="n">
        <v>336</v>
      </c>
      <c r="B340" s="78"/>
      <c r="C340" s="80"/>
      <c r="D340" s="80"/>
      <c r="E340" s="80"/>
      <c r="F340" s="88"/>
      <c r="G340" s="80"/>
      <c r="H340" s="80"/>
      <c r="I340" s="83" t="str">
        <f aca="false">IF(F340="","",IF(I339="",F340,I339+F340))</f>
        <v/>
      </c>
      <c r="J340" s="80"/>
    </row>
    <row r="341" customFormat="false" ht="15.75" hidden="false" customHeight="true" outlineLevel="0" collapsed="false">
      <c r="A341" s="66" t="n">
        <v>337</v>
      </c>
      <c r="B341" s="70"/>
      <c r="C341" s="72"/>
      <c r="D341" s="72"/>
      <c r="E341" s="72"/>
      <c r="F341" s="87"/>
      <c r="G341" s="72"/>
      <c r="H341" s="72"/>
      <c r="I341" s="75" t="str">
        <f aca="false">IF(F341="","",IF(I340="",F341,I340+F341))</f>
        <v/>
      </c>
      <c r="J341" s="72"/>
    </row>
    <row r="342" customFormat="false" ht="15.75" hidden="false" customHeight="true" outlineLevel="0" collapsed="false">
      <c r="A342" s="68" t="n">
        <v>338</v>
      </c>
      <c r="B342" s="78"/>
      <c r="C342" s="80"/>
      <c r="D342" s="80"/>
      <c r="E342" s="80"/>
      <c r="F342" s="88"/>
      <c r="G342" s="80"/>
      <c r="H342" s="80"/>
      <c r="I342" s="83" t="str">
        <f aca="false">IF(F342="","",IF(I341="",F342,I341+F342))</f>
        <v/>
      </c>
      <c r="J342" s="80"/>
    </row>
    <row r="343" customFormat="false" ht="15.75" hidden="false" customHeight="true" outlineLevel="0" collapsed="false">
      <c r="A343" s="66" t="n">
        <v>339</v>
      </c>
      <c r="B343" s="70"/>
      <c r="C343" s="72"/>
      <c r="D343" s="72"/>
      <c r="E343" s="72"/>
      <c r="F343" s="87"/>
      <c r="G343" s="72"/>
      <c r="H343" s="72"/>
      <c r="I343" s="75" t="str">
        <f aca="false">IF(F343="","",IF(I342="",F343,I342+F343))</f>
        <v/>
      </c>
      <c r="J343" s="72"/>
    </row>
    <row r="344" customFormat="false" ht="15.75" hidden="false" customHeight="true" outlineLevel="0" collapsed="false">
      <c r="A344" s="68" t="n">
        <v>340</v>
      </c>
      <c r="B344" s="78"/>
      <c r="C344" s="80"/>
      <c r="D344" s="80"/>
      <c r="E344" s="80"/>
      <c r="F344" s="88"/>
      <c r="G344" s="80"/>
      <c r="H344" s="80"/>
      <c r="I344" s="83" t="str">
        <f aca="false">IF(F344="","",IF(I343="",F344,I343+F344))</f>
        <v/>
      </c>
      <c r="J344" s="80"/>
    </row>
    <row r="345" customFormat="false" ht="15.75" hidden="false" customHeight="true" outlineLevel="0" collapsed="false">
      <c r="A345" s="66" t="n">
        <v>341</v>
      </c>
      <c r="B345" s="70"/>
      <c r="C345" s="72"/>
      <c r="D345" s="72"/>
      <c r="E345" s="72"/>
      <c r="F345" s="87"/>
      <c r="G345" s="72"/>
      <c r="H345" s="72"/>
      <c r="I345" s="75" t="str">
        <f aca="false">IF(F345="","",IF(I344="",F345,I344+F345))</f>
        <v/>
      </c>
      <c r="J345" s="72"/>
    </row>
    <row r="346" customFormat="false" ht="15.75" hidden="false" customHeight="true" outlineLevel="0" collapsed="false">
      <c r="A346" s="68" t="n">
        <v>342</v>
      </c>
      <c r="B346" s="78"/>
      <c r="C346" s="80"/>
      <c r="D346" s="80"/>
      <c r="E346" s="80"/>
      <c r="F346" s="88"/>
      <c r="G346" s="80"/>
      <c r="H346" s="80"/>
      <c r="I346" s="83" t="str">
        <f aca="false">IF(F346="","",IF(I345="",F346,I345+F346))</f>
        <v/>
      </c>
      <c r="J346" s="80"/>
    </row>
    <row r="347" customFormat="false" ht="15.75" hidden="false" customHeight="true" outlineLevel="0" collapsed="false">
      <c r="A347" s="66" t="n">
        <v>343</v>
      </c>
      <c r="B347" s="70"/>
      <c r="C347" s="72"/>
      <c r="D347" s="72"/>
      <c r="E347" s="72"/>
      <c r="F347" s="87"/>
      <c r="G347" s="72"/>
      <c r="H347" s="72"/>
      <c r="I347" s="75" t="str">
        <f aca="false">IF(F347="","",IF(I346="",F347,I346+F347))</f>
        <v/>
      </c>
      <c r="J347" s="72"/>
    </row>
    <row r="348" customFormat="false" ht="15.75" hidden="false" customHeight="true" outlineLevel="0" collapsed="false">
      <c r="A348" s="68" t="n">
        <v>344</v>
      </c>
      <c r="B348" s="78"/>
      <c r="C348" s="80"/>
      <c r="D348" s="80"/>
      <c r="E348" s="80"/>
      <c r="F348" s="88"/>
      <c r="G348" s="80"/>
      <c r="H348" s="80"/>
      <c r="I348" s="83" t="str">
        <f aca="false">IF(F348="","",IF(I347="",F348,I347+F348))</f>
        <v/>
      </c>
      <c r="J348" s="80"/>
    </row>
    <row r="349" customFormat="false" ht="15.75" hidden="false" customHeight="true" outlineLevel="0" collapsed="false">
      <c r="A349" s="66" t="n">
        <v>345</v>
      </c>
      <c r="B349" s="70"/>
      <c r="C349" s="72"/>
      <c r="D349" s="72"/>
      <c r="E349" s="72"/>
      <c r="F349" s="87"/>
      <c r="G349" s="72"/>
      <c r="H349" s="72"/>
      <c r="I349" s="75" t="str">
        <f aca="false">IF(F349="","",IF(I348="",F349,I348+F349))</f>
        <v/>
      </c>
      <c r="J349" s="72"/>
    </row>
    <row r="350" customFormat="false" ht="15.75" hidden="false" customHeight="true" outlineLevel="0" collapsed="false">
      <c r="A350" s="68" t="n">
        <v>346</v>
      </c>
      <c r="B350" s="78"/>
      <c r="C350" s="80"/>
      <c r="D350" s="80"/>
      <c r="E350" s="80"/>
      <c r="F350" s="88"/>
      <c r="G350" s="80"/>
      <c r="H350" s="80"/>
      <c r="I350" s="83" t="str">
        <f aca="false">IF(F350="","",IF(I349="",F350,I349+F350))</f>
        <v/>
      </c>
      <c r="J350" s="80"/>
    </row>
    <row r="351" customFormat="false" ht="15.75" hidden="false" customHeight="true" outlineLevel="0" collapsed="false">
      <c r="A351" s="66" t="n">
        <v>347</v>
      </c>
      <c r="B351" s="70"/>
      <c r="C351" s="72"/>
      <c r="D351" s="72"/>
      <c r="E351" s="72"/>
      <c r="F351" s="87"/>
      <c r="G351" s="72"/>
      <c r="H351" s="72"/>
      <c r="I351" s="75" t="str">
        <f aca="false">IF(F351="","",IF(I350="",F351,I350+F351))</f>
        <v/>
      </c>
      <c r="J351" s="72"/>
    </row>
    <row r="352" customFormat="false" ht="15.75" hidden="false" customHeight="true" outlineLevel="0" collapsed="false">
      <c r="A352" s="68" t="n">
        <v>348</v>
      </c>
      <c r="B352" s="78"/>
      <c r="C352" s="80"/>
      <c r="D352" s="80"/>
      <c r="E352" s="80"/>
      <c r="F352" s="88"/>
      <c r="G352" s="80"/>
      <c r="H352" s="80"/>
      <c r="I352" s="83" t="str">
        <f aca="false">IF(F352="","",IF(I351="",F352,I351+F352))</f>
        <v/>
      </c>
      <c r="J352" s="80"/>
    </row>
    <row r="353" customFormat="false" ht="15.75" hidden="false" customHeight="true" outlineLevel="0" collapsed="false">
      <c r="A353" s="66" t="n">
        <v>349</v>
      </c>
      <c r="B353" s="70"/>
      <c r="C353" s="72"/>
      <c r="D353" s="72"/>
      <c r="E353" s="72"/>
      <c r="F353" s="87"/>
      <c r="G353" s="72"/>
      <c r="H353" s="72"/>
      <c r="I353" s="75" t="str">
        <f aca="false">IF(F353="","",IF(I352="",F353,I352+F353))</f>
        <v/>
      </c>
      <c r="J353" s="72"/>
    </row>
    <row r="354" customFormat="false" ht="15.75" hidden="false" customHeight="true" outlineLevel="0" collapsed="false">
      <c r="A354" s="68" t="n">
        <v>350</v>
      </c>
      <c r="B354" s="78"/>
      <c r="C354" s="80"/>
      <c r="D354" s="80"/>
      <c r="E354" s="80"/>
      <c r="F354" s="88"/>
      <c r="G354" s="80"/>
      <c r="H354" s="80"/>
      <c r="I354" s="83" t="str">
        <f aca="false">IF(F354="","",IF(I353="",F354,I353+F354))</f>
        <v/>
      </c>
      <c r="J354" s="80"/>
    </row>
    <row r="355" customFormat="false" ht="15.75" hidden="false" customHeight="true" outlineLevel="0" collapsed="false">
      <c r="A355" s="66" t="n">
        <v>351</v>
      </c>
      <c r="B355" s="70"/>
      <c r="C355" s="72"/>
      <c r="D355" s="72"/>
      <c r="E355" s="72"/>
      <c r="F355" s="87"/>
      <c r="G355" s="72"/>
      <c r="H355" s="72"/>
      <c r="I355" s="75" t="str">
        <f aca="false">IF(F355="","",IF(I354="",F355,I354+F355))</f>
        <v/>
      </c>
      <c r="J355" s="72"/>
    </row>
    <row r="356" customFormat="false" ht="15.75" hidden="false" customHeight="true" outlineLevel="0" collapsed="false">
      <c r="A356" s="68" t="n">
        <v>352</v>
      </c>
      <c r="B356" s="78"/>
      <c r="C356" s="80"/>
      <c r="D356" s="80"/>
      <c r="E356" s="80"/>
      <c r="F356" s="88"/>
      <c r="G356" s="80"/>
      <c r="H356" s="80"/>
      <c r="I356" s="83" t="str">
        <f aca="false">IF(F356="","",IF(I355="",F356,I355+F356))</f>
        <v/>
      </c>
      <c r="J356" s="80"/>
    </row>
    <row r="357" customFormat="false" ht="15.75" hidden="false" customHeight="true" outlineLevel="0" collapsed="false">
      <c r="A357" s="66" t="n">
        <v>353</v>
      </c>
      <c r="B357" s="70"/>
      <c r="C357" s="72"/>
      <c r="D357" s="72"/>
      <c r="E357" s="72"/>
      <c r="F357" s="87"/>
      <c r="G357" s="72"/>
      <c r="H357" s="72"/>
      <c r="I357" s="75" t="str">
        <f aca="false">IF(F357="","",IF(I356="",F357,I356+F357))</f>
        <v/>
      </c>
      <c r="J357" s="72"/>
    </row>
    <row r="358" customFormat="false" ht="15.75" hidden="false" customHeight="true" outlineLevel="0" collapsed="false">
      <c r="A358" s="68" t="n">
        <v>354</v>
      </c>
      <c r="B358" s="78"/>
      <c r="C358" s="80"/>
      <c r="D358" s="80"/>
      <c r="E358" s="80"/>
      <c r="F358" s="88"/>
      <c r="G358" s="80"/>
      <c r="H358" s="80"/>
      <c r="I358" s="83" t="str">
        <f aca="false">IF(F358="","",IF(I357="",F358,I357+F358))</f>
        <v/>
      </c>
      <c r="J358" s="80"/>
    </row>
    <row r="359" customFormat="false" ht="15.75" hidden="false" customHeight="true" outlineLevel="0" collapsed="false">
      <c r="A359" s="66" t="n">
        <v>355</v>
      </c>
      <c r="B359" s="70"/>
      <c r="C359" s="72"/>
      <c r="D359" s="72"/>
      <c r="E359" s="72"/>
      <c r="F359" s="87"/>
      <c r="G359" s="72"/>
      <c r="H359" s="72"/>
      <c r="I359" s="75" t="str">
        <f aca="false">IF(F359="","",IF(I358="",F359,I358+F359))</f>
        <v/>
      </c>
      <c r="J359" s="72"/>
    </row>
    <row r="360" customFormat="false" ht="15.75" hidden="false" customHeight="true" outlineLevel="0" collapsed="false">
      <c r="A360" s="68" t="n">
        <v>356</v>
      </c>
      <c r="B360" s="78"/>
      <c r="C360" s="80"/>
      <c r="D360" s="80"/>
      <c r="E360" s="80"/>
      <c r="F360" s="88"/>
      <c r="G360" s="80"/>
      <c r="H360" s="80"/>
      <c r="I360" s="83" t="str">
        <f aca="false">IF(F360="","",IF(I359="",F360,I359+F360))</f>
        <v/>
      </c>
      <c r="J360" s="80"/>
    </row>
    <row r="361" customFormat="false" ht="15.75" hidden="false" customHeight="true" outlineLevel="0" collapsed="false">
      <c r="A361" s="66" t="n">
        <v>357</v>
      </c>
      <c r="B361" s="70"/>
      <c r="C361" s="72"/>
      <c r="D361" s="72"/>
      <c r="E361" s="72"/>
      <c r="F361" s="87"/>
      <c r="G361" s="72"/>
      <c r="H361" s="72"/>
      <c r="I361" s="75" t="str">
        <f aca="false">IF(F361="","",IF(I360="",F361,I360+F361))</f>
        <v/>
      </c>
      <c r="J361" s="72"/>
    </row>
    <row r="362" customFormat="false" ht="15.75" hidden="false" customHeight="true" outlineLevel="0" collapsed="false">
      <c r="A362" s="68" t="n">
        <v>358</v>
      </c>
      <c r="B362" s="78"/>
      <c r="C362" s="80"/>
      <c r="D362" s="80"/>
      <c r="E362" s="80"/>
      <c r="F362" s="88"/>
      <c r="G362" s="80"/>
      <c r="H362" s="80"/>
      <c r="I362" s="83" t="str">
        <f aca="false">IF(F362="","",IF(I361="",F362,I361+F362))</f>
        <v/>
      </c>
      <c r="J362" s="80"/>
    </row>
    <row r="363" customFormat="false" ht="15.75" hidden="false" customHeight="true" outlineLevel="0" collapsed="false">
      <c r="A363" s="66" t="n">
        <v>359</v>
      </c>
      <c r="B363" s="70"/>
      <c r="C363" s="72"/>
      <c r="D363" s="72"/>
      <c r="E363" s="72"/>
      <c r="F363" s="87"/>
      <c r="G363" s="72"/>
      <c r="H363" s="72"/>
      <c r="I363" s="75" t="str">
        <f aca="false">IF(F363="","",IF(I362="",F363,I362+F363))</f>
        <v/>
      </c>
      <c r="J363" s="72"/>
    </row>
    <row r="364" customFormat="false" ht="15.75" hidden="false" customHeight="true" outlineLevel="0" collapsed="false">
      <c r="A364" s="68" t="n">
        <v>360</v>
      </c>
      <c r="B364" s="78"/>
      <c r="C364" s="80"/>
      <c r="D364" s="80"/>
      <c r="E364" s="80"/>
      <c r="F364" s="88"/>
      <c r="G364" s="80"/>
      <c r="H364" s="80"/>
      <c r="I364" s="83" t="str">
        <f aca="false">IF(F364="","",IF(I363="",F364,I363+F364))</f>
        <v/>
      </c>
      <c r="J364" s="80"/>
    </row>
    <row r="365" customFormat="false" ht="15.75" hidden="false" customHeight="true" outlineLevel="0" collapsed="false">
      <c r="A365" s="66" t="n">
        <v>361</v>
      </c>
      <c r="B365" s="70"/>
      <c r="C365" s="72"/>
      <c r="D365" s="72"/>
      <c r="E365" s="72"/>
      <c r="F365" s="87"/>
      <c r="G365" s="72"/>
      <c r="H365" s="72"/>
      <c r="I365" s="75" t="str">
        <f aca="false">IF(F365="","",IF(I364="",F365,I364+F365))</f>
        <v/>
      </c>
      <c r="J365" s="72"/>
    </row>
    <row r="366" customFormat="false" ht="15.75" hidden="false" customHeight="true" outlineLevel="0" collapsed="false">
      <c r="A366" s="68" t="n">
        <v>362</v>
      </c>
      <c r="B366" s="78"/>
      <c r="C366" s="80"/>
      <c r="D366" s="80"/>
      <c r="E366" s="80"/>
      <c r="F366" s="88"/>
      <c r="G366" s="80"/>
      <c r="H366" s="80"/>
      <c r="I366" s="83" t="str">
        <f aca="false">IF(F366="","",IF(I365="",F366,I365+F366))</f>
        <v/>
      </c>
      <c r="J366" s="80"/>
    </row>
    <row r="367" customFormat="false" ht="15.75" hidden="false" customHeight="true" outlineLevel="0" collapsed="false">
      <c r="A367" s="66" t="n">
        <v>363</v>
      </c>
      <c r="B367" s="70"/>
      <c r="C367" s="72"/>
      <c r="D367" s="72"/>
      <c r="E367" s="72"/>
      <c r="F367" s="87"/>
      <c r="G367" s="72"/>
      <c r="H367" s="72"/>
      <c r="I367" s="75" t="str">
        <f aca="false">IF(F367="","",IF(I366="",F367,I366+F367))</f>
        <v/>
      </c>
      <c r="J367" s="72"/>
    </row>
    <row r="368" customFormat="false" ht="15.75" hidden="false" customHeight="true" outlineLevel="0" collapsed="false">
      <c r="A368" s="68" t="n">
        <v>364</v>
      </c>
      <c r="B368" s="78"/>
      <c r="C368" s="80"/>
      <c r="D368" s="80"/>
      <c r="E368" s="80"/>
      <c r="F368" s="88"/>
      <c r="G368" s="80"/>
      <c r="H368" s="80"/>
      <c r="I368" s="83" t="str">
        <f aca="false">IF(F368="","",IF(I367="",F368,I367+F368))</f>
        <v/>
      </c>
      <c r="J368" s="80"/>
    </row>
    <row r="369" customFormat="false" ht="15.75" hidden="false" customHeight="true" outlineLevel="0" collapsed="false">
      <c r="A369" s="66" t="n">
        <v>365</v>
      </c>
      <c r="B369" s="70"/>
      <c r="C369" s="72"/>
      <c r="D369" s="72"/>
      <c r="E369" s="72"/>
      <c r="F369" s="87"/>
      <c r="G369" s="72"/>
      <c r="H369" s="72"/>
      <c r="I369" s="75" t="str">
        <f aca="false">IF(F369="","",IF(I368="",F369,I368+F369))</f>
        <v/>
      </c>
      <c r="J369" s="72"/>
    </row>
    <row r="370" customFormat="false" ht="15.75" hidden="false" customHeight="true" outlineLevel="0" collapsed="false">
      <c r="A370" s="68" t="n">
        <v>366</v>
      </c>
      <c r="B370" s="78"/>
      <c r="C370" s="80"/>
      <c r="D370" s="80"/>
      <c r="E370" s="80"/>
      <c r="F370" s="88"/>
      <c r="G370" s="80"/>
      <c r="H370" s="80"/>
      <c r="I370" s="83" t="str">
        <f aca="false">IF(F370="","",IF(I369="",F370,I369+F370))</f>
        <v/>
      </c>
      <c r="J370" s="80"/>
    </row>
    <row r="371" customFormat="false" ht="15.75" hidden="false" customHeight="true" outlineLevel="0" collapsed="false">
      <c r="A371" s="66" t="n">
        <v>367</v>
      </c>
      <c r="B371" s="70"/>
      <c r="C371" s="72"/>
      <c r="D371" s="72"/>
      <c r="E371" s="72"/>
      <c r="F371" s="87"/>
      <c r="G371" s="72"/>
      <c r="H371" s="72"/>
      <c r="I371" s="75" t="str">
        <f aca="false">IF(F371="","",IF(I370="",F371,I370+F371))</f>
        <v/>
      </c>
      <c r="J371" s="72"/>
    </row>
    <row r="372" customFormat="false" ht="15.75" hidden="false" customHeight="true" outlineLevel="0" collapsed="false">
      <c r="A372" s="68" t="n">
        <v>368</v>
      </c>
      <c r="B372" s="78"/>
      <c r="C372" s="80"/>
      <c r="D372" s="80"/>
      <c r="E372" s="80"/>
      <c r="F372" s="88"/>
      <c r="G372" s="80"/>
      <c r="H372" s="80"/>
      <c r="I372" s="83" t="str">
        <f aca="false">IF(F372="","",IF(I371="",F372,I371+F372))</f>
        <v/>
      </c>
      <c r="J372" s="80"/>
    </row>
    <row r="373" customFormat="false" ht="15.75" hidden="false" customHeight="true" outlineLevel="0" collapsed="false">
      <c r="A373" s="66" t="n">
        <v>369</v>
      </c>
      <c r="B373" s="70"/>
      <c r="C373" s="72"/>
      <c r="D373" s="72"/>
      <c r="E373" s="72"/>
      <c r="F373" s="87"/>
      <c r="G373" s="72"/>
      <c r="H373" s="72"/>
      <c r="I373" s="75" t="str">
        <f aca="false">IF(F373="","",IF(I372="",F373,I372+F373))</f>
        <v/>
      </c>
      <c r="J373" s="72"/>
    </row>
    <row r="374" customFormat="false" ht="15.75" hidden="false" customHeight="true" outlineLevel="0" collapsed="false">
      <c r="A374" s="68" t="n">
        <v>370</v>
      </c>
      <c r="B374" s="78"/>
      <c r="C374" s="80"/>
      <c r="D374" s="80"/>
      <c r="E374" s="80"/>
      <c r="F374" s="88"/>
      <c r="G374" s="80"/>
      <c r="H374" s="80"/>
      <c r="I374" s="83" t="str">
        <f aca="false">IF(F374="","",IF(I373="",F374,I373+F374))</f>
        <v/>
      </c>
      <c r="J374" s="80"/>
    </row>
    <row r="375" customFormat="false" ht="15.75" hidden="false" customHeight="true" outlineLevel="0" collapsed="false">
      <c r="A375" s="66" t="n">
        <v>371</v>
      </c>
      <c r="B375" s="70"/>
      <c r="C375" s="72"/>
      <c r="D375" s="72"/>
      <c r="E375" s="72"/>
      <c r="F375" s="87"/>
      <c r="G375" s="72"/>
      <c r="H375" s="72"/>
      <c r="I375" s="75" t="str">
        <f aca="false">IF(F375="","",IF(I374="",F375,I374+F375))</f>
        <v/>
      </c>
      <c r="J375" s="72"/>
    </row>
    <row r="376" customFormat="false" ht="15.75" hidden="false" customHeight="true" outlineLevel="0" collapsed="false">
      <c r="A376" s="68" t="n">
        <v>372</v>
      </c>
      <c r="B376" s="78"/>
      <c r="C376" s="80"/>
      <c r="D376" s="80"/>
      <c r="E376" s="80"/>
      <c r="F376" s="88"/>
      <c r="G376" s="80"/>
      <c r="H376" s="80"/>
      <c r="I376" s="83" t="str">
        <f aca="false">IF(F376="","",IF(I375="",F376,I375+F376))</f>
        <v/>
      </c>
      <c r="J376" s="80"/>
    </row>
    <row r="377" customFormat="false" ht="15.75" hidden="false" customHeight="true" outlineLevel="0" collapsed="false">
      <c r="A377" s="66" t="n">
        <v>373</v>
      </c>
      <c r="B377" s="70"/>
      <c r="C377" s="72"/>
      <c r="D377" s="72"/>
      <c r="E377" s="72"/>
      <c r="F377" s="87"/>
      <c r="G377" s="72"/>
      <c r="H377" s="72"/>
      <c r="I377" s="75" t="str">
        <f aca="false">IF(F377="","",IF(I376="",F377,I376+F377))</f>
        <v/>
      </c>
      <c r="J377" s="72"/>
    </row>
    <row r="378" customFormat="false" ht="15.75" hidden="false" customHeight="true" outlineLevel="0" collapsed="false">
      <c r="A378" s="68" t="n">
        <v>374</v>
      </c>
      <c r="B378" s="78"/>
      <c r="C378" s="80"/>
      <c r="D378" s="80"/>
      <c r="E378" s="80"/>
      <c r="F378" s="88"/>
      <c r="G378" s="80"/>
      <c r="H378" s="80"/>
      <c r="I378" s="83" t="str">
        <f aca="false">IF(F378="","",IF(I377="",F378,I377+F378))</f>
        <v/>
      </c>
      <c r="J378" s="80"/>
    </row>
    <row r="379" customFormat="false" ht="15.75" hidden="false" customHeight="true" outlineLevel="0" collapsed="false">
      <c r="A379" s="66" t="n">
        <v>375</v>
      </c>
      <c r="B379" s="70"/>
      <c r="C379" s="72"/>
      <c r="D379" s="72"/>
      <c r="E379" s="72"/>
      <c r="F379" s="87"/>
      <c r="G379" s="72"/>
      <c r="H379" s="72"/>
      <c r="I379" s="75" t="str">
        <f aca="false">IF(F379="","",IF(I378="",F379,I378+F379))</f>
        <v/>
      </c>
      <c r="J379" s="72"/>
    </row>
    <row r="380" customFormat="false" ht="15.75" hidden="false" customHeight="true" outlineLevel="0" collapsed="false">
      <c r="A380" s="68" t="n">
        <v>376</v>
      </c>
      <c r="B380" s="78"/>
      <c r="C380" s="80"/>
      <c r="D380" s="80"/>
      <c r="E380" s="80"/>
      <c r="F380" s="88"/>
      <c r="G380" s="80"/>
      <c r="H380" s="80"/>
      <c r="I380" s="83" t="str">
        <f aca="false">IF(F380="","",IF(I379="",F380,I379+F380))</f>
        <v/>
      </c>
      <c r="J380" s="80"/>
    </row>
    <row r="381" customFormat="false" ht="15.75" hidden="false" customHeight="true" outlineLevel="0" collapsed="false">
      <c r="A381" s="66" t="n">
        <v>377</v>
      </c>
      <c r="B381" s="70"/>
      <c r="C381" s="72"/>
      <c r="D381" s="72"/>
      <c r="E381" s="72"/>
      <c r="F381" s="87"/>
      <c r="G381" s="72"/>
      <c r="H381" s="72"/>
      <c r="I381" s="75" t="str">
        <f aca="false">IF(F381="","",IF(I380="",F381,I380+F381))</f>
        <v/>
      </c>
      <c r="J381" s="72"/>
    </row>
    <row r="382" customFormat="false" ht="15.75" hidden="false" customHeight="true" outlineLevel="0" collapsed="false">
      <c r="A382" s="68" t="n">
        <v>378</v>
      </c>
      <c r="B382" s="78"/>
      <c r="C382" s="80"/>
      <c r="D382" s="80"/>
      <c r="E382" s="80"/>
      <c r="F382" s="88"/>
      <c r="G382" s="80"/>
      <c r="H382" s="80"/>
      <c r="I382" s="83" t="str">
        <f aca="false">IF(F382="","",IF(I381="",F382,I381+F382))</f>
        <v/>
      </c>
      <c r="J382" s="80"/>
    </row>
    <row r="383" customFormat="false" ht="15.75" hidden="false" customHeight="true" outlineLevel="0" collapsed="false">
      <c r="A383" s="66" t="n">
        <v>379</v>
      </c>
      <c r="B383" s="70"/>
      <c r="C383" s="72"/>
      <c r="D383" s="72"/>
      <c r="E383" s="72"/>
      <c r="F383" s="87"/>
      <c r="G383" s="72"/>
      <c r="H383" s="72"/>
      <c r="I383" s="75" t="str">
        <f aca="false">IF(F383="","",IF(I382="",F383,I382+F383))</f>
        <v/>
      </c>
      <c r="J383" s="72"/>
    </row>
    <row r="384" customFormat="false" ht="15.75" hidden="false" customHeight="true" outlineLevel="0" collapsed="false">
      <c r="A384" s="68" t="n">
        <v>380</v>
      </c>
      <c r="B384" s="78"/>
      <c r="C384" s="80"/>
      <c r="D384" s="80"/>
      <c r="E384" s="80"/>
      <c r="F384" s="88"/>
      <c r="G384" s="80"/>
      <c r="H384" s="80"/>
      <c r="I384" s="83" t="str">
        <f aca="false">IF(F384="","",IF(I383="",F384,I383+F384))</f>
        <v/>
      </c>
      <c r="J384" s="80"/>
    </row>
    <row r="385" customFormat="false" ht="15.75" hidden="false" customHeight="true" outlineLevel="0" collapsed="false">
      <c r="A385" s="66" t="n">
        <v>381</v>
      </c>
      <c r="B385" s="70"/>
      <c r="C385" s="72"/>
      <c r="D385" s="72"/>
      <c r="E385" s="72"/>
      <c r="F385" s="87"/>
      <c r="G385" s="72"/>
      <c r="H385" s="72"/>
      <c r="I385" s="75" t="str">
        <f aca="false">IF(F385="","",IF(I384="",F385,I384+F385))</f>
        <v/>
      </c>
      <c r="J385" s="72"/>
    </row>
    <row r="386" customFormat="false" ht="15.75" hidden="false" customHeight="true" outlineLevel="0" collapsed="false">
      <c r="A386" s="68" t="n">
        <v>382</v>
      </c>
      <c r="B386" s="78"/>
      <c r="C386" s="80"/>
      <c r="D386" s="80"/>
      <c r="E386" s="80"/>
      <c r="F386" s="88"/>
      <c r="G386" s="80"/>
      <c r="H386" s="80"/>
      <c r="I386" s="83" t="str">
        <f aca="false">IF(F386="","",IF(I385="",F386,I385+F386))</f>
        <v/>
      </c>
      <c r="J386" s="80"/>
    </row>
    <row r="387" customFormat="false" ht="15.75" hidden="false" customHeight="true" outlineLevel="0" collapsed="false">
      <c r="A387" s="66" t="n">
        <v>383</v>
      </c>
      <c r="B387" s="70"/>
      <c r="C387" s="72"/>
      <c r="D387" s="72"/>
      <c r="E387" s="72"/>
      <c r="F387" s="87"/>
      <c r="G387" s="72"/>
      <c r="H387" s="72"/>
      <c r="I387" s="75" t="str">
        <f aca="false">IF(F387="","",IF(I386="",F387,I386+F387))</f>
        <v/>
      </c>
      <c r="J387" s="72"/>
    </row>
    <row r="388" customFormat="false" ht="15.75" hidden="false" customHeight="true" outlineLevel="0" collapsed="false">
      <c r="A388" s="68" t="n">
        <v>384</v>
      </c>
      <c r="B388" s="78"/>
      <c r="C388" s="80"/>
      <c r="D388" s="80"/>
      <c r="E388" s="80"/>
      <c r="F388" s="88"/>
      <c r="G388" s="80"/>
      <c r="H388" s="80"/>
      <c r="I388" s="83" t="str">
        <f aca="false">IF(F388="","",IF(I387="",F388,I387+F388))</f>
        <v/>
      </c>
      <c r="J388" s="80"/>
    </row>
    <row r="389" customFormat="false" ht="15.75" hidden="false" customHeight="true" outlineLevel="0" collapsed="false">
      <c r="A389" s="66" t="n">
        <v>385</v>
      </c>
      <c r="B389" s="70"/>
      <c r="C389" s="72"/>
      <c r="D389" s="72"/>
      <c r="E389" s="72"/>
      <c r="F389" s="87"/>
      <c r="G389" s="72"/>
      <c r="H389" s="72"/>
      <c r="I389" s="75" t="str">
        <f aca="false">IF(F389="","",IF(I388="",F389,I388+F389))</f>
        <v/>
      </c>
      <c r="J389" s="72"/>
    </row>
    <row r="390" customFormat="false" ht="15.75" hidden="false" customHeight="true" outlineLevel="0" collapsed="false">
      <c r="A390" s="68" t="n">
        <v>386</v>
      </c>
      <c r="B390" s="78"/>
      <c r="C390" s="80"/>
      <c r="D390" s="80"/>
      <c r="E390" s="80"/>
      <c r="F390" s="88"/>
      <c r="G390" s="80"/>
      <c r="H390" s="80"/>
      <c r="I390" s="83" t="str">
        <f aca="false">IF(F390="","",IF(I389="",F390,I389+F390))</f>
        <v/>
      </c>
      <c r="J390" s="80"/>
    </row>
    <row r="391" customFormat="false" ht="15.75" hidden="false" customHeight="true" outlineLevel="0" collapsed="false">
      <c r="A391" s="66" t="n">
        <v>387</v>
      </c>
      <c r="B391" s="70"/>
      <c r="C391" s="72"/>
      <c r="D391" s="72"/>
      <c r="E391" s="72"/>
      <c r="F391" s="87"/>
      <c r="G391" s="72"/>
      <c r="H391" s="72"/>
      <c r="I391" s="75" t="str">
        <f aca="false">IF(F391="","",IF(I390="",F391,I390+F391))</f>
        <v/>
      </c>
      <c r="J391" s="72"/>
    </row>
    <row r="392" customFormat="false" ht="15.75" hidden="false" customHeight="true" outlineLevel="0" collapsed="false">
      <c r="A392" s="68" t="n">
        <v>388</v>
      </c>
      <c r="B392" s="78"/>
      <c r="C392" s="80"/>
      <c r="D392" s="80"/>
      <c r="E392" s="80"/>
      <c r="F392" s="88"/>
      <c r="G392" s="80"/>
      <c r="H392" s="80"/>
      <c r="I392" s="83" t="str">
        <f aca="false">IF(F392="","",IF(I391="",F392,I391+F392))</f>
        <v/>
      </c>
      <c r="J392" s="80"/>
    </row>
    <row r="393" customFormat="false" ht="15.75" hidden="false" customHeight="true" outlineLevel="0" collapsed="false">
      <c r="A393" s="66" t="n">
        <v>389</v>
      </c>
      <c r="B393" s="70"/>
      <c r="C393" s="72"/>
      <c r="D393" s="72"/>
      <c r="E393" s="72"/>
      <c r="F393" s="87"/>
      <c r="G393" s="72"/>
      <c r="H393" s="72"/>
      <c r="I393" s="75" t="str">
        <f aca="false">IF(F393="","",IF(I392="",F393,I392+F393))</f>
        <v/>
      </c>
      <c r="J393" s="72"/>
    </row>
    <row r="394" customFormat="false" ht="15.75" hidden="false" customHeight="true" outlineLevel="0" collapsed="false">
      <c r="A394" s="68" t="n">
        <v>390</v>
      </c>
      <c r="B394" s="78"/>
      <c r="C394" s="80"/>
      <c r="D394" s="80"/>
      <c r="E394" s="80"/>
      <c r="F394" s="88"/>
      <c r="G394" s="80"/>
      <c r="H394" s="80"/>
      <c r="I394" s="83" t="str">
        <f aca="false">IF(F394="","",IF(I393="",F394,I393+F394))</f>
        <v/>
      </c>
      <c r="J394" s="80"/>
    </row>
    <row r="395" customFormat="false" ht="15.75" hidden="false" customHeight="true" outlineLevel="0" collapsed="false">
      <c r="A395" s="66" t="n">
        <v>391</v>
      </c>
      <c r="B395" s="70"/>
      <c r="C395" s="72"/>
      <c r="D395" s="72"/>
      <c r="E395" s="72"/>
      <c r="F395" s="87"/>
      <c r="G395" s="72"/>
      <c r="H395" s="72"/>
      <c r="I395" s="75" t="str">
        <f aca="false">IF(F395="","",IF(I394="",F395,I394+F395))</f>
        <v/>
      </c>
      <c r="J395" s="72"/>
    </row>
    <row r="396" customFormat="false" ht="15.75" hidden="false" customHeight="true" outlineLevel="0" collapsed="false">
      <c r="A396" s="68" t="n">
        <v>392</v>
      </c>
      <c r="B396" s="78"/>
      <c r="C396" s="80"/>
      <c r="D396" s="80"/>
      <c r="E396" s="80"/>
      <c r="F396" s="88"/>
      <c r="G396" s="80"/>
      <c r="H396" s="80"/>
      <c r="I396" s="83" t="str">
        <f aca="false">IF(F396="","",IF(I395="",F396,I395+F396))</f>
        <v/>
      </c>
      <c r="J396" s="80"/>
    </row>
    <row r="397" customFormat="false" ht="15.75" hidden="false" customHeight="true" outlineLevel="0" collapsed="false">
      <c r="A397" s="66" t="n">
        <v>393</v>
      </c>
      <c r="B397" s="70"/>
      <c r="C397" s="72"/>
      <c r="D397" s="72"/>
      <c r="E397" s="72"/>
      <c r="F397" s="87"/>
      <c r="G397" s="72"/>
      <c r="H397" s="72"/>
      <c r="I397" s="75" t="str">
        <f aca="false">IF(F397="","",IF(I396="",F397,I396+F397))</f>
        <v/>
      </c>
      <c r="J397" s="72"/>
    </row>
    <row r="398" customFormat="false" ht="15.75" hidden="false" customHeight="true" outlineLevel="0" collapsed="false">
      <c r="A398" s="68" t="n">
        <v>394</v>
      </c>
      <c r="B398" s="78"/>
      <c r="C398" s="80"/>
      <c r="D398" s="80"/>
      <c r="E398" s="80"/>
      <c r="F398" s="88"/>
      <c r="G398" s="80"/>
      <c r="H398" s="80"/>
      <c r="I398" s="83" t="str">
        <f aca="false">IF(F398="","",IF(I397="",F398,I397+F398))</f>
        <v/>
      </c>
      <c r="J398" s="80"/>
    </row>
    <row r="399" customFormat="false" ht="15.75" hidden="false" customHeight="true" outlineLevel="0" collapsed="false">
      <c r="A399" s="66" t="n">
        <v>395</v>
      </c>
      <c r="B399" s="70"/>
      <c r="C399" s="72"/>
      <c r="D399" s="72"/>
      <c r="E399" s="72"/>
      <c r="F399" s="87"/>
      <c r="G399" s="72"/>
      <c r="H399" s="72"/>
      <c r="I399" s="75" t="str">
        <f aca="false">IF(F399="","",IF(I398="",F399,I398+F399))</f>
        <v/>
      </c>
      <c r="J399" s="72"/>
    </row>
    <row r="400" customFormat="false" ht="15.75" hidden="false" customHeight="true" outlineLevel="0" collapsed="false">
      <c r="A400" s="68" t="n">
        <v>396</v>
      </c>
      <c r="B400" s="78"/>
      <c r="C400" s="80"/>
      <c r="D400" s="80"/>
      <c r="E400" s="80"/>
      <c r="F400" s="88"/>
      <c r="G400" s="80"/>
      <c r="H400" s="80"/>
      <c r="I400" s="83" t="str">
        <f aca="false">IF(F400="","",IF(I399="",F400,I399+F400))</f>
        <v/>
      </c>
      <c r="J400" s="80"/>
    </row>
    <row r="401" customFormat="false" ht="15.75" hidden="false" customHeight="true" outlineLevel="0" collapsed="false">
      <c r="A401" s="66" t="n">
        <v>397</v>
      </c>
      <c r="B401" s="70"/>
      <c r="C401" s="72"/>
      <c r="D401" s="72"/>
      <c r="E401" s="72"/>
      <c r="F401" s="87"/>
      <c r="G401" s="72"/>
      <c r="H401" s="72"/>
      <c r="I401" s="75" t="str">
        <f aca="false">IF(F401="","",IF(I400="",F401,I400+F401))</f>
        <v/>
      </c>
      <c r="J401" s="72"/>
    </row>
    <row r="402" customFormat="false" ht="15.75" hidden="false" customHeight="true" outlineLevel="0" collapsed="false">
      <c r="A402" s="68" t="n">
        <v>398</v>
      </c>
      <c r="B402" s="78"/>
      <c r="C402" s="80"/>
      <c r="D402" s="80"/>
      <c r="E402" s="80"/>
      <c r="F402" s="88"/>
      <c r="G402" s="80"/>
      <c r="H402" s="80"/>
      <c r="I402" s="83" t="str">
        <f aca="false">IF(F402="","",IF(I401="",F402,I401+F402))</f>
        <v/>
      </c>
      <c r="J402" s="80"/>
    </row>
    <row r="403" customFormat="false" ht="15.75" hidden="false" customHeight="true" outlineLevel="0" collapsed="false">
      <c r="A403" s="66" t="n">
        <v>399</v>
      </c>
      <c r="B403" s="70"/>
      <c r="C403" s="72"/>
      <c r="D403" s="72"/>
      <c r="E403" s="72"/>
      <c r="F403" s="87"/>
      <c r="G403" s="72"/>
      <c r="H403" s="72"/>
      <c r="I403" s="75" t="str">
        <f aca="false">IF(F403="","",IF(I402="",F403,I402+F403))</f>
        <v/>
      </c>
      <c r="J403" s="72"/>
    </row>
    <row r="404" customFormat="false" ht="15.75" hidden="false" customHeight="true" outlineLevel="0" collapsed="false">
      <c r="A404" s="68" t="n">
        <v>400</v>
      </c>
      <c r="B404" s="78"/>
      <c r="C404" s="80"/>
      <c r="D404" s="80"/>
      <c r="E404" s="80"/>
      <c r="F404" s="88"/>
      <c r="G404" s="80"/>
      <c r="H404" s="80"/>
      <c r="I404" s="83" t="str">
        <f aca="false">IF(F404="","",IF(I403="",F404,I403+F404))</f>
        <v/>
      </c>
      <c r="J404" s="80"/>
    </row>
    <row r="405" customFormat="false" ht="15.75" hidden="false" customHeight="true" outlineLevel="0" collapsed="false">
      <c r="A405" s="66" t="n">
        <v>401</v>
      </c>
      <c r="B405" s="70"/>
      <c r="C405" s="72"/>
      <c r="D405" s="72"/>
      <c r="E405" s="72"/>
      <c r="F405" s="87"/>
      <c r="G405" s="72"/>
      <c r="H405" s="72"/>
      <c r="I405" s="75" t="str">
        <f aca="false">IF(F405="","",IF(I404="",F405,I404+F405))</f>
        <v/>
      </c>
      <c r="J405" s="72"/>
    </row>
    <row r="406" customFormat="false" ht="15.75" hidden="false" customHeight="true" outlineLevel="0" collapsed="false">
      <c r="A406" s="68" t="n">
        <v>402</v>
      </c>
      <c r="B406" s="78"/>
      <c r="C406" s="80"/>
      <c r="D406" s="80"/>
      <c r="E406" s="80"/>
      <c r="F406" s="88"/>
      <c r="G406" s="80"/>
      <c r="H406" s="80"/>
      <c r="I406" s="83" t="str">
        <f aca="false">IF(F406="","",IF(I405="",F406,I405+F406))</f>
        <v/>
      </c>
      <c r="J406" s="80"/>
    </row>
    <row r="407" customFormat="false" ht="15.75" hidden="false" customHeight="true" outlineLevel="0" collapsed="false">
      <c r="A407" s="66" t="n">
        <v>403</v>
      </c>
      <c r="B407" s="70"/>
      <c r="C407" s="72"/>
      <c r="D407" s="72"/>
      <c r="E407" s="72"/>
      <c r="F407" s="87"/>
      <c r="G407" s="72"/>
      <c r="H407" s="72"/>
      <c r="I407" s="75" t="str">
        <f aca="false">IF(F407="","",IF(I406="",F407,I406+F407))</f>
        <v/>
      </c>
      <c r="J407" s="72"/>
    </row>
    <row r="408" customFormat="false" ht="15.75" hidden="false" customHeight="true" outlineLevel="0" collapsed="false">
      <c r="A408" s="68" t="n">
        <v>404</v>
      </c>
      <c r="B408" s="78"/>
      <c r="C408" s="80"/>
      <c r="D408" s="80"/>
      <c r="E408" s="80"/>
      <c r="F408" s="88"/>
      <c r="G408" s="80"/>
      <c r="H408" s="80"/>
      <c r="I408" s="83" t="str">
        <f aca="false">IF(F408="","",IF(I407="",F408,I407+F408))</f>
        <v/>
      </c>
      <c r="J408" s="80"/>
    </row>
    <row r="409" customFormat="false" ht="15.75" hidden="false" customHeight="true" outlineLevel="0" collapsed="false">
      <c r="A409" s="66" t="n">
        <v>405</v>
      </c>
      <c r="B409" s="70"/>
      <c r="C409" s="72"/>
      <c r="D409" s="72"/>
      <c r="E409" s="72"/>
      <c r="F409" s="87"/>
      <c r="G409" s="72"/>
      <c r="H409" s="72"/>
      <c r="I409" s="75" t="str">
        <f aca="false">IF(F409="","",IF(I408="",F409,I408+F409))</f>
        <v/>
      </c>
      <c r="J409" s="72"/>
    </row>
    <row r="410" customFormat="false" ht="15.75" hidden="false" customHeight="true" outlineLevel="0" collapsed="false">
      <c r="A410" s="68" t="n">
        <v>406</v>
      </c>
      <c r="B410" s="78"/>
      <c r="C410" s="80"/>
      <c r="D410" s="80"/>
      <c r="E410" s="80"/>
      <c r="F410" s="88"/>
      <c r="G410" s="80"/>
      <c r="H410" s="80"/>
      <c r="I410" s="83" t="str">
        <f aca="false">IF(F410="","",IF(I409="",F410,I409+F410))</f>
        <v/>
      </c>
      <c r="J410" s="80"/>
    </row>
    <row r="411" customFormat="false" ht="15.75" hidden="false" customHeight="true" outlineLevel="0" collapsed="false">
      <c r="A411" s="66" t="n">
        <v>407</v>
      </c>
      <c r="B411" s="70"/>
      <c r="C411" s="72"/>
      <c r="D411" s="72"/>
      <c r="E411" s="72"/>
      <c r="F411" s="87"/>
      <c r="G411" s="72"/>
      <c r="H411" s="72"/>
      <c r="I411" s="75" t="str">
        <f aca="false">IF(F411="","",IF(I410="",F411,I410+F411))</f>
        <v/>
      </c>
      <c r="J411" s="72"/>
    </row>
    <row r="412" customFormat="false" ht="15.75" hidden="false" customHeight="true" outlineLevel="0" collapsed="false">
      <c r="A412" s="68" t="n">
        <v>408</v>
      </c>
      <c r="B412" s="78"/>
      <c r="C412" s="80"/>
      <c r="D412" s="80"/>
      <c r="E412" s="80"/>
      <c r="F412" s="88"/>
      <c r="G412" s="80"/>
      <c r="H412" s="80"/>
      <c r="I412" s="83" t="str">
        <f aca="false">IF(F412="","",IF(I411="",F412,I411+F412))</f>
        <v/>
      </c>
      <c r="J412" s="80"/>
    </row>
    <row r="413" customFormat="false" ht="15.75" hidden="false" customHeight="true" outlineLevel="0" collapsed="false">
      <c r="A413" s="66" t="n">
        <v>409</v>
      </c>
      <c r="B413" s="70"/>
      <c r="C413" s="72"/>
      <c r="D413" s="72"/>
      <c r="E413" s="72"/>
      <c r="F413" s="87"/>
      <c r="G413" s="72"/>
      <c r="H413" s="72"/>
      <c r="I413" s="75" t="str">
        <f aca="false">IF(F413="","",IF(I412="",F413,I412+F413))</f>
        <v/>
      </c>
      <c r="J413" s="72"/>
    </row>
    <row r="414" customFormat="false" ht="15.75" hidden="false" customHeight="true" outlineLevel="0" collapsed="false">
      <c r="A414" s="68" t="n">
        <v>410</v>
      </c>
      <c r="B414" s="78"/>
      <c r="C414" s="80"/>
      <c r="D414" s="80"/>
      <c r="E414" s="80"/>
      <c r="F414" s="88"/>
      <c r="G414" s="80"/>
      <c r="H414" s="80"/>
      <c r="I414" s="83" t="str">
        <f aca="false">IF(F414="","",IF(I413="",F414,I413+F414))</f>
        <v/>
      </c>
      <c r="J414" s="80"/>
    </row>
    <row r="415" customFormat="false" ht="15.75" hidden="false" customHeight="true" outlineLevel="0" collapsed="false">
      <c r="A415" s="66" t="n">
        <v>411</v>
      </c>
      <c r="B415" s="70"/>
      <c r="C415" s="72"/>
      <c r="D415" s="72"/>
      <c r="E415" s="72"/>
      <c r="F415" s="87"/>
      <c r="G415" s="72"/>
      <c r="H415" s="72"/>
      <c r="I415" s="75" t="str">
        <f aca="false">IF(F415="","",IF(I414="",F415,I414+F415))</f>
        <v/>
      </c>
      <c r="J415" s="72"/>
    </row>
    <row r="416" customFormat="false" ht="15.75" hidden="false" customHeight="true" outlineLevel="0" collapsed="false">
      <c r="A416" s="68" t="n">
        <v>412</v>
      </c>
      <c r="B416" s="78"/>
      <c r="C416" s="80"/>
      <c r="D416" s="80"/>
      <c r="E416" s="80"/>
      <c r="F416" s="88"/>
      <c r="G416" s="80"/>
      <c r="H416" s="80"/>
      <c r="I416" s="83" t="str">
        <f aca="false">IF(F416="","",IF(I415="",F416,I415+F416))</f>
        <v/>
      </c>
      <c r="J416" s="80"/>
    </row>
    <row r="417" customFormat="false" ht="15.75" hidden="false" customHeight="true" outlineLevel="0" collapsed="false">
      <c r="A417" s="66" t="n">
        <v>413</v>
      </c>
      <c r="B417" s="70"/>
      <c r="C417" s="72"/>
      <c r="D417" s="72"/>
      <c r="E417" s="72"/>
      <c r="F417" s="87"/>
      <c r="G417" s="72"/>
      <c r="H417" s="72"/>
      <c r="I417" s="75" t="str">
        <f aca="false">IF(F417="","",IF(I416="",F417,I416+F417))</f>
        <v/>
      </c>
      <c r="J417" s="72"/>
    </row>
    <row r="418" customFormat="false" ht="15.75" hidden="false" customHeight="true" outlineLevel="0" collapsed="false">
      <c r="A418" s="68" t="n">
        <v>414</v>
      </c>
      <c r="B418" s="78"/>
      <c r="C418" s="80"/>
      <c r="D418" s="80"/>
      <c r="E418" s="80"/>
      <c r="F418" s="88"/>
      <c r="G418" s="80"/>
      <c r="H418" s="80"/>
      <c r="I418" s="83" t="str">
        <f aca="false">IF(F418="","",IF(I417="",F418,I417+F418))</f>
        <v/>
      </c>
      <c r="J418" s="80"/>
    </row>
    <row r="419" customFormat="false" ht="15.75" hidden="false" customHeight="true" outlineLevel="0" collapsed="false">
      <c r="A419" s="66" t="n">
        <v>415</v>
      </c>
      <c r="B419" s="70"/>
      <c r="C419" s="72"/>
      <c r="D419" s="72"/>
      <c r="E419" s="72"/>
      <c r="F419" s="87"/>
      <c r="G419" s="72"/>
      <c r="H419" s="72"/>
      <c r="I419" s="75" t="str">
        <f aca="false">IF(F419="","",IF(I418="",F419,I418+F419))</f>
        <v/>
      </c>
      <c r="J419" s="72"/>
    </row>
    <row r="420" customFormat="false" ht="15.75" hidden="false" customHeight="true" outlineLevel="0" collapsed="false">
      <c r="A420" s="68" t="n">
        <v>416</v>
      </c>
      <c r="B420" s="78"/>
      <c r="C420" s="80"/>
      <c r="D420" s="80"/>
      <c r="E420" s="80"/>
      <c r="F420" s="88"/>
      <c r="G420" s="80"/>
      <c r="H420" s="80"/>
      <c r="I420" s="83" t="str">
        <f aca="false">IF(F420="","",IF(I419="",F420,I419+F420))</f>
        <v/>
      </c>
      <c r="J420" s="80"/>
    </row>
    <row r="421" customFormat="false" ht="15.75" hidden="false" customHeight="true" outlineLevel="0" collapsed="false">
      <c r="A421" s="66" t="n">
        <v>417</v>
      </c>
      <c r="B421" s="70"/>
      <c r="C421" s="72"/>
      <c r="D421" s="72"/>
      <c r="E421" s="72"/>
      <c r="F421" s="87"/>
      <c r="G421" s="72"/>
      <c r="H421" s="72"/>
      <c r="I421" s="75" t="str">
        <f aca="false">IF(F421="","",IF(I420="",F421,I420+F421))</f>
        <v/>
      </c>
      <c r="J421" s="72"/>
    </row>
    <row r="422" customFormat="false" ht="15.75" hidden="false" customHeight="true" outlineLevel="0" collapsed="false">
      <c r="A422" s="68" t="n">
        <v>418</v>
      </c>
      <c r="B422" s="78"/>
      <c r="C422" s="80"/>
      <c r="D422" s="80"/>
      <c r="E422" s="80"/>
      <c r="F422" s="88"/>
      <c r="G422" s="80"/>
      <c r="H422" s="80"/>
      <c r="I422" s="83" t="str">
        <f aca="false">IF(F422="","",IF(I421="",F422,I421+F422))</f>
        <v/>
      </c>
      <c r="J422" s="80"/>
    </row>
    <row r="423" customFormat="false" ht="15.75" hidden="false" customHeight="true" outlineLevel="0" collapsed="false">
      <c r="A423" s="66" t="n">
        <v>419</v>
      </c>
      <c r="B423" s="70"/>
      <c r="C423" s="72"/>
      <c r="D423" s="72"/>
      <c r="E423" s="72"/>
      <c r="F423" s="87"/>
      <c r="G423" s="72"/>
      <c r="H423" s="72"/>
      <c r="I423" s="75" t="str">
        <f aca="false">IF(F423="","",IF(I422="",F423,I422+F423))</f>
        <v/>
      </c>
      <c r="J423" s="72"/>
    </row>
    <row r="424" customFormat="false" ht="15.75" hidden="false" customHeight="true" outlineLevel="0" collapsed="false">
      <c r="A424" s="68" t="n">
        <v>420</v>
      </c>
      <c r="B424" s="78"/>
      <c r="C424" s="80"/>
      <c r="D424" s="80"/>
      <c r="E424" s="80"/>
      <c r="F424" s="88"/>
      <c r="G424" s="80"/>
      <c r="H424" s="80"/>
      <c r="I424" s="83" t="str">
        <f aca="false">IF(F424="","",IF(I423="",F424,I423+F424))</f>
        <v/>
      </c>
      <c r="J424" s="80"/>
    </row>
    <row r="425" customFormat="false" ht="15.75" hidden="false" customHeight="true" outlineLevel="0" collapsed="false">
      <c r="A425" s="66" t="n">
        <v>421</v>
      </c>
      <c r="B425" s="70"/>
      <c r="C425" s="72"/>
      <c r="D425" s="72"/>
      <c r="E425" s="72"/>
      <c r="F425" s="87"/>
      <c r="G425" s="72"/>
      <c r="H425" s="72"/>
      <c r="I425" s="75" t="str">
        <f aca="false">IF(F425="","",IF(I424="",F425,I424+F425))</f>
        <v/>
      </c>
      <c r="J425" s="72"/>
    </row>
    <row r="426" customFormat="false" ht="15.75" hidden="false" customHeight="true" outlineLevel="0" collapsed="false">
      <c r="A426" s="68" t="n">
        <v>422</v>
      </c>
      <c r="B426" s="78"/>
      <c r="C426" s="80"/>
      <c r="D426" s="80"/>
      <c r="E426" s="80"/>
      <c r="F426" s="88"/>
      <c r="G426" s="80"/>
      <c r="H426" s="80"/>
      <c r="I426" s="83" t="str">
        <f aca="false">IF(F426="","",IF(I425="",F426,I425+F426))</f>
        <v/>
      </c>
      <c r="J426" s="80"/>
    </row>
    <row r="427" customFormat="false" ht="15.75" hidden="false" customHeight="true" outlineLevel="0" collapsed="false">
      <c r="A427" s="66" t="n">
        <v>423</v>
      </c>
      <c r="B427" s="70"/>
      <c r="C427" s="72"/>
      <c r="D427" s="72"/>
      <c r="E427" s="72"/>
      <c r="F427" s="87"/>
      <c r="G427" s="72"/>
      <c r="H427" s="72"/>
      <c r="I427" s="75" t="str">
        <f aca="false">IF(F427="","",IF(I426="",F427,I426+F427))</f>
        <v/>
      </c>
      <c r="J427" s="72"/>
    </row>
    <row r="428" customFormat="false" ht="15.75" hidden="false" customHeight="true" outlineLevel="0" collapsed="false">
      <c r="A428" s="68" t="n">
        <v>424</v>
      </c>
      <c r="B428" s="78"/>
      <c r="C428" s="80"/>
      <c r="D428" s="80"/>
      <c r="E428" s="80"/>
      <c r="F428" s="88"/>
      <c r="G428" s="80"/>
      <c r="H428" s="80"/>
      <c r="I428" s="83" t="str">
        <f aca="false">IF(F428="","",IF(I427="",F428,I427+F428))</f>
        <v/>
      </c>
      <c r="J428" s="80"/>
    </row>
    <row r="429" customFormat="false" ht="15.75" hidden="false" customHeight="true" outlineLevel="0" collapsed="false">
      <c r="A429" s="66" t="n">
        <v>425</v>
      </c>
      <c r="B429" s="70"/>
      <c r="C429" s="72"/>
      <c r="D429" s="72"/>
      <c r="E429" s="72"/>
      <c r="F429" s="87"/>
      <c r="G429" s="72"/>
      <c r="H429" s="72"/>
      <c r="I429" s="75" t="str">
        <f aca="false">IF(F429="","",IF(I428="",F429,I428+F429))</f>
        <v/>
      </c>
      <c r="J429" s="72"/>
    </row>
    <row r="430" customFormat="false" ht="15.75" hidden="false" customHeight="true" outlineLevel="0" collapsed="false">
      <c r="A430" s="68" t="n">
        <v>426</v>
      </c>
      <c r="B430" s="78"/>
      <c r="C430" s="80"/>
      <c r="D430" s="80"/>
      <c r="E430" s="80"/>
      <c r="F430" s="88"/>
      <c r="G430" s="80"/>
      <c r="H430" s="80"/>
      <c r="I430" s="83" t="str">
        <f aca="false">IF(F430="","",IF(I429="",F430,I429+F430))</f>
        <v/>
      </c>
      <c r="J430" s="80"/>
    </row>
    <row r="431" customFormat="false" ht="15.75" hidden="false" customHeight="true" outlineLevel="0" collapsed="false">
      <c r="A431" s="66" t="n">
        <v>427</v>
      </c>
      <c r="B431" s="70"/>
      <c r="C431" s="72"/>
      <c r="D431" s="72"/>
      <c r="E431" s="72"/>
      <c r="F431" s="87"/>
      <c r="G431" s="72"/>
      <c r="H431" s="72"/>
      <c r="I431" s="75" t="str">
        <f aca="false">IF(F431="","",IF(I430="",F431,I430+F431))</f>
        <v/>
      </c>
      <c r="J431" s="72"/>
    </row>
    <row r="432" customFormat="false" ht="15.75" hidden="false" customHeight="true" outlineLevel="0" collapsed="false">
      <c r="A432" s="68" t="n">
        <v>428</v>
      </c>
      <c r="B432" s="78"/>
      <c r="C432" s="80"/>
      <c r="D432" s="80"/>
      <c r="E432" s="80"/>
      <c r="F432" s="88"/>
      <c r="G432" s="80"/>
      <c r="H432" s="80"/>
      <c r="I432" s="83" t="str">
        <f aca="false">IF(F432="","",IF(I431="",F432,I431+F432))</f>
        <v/>
      </c>
      <c r="J432" s="80"/>
    </row>
    <row r="433" customFormat="false" ht="15.75" hidden="false" customHeight="true" outlineLevel="0" collapsed="false">
      <c r="A433" s="66" t="n">
        <v>429</v>
      </c>
      <c r="B433" s="70"/>
      <c r="C433" s="72"/>
      <c r="D433" s="72"/>
      <c r="E433" s="72"/>
      <c r="F433" s="87"/>
      <c r="G433" s="72"/>
      <c r="H433" s="72"/>
      <c r="I433" s="75" t="str">
        <f aca="false">IF(F433="","",IF(I432="",F433,I432+F433))</f>
        <v/>
      </c>
      <c r="J433" s="72"/>
    </row>
    <row r="434" customFormat="false" ht="15.75" hidden="false" customHeight="true" outlineLevel="0" collapsed="false">
      <c r="A434" s="68" t="n">
        <v>430</v>
      </c>
      <c r="B434" s="78"/>
      <c r="C434" s="80"/>
      <c r="D434" s="80"/>
      <c r="E434" s="80"/>
      <c r="F434" s="88"/>
      <c r="G434" s="80"/>
      <c r="H434" s="80"/>
      <c r="I434" s="83" t="str">
        <f aca="false">IF(F434="","",IF(I433="",F434,I433+F434))</f>
        <v/>
      </c>
      <c r="J434" s="80"/>
    </row>
    <row r="435" customFormat="false" ht="15.75" hidden="false" customHeight="true" outlineLevel="0" collapsed="false">
      <c r="A435" s="66" t="n">
        <v>431</v>
      </c>
      <c r="B435" s="70"/>
      <c r="C435" s="72"/>
      <c r="D435" s="72"/>
      <c r="E435" s="72"/>
      <c r="F435" s="87"/>
      <c r="G435" s="72"/>
      <c r="H435" s="72"/>
      <c r="I435" s="75" t="str">
        <f aca="false">IF(F435="","",IF(I434="",F435,I434+F435))</f>
        <v/>
      </c>
      <c r="J435" s="72"/>
    </row>
    <row r="436" customFormat="false" ht="15.75" hidden="false" customHeight="true" outlineLevel="0" collapsed="false">
      <c r="A436" s="68" t="n">
        <v>432</v>
      </c>
      <c r="B436" s="78"/>
      <c r="C436" s="80"/>
      <c r="D436" s="80"/>
      <c r="E436" s="80"/>
      <c r="F436" s="88"/>
      <c r="G436" s="80"/>
      <c r="H436" s="80"/>
      <c r="I436" s="83" t="str">
        <f aca="false">IF(F436="","",IF(I435="",F436,I435+F436))</f>
        <v/>
      </c>
      <c r="J436" s="80"/>
    </row>
    <row r="437" customFormat="false" ht="15.75" hidden="false" customHeight="true" outlineLevel="0" collapsed="false">
      <c r="A437" s="66" t="n">
        <v>433</v>
      </c>
      <c r="B437" s="70"/>
      <c r="C437" s="72"/>
      <c r="D437" s="72"/>
      <c r="E437" s="72"/>
      <c r="F437" s="87"/>
      <c r="G437" s="72"/>
      <c r="H437" s="72"/>
      <c r="I437" s="75" t="str">
        <f aca="false">IF(F437="","",IF(I436="",F437,I436+F437))</f>
        <v/>
      </c>
      <c r="J437" s="72"/>
    </row>
    <row r="438" customFormat="false" ht="15.75" hidden="false" customHeight="true" outlineLevel="0" collapsed="false">
      <c r="A438" s="68" t="n">
        <v>434</v>
      </c>
      <c r="B438" s="78"/>
      <c r="C438" s="80"/>
      <c r="D438" s="80"/>
      <c r="E438" s="80"/>
      <c r="F438" s="88"/>
      <c r="G438" s="80"/>
      <c r="H438" s="80"/>
      <c r="I438" s="83" t="str">
        <f aca="false">IF(F438="","",IF(I437="",F438,I437+F438))</f>
        <v/>
      </c>
      <c r="J438" s="80"/>
    </row>
    <row r="439" customFormat="false" ht="15.75" hidden="false" customHeight="true" outlineLevel="0" collapsed="false">
      <c r="A439" s="66" t="n">
        <v>435</v>
      </c>
      <c r="B439" s="70"/>
      <c r="C439" s="72"/>
      <c r="D439" s="72"/>
      <c r="E439" s="72"/>
      <c r="F439" s="87"/>
      <c r="G439" s="72"/>
      <c r="H439" s="72"/>
      <c r="I439" s="75" t="str">
        <f aca="false">IF(F439="","",IF(I438="",F439,I438+F439))</f>
        <v/>
      </c>
      <c r="J439" s="72"/>
    </row>
    <row r="440" customFormat="false" ht="15.75" hidden="false" customHeight="true" outlineLevel="0" collapsed="false">
      <c r="A440" s="68" t="n">
        <v>436</v>
      </c>
      <c r="B440" s="78"/>
      <c r="C440" s="80"/>
      <c r="D440" s="80"/>
      <c r="E440" s="80"/>
      <c r="F440" s="88"/>
      <c r="G440" s="80"/>
      <c r="H440" s="80"/>
      <c r="I440" s="83" t="str">
        <f aca="false">IF(F440="","",IF(I439="",F440,I439+F440))</f>
        <v/>
      </c>
      <c r="J440" s="80"/>
    </row>
    <row r="441" customFormat="false" ht="15.75" hidden="false" customHeight="true" outlineLevel="0" collapsed="false">
      <c r="A441" s="66" t="n">
        <v>437</v>
      </c>
      <c r="B441" s="70"/>
      <c r="C441" s="72"/>
      <c r="D441" s="72"/>
      <c r="E441" s="72"/>
      <c r="F441" s="87"/>
      <c r="G441" s="72"/>
      <c r="H441" s="72"/>
      <c r="I441" s="75" t="str">
        <f aca="false">IF(F441="","",IF(I440="",F441,I440+F441))</f>
        <v/>
      </c>
      <c r="J441" s="72"/>
    </row>
    <row r="442" customFormat="false" ht="15.75" hidden="false" customHeight="true" outlineLevel="0" collapsed="false">
      <c r="A442" s="68" t="n">
        <v>438</v>
      </c>
      <c r="B442" s="78"/>
      <c r="C442" s="80"/>
      <c r="D442" s="80"/>
      <c r="E442" s="80"/>
      <c r="F442" s="88"/>
      <c r="G442" s="80"/>
      <c r="H442" s="80"/>
      <c r="I442" s="83" t="str">
        <f aca="false">IF(F442="","",IF(I441="",F442,I441+F442))</f>
        <v/>
      </c>
      <c r="J442" s="80"/>
    </row>
    <row r="443" customFormat="false" ht="15.75" hidden="false" customHeight="true" outlineLevel="0" collapsed="false">
      <c r="A443" s="66" t="n">
        <v>439</v>
      </c>
      <c r="B443" s="70"/>
      <c r="C443" s="72"/>
      <c r="D443" s="72"/>
      <c r="E443" s="72"/>
      <c r="F443" s="87"/>
      <c r="G443" s="72"/>
      <c r="H443" s="72"/>
      <c r="I443" s="75" t="str">
        <f aca="false">IF(F443="","",IF(I442="",F443,I442+F443))</f>
        <v/>
      </c>
      <c r="J443" s="72"/>
    </row>
    <row r="444" customFormat="false" ht="15.75" hidden="false" customHeight="true" outlineLevel="0" collapsed="false">
      <c r="A444" s="68" t="n">
        <v>440</v>
      </c>
      <c r="B444" s="78"/>
      <c r="C444" s="80"/>
      <c r="D444" s="80"/>
      <c r="E444" s="80"/>
      <c r="F444" s="88"/>
      <c r="G444" s="80"/>
      <c r="H444" s="80"/>
      <c r="I444" s="83" t="str">
        <f aca="false">IF(F444="","",IF(I443="",F444,I443+F444))</f>
        <v/>
      </c>
      <c r="J444" s="80"/>
    </row>
    <row r="445" customFormat="false" ht="15.75" hidden="false" customHeight="true" outlineLevel="0" collapsed="false">
      <c r="A445" s="66" t="n">
        <v>441</v>
      </c>
      <c r="B445" s="70"/>
      <c r="C445" s="72"/>
      <c r="D445" s="72"/>
      <c r="E445" s="72"/>
      <c r="F445" s="87"/>
      <c r="G445" s="72"/>
      <c r="H445" s="72"/>
      <c r="I445" s="75" t="str">
        <f aca="false">IF(F445="","",IF(I444="",F445,I444+F445))</f>
        <v/>
      </c>
      <c r="J445" s="72"/>
    </row>
    <row r="446" customFormat="false" ht="15.75" hidden="false" customHeight="true" outlineLevel="0" collapsed="false">
      <c r="A446" s="68" t="n">
        <v>442</v>
      </c>
      <c r="B446" s="78"/>
      <c r="C446" s="80"/>
      <c r="D446" s="80"/>
      <c r="E446" s="80"/>
      <c r="F446" s="88"/>
      <c r="G446" s="80"/>
      <c r="H446" s="80"/>
      <c r="I446" s="83" t="str">
        <f aca="false">IF(F446="","",IF(I445="",F446,I445+F446))</f>
        <v/>
      </c>
      <c r="J446" s="80"/>
    </row>
    <row r="447" customFormat="false" ht="15.75" hidden="false" customHeight="true" outlineLevel="0" collapsed="false">
      <c r="A447" s="66" t="n">
        <v>443</v>
      </c>
      <c r="B447" s="70"/>
      <c r="C447" s="72"/>
      <c r="D447" s="72"/>
      <c r="E447" s="72"/>
      <c r="F447" s="87"/>
      <c r="G447" s="72"/>
      <c r="H447" s="72"/>
      <c r="I447" s="75" t="str">
        <f aca="false">IF(F447="","",IF(I446="",F447,I446+F447))</f>
        <v/>
      </c>
      <c r="J447" s="72"/>
    </row>
    <row r="448" customFormat="false" ht="15.75" hidden="false" customHeight="true" outlineLevel="0" collapsed="false">
      <c r="A448" s="68" t="n">
        <v>444</v>
      </c>
      <c r="B448" s="78"/>
      <c r="C448" s="80"/>
      <c r="D448" s="80"/>
      <c r="E448" s="80"/>
      <c r="F448" s="88"/>
      <c r="G448" s="80"/>
      <c r="H448" s="80"/>
      <c r="I448" s="83" t="str">
        <f aca="false">IF(F448="","",IF(I447="",F448,I447+F448))</f>
        <v/>
      </c>
      <c r="J448" s="80"/>
    </row>
    <row r="449" customFormat="false" ht="15.75" hidden="false" customHeight="true" outlineLevel="0" collapsed="false">
      <c r="A449" s="66" t="n">
        <v>445</v>
      </c>
      <c r="B449" s="70"/>
      <c r="C449" s="72"/>
      <c r="D449" s="72"/>
      <c r="E449" s="72"/>
      <c r="F449" s="87"/>
      <c r="G449" s="72"/>
      <c r="H449" s="72"/>
      <c r="I449" s="75" t="str">
        <f aca="false">IF(F449="","",IF(I448="",F449,I448+F449))</f>
        <v/>
      </c>
      <c r="J449" s="72"/>
    </row>
    <row r="450" customFormat="false" ht="15.75" hidden="false" customHeight="true" outlineLevel="0" collapsed="false">
      <c r="A450" s="68" t="n">
        <v>446</v>
      </c>
      <c r="B450" s="78"/>
      <c r="C450" s="80"/>
      <c r="D450" s="80"/>
      <c r="E450" s="80"/>
      <c r="F450" s="88"/>
      <c r="G450" s="80"/>
      <c r="H450" s="80"/>
      <c r="I450" s="83" t="str">
        <f aca="false">IF(F450="","",IF(I449="",F450,I449+F450))</f>
        <v/>
      </c>
      <c r="J450" s="80"/>
    </row>
    <row r="451" customFormat="false" ht="15.75" hidden="false" customHeight="true" outlineLevel="0" collapsed="false">
      <c r="A451" s="66" t="n">
        <v>447</v>
      </c>
      <c r="B451" s="70"/>
      <c r="C451" s="72"/>
      <c r="D451" s="72"/>
      <c r="E451" s="72"/>
      <c r="F451" s="87"/>
      <c r="G451" s="72"/>
      <c r="H451" s="72"/>
      <c r="I451" s="75" t="str">
        <f aca="false">IF(F451="","",IF(I450="",F451,I450+F451))</f>
        <v/>
      </c>
      <c r="J451" s="72"/>
    </row>
    <row r="452" customFormat="false" ht="15.75" hidden="false" customHeight="true" outlineLevel="0" collapsed="false">
      <c r="A452" s="68" t="n">
        <v>448</v>
      </c>
      <c r="B452" s="78"/>
      <c r="C452" s="80"/>
      <c r="D452" s="80"/>
      <c r="E452" s="80"/>
      <c r="F452" s="88"/>
      <c r="G452" s="80"/>
      <c r="H452" s="80"/>
      <c r="I452" s="83" t="str">
        <f aca="false">IF(F452="","",IF(I451="",F452,I451+F452))</f>
        <v/>
      </c>
      <c r="J452" s="80"/>
    </row>
    <row r="453" customFormat="false" ht="15.75" hidden="false" customHeight="true" outlineLevel="0" collapsed="false">
      <c r="A453" s="66" t="n">
        <v>449</v>
      </c>
      <c r="B453" s="70"/>
      <c r="C453" s="72"/>
      <c r="D453" s="72"/>
      <c r="E453" s="72"/>
      <c r="F453" s="87"/>
      <c r="G453" s="72"/>
      <c r="H453" s="72"/>
      <c r="I453" s="75" t="str">
        <f aca="false">IF(F453="","",IF(I452="",F453,I452+F453))</f>
        <v/>
      </c>
      <c r="J453" s="72"/>
    </row>
    <row r="454" customFormat="false" ht="15.75" hidden="false" customHeight="true" outlineLevel="0" collapsed="false">
      <c r="A454" s="68" t="n">
        <v>450</v>
      </c>
      <c r="B454" s="78"/>
      <c r="C454" s="80"/>
      <c r="D454" s="80"/>
      <c r="E454" s="80"/>
      <c r="F454" s="88"/>
      <c r="G454" s="80"/>
      <c r="H454" s="80"/>
      <c r="I454" s="83" t="str">
        <f aca="false">IF(F454="","",IF(I453="",F454,I453+F454))</f>
        <v/>
      </c>
      <c r="J454" s="80"/>
    </row>
    <row r="455" customFormat="false" ht="15.75" hidden="false" customHeight="true" outlineLevel="0" collapsed="false">
      <c r="A455" s="66" t="n">
        <v>451</v>
      </c>
      <c r="B455" s="70"/>
      <c r="C455" s="72"/>
      <c r="D455" s="72"/>
      <c r="E455" s="72"/>
      <c r="F455" s="87"/>
      <c r="G455" s="72"/>
      <c r="H455" s="72"/>
      <c r="I455" s="75" t="str">
        <f aca="false">IF(F455="","",IF(I454="",F455,I454+F455))</f>
        <v/>
      </c>
      <c r="J455" s="72"/>
    </row>
    <row r="456" customFormat="false" ht="15.75" hidden="false" customHeight="true" outlineLevel="0" collapsed="false">
      <c r="A456" s="68" t="n">
        <v>452</v>
      </c>
      <c r="B456" s="78"/>
      <c r="C456" s="80"/>
      <c r="D456" s="80"/>
      <c r="E456" s="80"/>
      <c r="F456" s="88"/>
      <c r="G456" s="80"/>
      <c r="H456" s="80"/>
      <c r="I456" s="83" t="str">
        <f aca="false">IF(F456="","",IF(I455="",F456,I455+F456))</f>
        <v/>
      </c>
      <c r="J456" s="80"/>
    </row>
    <row r="457" customFormat="false" ht="15.75" hidden="false" customHeight="true" outlineLevel="0" collapsed="false">
      <c r="A457" s="66" t="n">
        <v>453</v>
      </c>
      <c r="B457" s="70"/>
      <c r="C457" s="72"/>
      <c r="D457" s="72"/>
      <c r="E457" s="72"/>
      <c r="F457" s="87"/>
      <c r="G457" s="72"/>
      <c r="H457" s="72"/>
      <c r="I457" s="75" t="str">
        <f aca="false">IF(F457="","",IF(I456="",F457,I456+F457))</f>
        <v/>
      </c>
      <c r="J457" s="72"/>
    </row>
    <row r="458" customFormat="false" ht="15.75" hidden="false" customHeight="true" outlineLevel="0" collapsed="false">
      <c r="A458" s="68" t="n">
        <v>454</v>
      </c>
      <c r="B458" s="78"/>
      <c r="C458" s="80"/>
      <c r="D458" s="80"/>
      <c r="E458" s="80"/>
      <c r="F458" s="88"/>
      <c r="G458" s="80"/>
      <c r="H458" s="80"/>
      <c r="I458" s="83" t="str">
        <f aca="false">IF(F458="","",IF(I457="",F458,I457+F458))</f>
        <v/>
      </c>
      <c r="J458" s="80"/>
    </row>
    <row r="459" customFormat="false" ht="15.75" hidden="false" customHeight="true" outlineLevel="0" collapsed="false">
      <c r="A459" s="66" t="n">
        <v>455</v>
      </c>
      <c r="B459" s="70"/>
      <c r="C459" s="72"/>
      <c r="D459" s="72"/>
      <c r="E459" s="72"/>
      <c r="F459" s="87"/>
      <c r="G459" s="72"/>
      <c r="H459" s="72"/>
      <c r="I459" s="75" t="str">
        <f aca="false">IF(F459="","",IF(I458="",F459,I458+F459))</f>
        <v/>
      </c>
      <c r="J459" s="72"/>
    </row>
    <row r="460" customFormat="false" ht="15.75" hidden="false" customHeight="true" outlineLevel="0" collapsed="false">
      <c r="A460" s="68" t="n">
        <v>456</v>
      </c>
      <c r="B460" s="78"/>
      <c r="C460" s="80"/>
      <c r="D460" s="80"/>
      <c r="E460" s="80"/>
      <c r="F460" s="88"/>
      <c r="G460" s="80"/>
      <c r="H460" s="80"/>
      <c r="I460" s="83" t="str">
        <f aca="false">IF(F460="","",IF(I459="",F460,I459+F460))</f>
        <v/>
      </c>
      <c r="J460" s="80"/>
    </row>
    <row r="461" customFormat="false" ht="15.75" hidden="false" customHeight="true" outlineLevel="0" collapsed="false">
      <c r="A461" s="66" t="n">
        <v>457</v>
      </c>
      <c r="B461" s="70"/>
      <c r="C461" s="72"/>
      <c r="D461" s="72"/>
      <c r="E461" s="72"/>
      <c r="F461" s="87"/>
      <c r="G461" s="72"/>
      <c r="H461" s="72"/>
      <c r="I461" s="75" t="str">
        <f aca="false">IF(F461="","",IF(I460="",F461,I460+F461))</f>
        <v/>
      </c>
      <c r="J461" s="72"/>
    </row>
    <row r="462" customFormat="false" ht="15.75" hidden="false" customHeight="true" outlineLevel="0" collapsed="false">
      <c r="A462" s="68" t="n">
        <v>458</v>
      </c>
      <c r="B462" s="78"/>
      <c r="C462" s="80"/>
      <c r="D462" s="80"/>
      <c r="E462" s="80"/>
      <c r="F462" s="88"/>
      <c r="G462" s="80"/>
      <c r="H462" s="80"/>
      <c r="I462" s="83" t="str">
        <f aca="false">IF(F462="","",IF(I461="",F462,I461+F462))</f>
        <v/>
      </c>
      <c r="J462" s="80"/>
    </row>
    <row r="463" customFormat="false" ht="15.75" hidden="false" customHeight="true" outlineLevel="0" collapsed="false">
      <c r="A463" s="66" t="n">
        <v>459</v>
      </c>
      <c r="B463" s="70"/>
      <c r="C463" s="72"/>
      <c r="D463" s="72"/>
      <c r="E463" s="72"/>
      <c r="F463" s="87"/>
      <c r="G463" s="72"/>
      <c r="H463" s="72"/>
      <c r="I463" s="75" t="str">
        <f aca="false">IF(F463="","",IF(I462="",F463,I462+F463))</f>
        <v/>
      </c>
      <c r="J463" s="72"/>
    </row>
    <row r="464" customFormat="false" ht="15.75" hidden="false" customHeight="true" outlineLevel="0" collapsed="false">
      <c r="A464" s="68" t="n">
        <v>460</v>
      </c>
      <c r="B464" s="78"/>
      <c r="C464" s="80"/>
      <c r="D464" s="80"/>
      <c r="E464" s="80"/>
      <c r="F464" s="88"/>
      <c r="G464" s="80"/>
      <c r="H464" s="80"/>
      <c r="I464" s="83" t="str">
        <f aca="false">IF(F464="","",IF(I463="",F464,I463+F464))</f>
        <v/>
      </c>
      <c r="J464" s="80"/>
    </row>
    <row r="465" customFormat="false" ht="15.75" hidden="false" customHeight="true" outlineLevel="0" collapsed="false">
      <c r="A465" s="66" t="n">
        <v>461</v>
      </c>
      <c r="B465" s="70"/>
      <c r="C465" s="72"/>
      <c r="D465" s="72"/>
      <c r="E465" s="72"/>
      <c r="F465" s="87"/>
      <c r="G465" s="72"/>
      <c r="H465" s="72"/>
      <c r="I465" s="75" t="str">
        <f aca="false">IF(F465="","",IF(I464="",F465,I464+F465))</f>
        <v/>
      </c>
      <c r="J465" s="72"/>
    </row>
    <row r="466" customFormat="false" ht="15.75" hidden="false" customHeight="true" outlineLevel="0" collapsed="false">
      <c r="A466" s="68" t="n">
        <v>462</v>
      </c>
      <c r="B466" s="78"/>
      <c r="C466" s="80"/>
      <c r="D466" s="80"/>
      <c r="E466" s="80"/>
      <c r="F466" s="88"/>
      <c r="G466" s="80"/>
      <c r="H466" s="80"/>
      <c r="I466" s="83" t="str">
        <f aca="false">IF(F466="","",IF(I465="",F466,I465+F466))</f>
        <v/>
      </c>
      <c r="J466" s="80"/>
    </row>
    <row r="467" customFormat="false" ht="15.75" hidden="false" customHeight="true" outlineLevel="0" collapsed="false">
      <c r="A467" s="66" t="n">
        <v>463</v>
      </c>
      <c r="B467" s="70"/>
      <c r="C467" s="72"/>
      <c r="D467" s="72"/>
      <c r="E467" s="72"/>
      <c r="F467" s="87"/>
      <c r="G467" s="72"/>
      <c r="H467" s="72"/>
      <c r="I467" s="75" t="str">
        <f aca="false">IF(F467="","",IF(I466="",F467,I466+F467))</f>
        <v/>
      </c>
      <c r="J467" s="72"/>
    </row>
    <row r="468" customFormat="false" ht="15.75" hidden="false" customHeight="true" outlineLevel="0" collapsed="false">
      <c r="A468" s="68" t="n">
        <v>464</v>
      </c>
      <c r="B468" s="78"/>
      <c r="C468" s="80"/>
      <c r="D468" s="80"/>
      <c r="E468" s="80"/>
      <c r="F468" s="88"/>
      <c r="G468" s="80"/>
      <c r="H468" s="80"/>
      <c r="I468" s="83" t="str">
        <f aca="false">IF(F468="","",IF(I467="",F468,I467+F468))</f>
        <v/>
      </c>
      <c r="J468" s="80"/>
    </row>
    <row r="469" customFormat="false" ht="15.75" hidden="false" customHeight="true" outlineLevel="0" collapsed="false">
      <c r="A469" s="66" t="n">
        <v>465</v>
      </c>
      <c r="B469" s="70"/>
      <c r="C469" s="72"/>
      <c r="D469" s="72"/>
      <c r="E469" s="72"/>
      <c r="F469" s="87"/>
      <c r="G469" s="72"/>
      <c r="H469" s="72"/>
      <c r="I469" s="75" t="str">
        <f aca="false">IF(F469="","",IF(I468="",F469,I468+F469))</f>
        <v/>
      </c>
      <c r="J469" s="72"/>
    </row>
    <row r="470" customFormat="false" ht="15.75" hidden="false" customHeight="true" outlineLevel="0" collapsed="false">
      <c r="A470" s="68" t="n">
        <v>466</v>
      </c>
      <c r="B470" s="78"/>
      <c r="C470" s="80"/>
      <c r="D470" s="80"/>
      <c r="E470" s="80"/>
      <c r="F470" s="88"/>
      <c r="G470" s="80"/>
      <c r="H470" s="80"/>
      <c r="I470" s="83" t="str">
        <f aca="false">IF(F470="","",IF(I469="",F470,I469+F470))</f>
        <v/>
      </c>
      <c r="J470" s="80"/>
    </row>
    <row r="471" customFormat="false" ht="15.75" hidden="false" customHeight="true" outlineLevel="0" collapsed="false">
      <c r="A471" s="66" t="n">
        <v>467</v>
      </c>
      <c r="B471" s="70"/>
      <c r="C471" s="72"/>
      <c r="D471" s="72"/>
      <c r="E471" s="72"/>
      <c r="F471" s="87"/>
      <c r="G471" s="72"/>
      <c r="H471" s="72"/>
      <c r="I471" s="75" t="str">
        <f aca="false">IF(F471="","",IF(I470="",F471,I470+F471))</f>
        <v/>
      </c>
      <c r="J471" s="72"/>
    </row>
    <row r="472" customFormat="false" ht="15.75" hidden="false" customHeight="true" outlineLevel="0" collapsed="false">
      <c r="A472" s="68" t="n">
        <v>468</v>
      </c>
      <c r="B472" s="78"/>
      <c r="C472" s="80"/>
      <c r="D472" s="80"/>
      <c r="E472" s="80"/>
      <c r="F472" s="88"/>
      <c r="G472" s="80"/>
      <c r="H472" s="80"/>
      <c r="I472" s="83" t="str">
        <f aca="false">IF(F472="","",IF(I471="",F472,I471+F472))</f>
        <v/>
      </c>
      <c r="J472" s="80"/>
    </row>
    <row r="473" customFormat="false" ht="15.75" hidden="false" customHeight="true" outlineLevel="0" collapsed="false">
      <c r="A473" s="66" t="n">
        <v>469</v>
      </c>
      <c r="B473" s="70"/>
      <c r="C473" s="72"/>
      <c r="D473" s="72"/>
      <c r="E473" s="72"/>
      <c r="F473" s="87"/>
      <c r="G473" s="72"/>
      <c r="H473" s="72"/>
      <c r="I473" s="75" t="str">
        <f aca="false">IF(F473="","",IF(I472="",F473,I472+F473))</f>
        <v/>
      </c>
      <c r="J473" s="72"/>
    </row>
    <row r="474" customFormat="false" ht="15.75" hidden="false" customHeight="true" outlineLevel="0" collapsed="false">
      <c r="A474" s="68" t="n">
        <v>470</v>
      </c>
      <c r="B474" s="78"/>
      <c r="C474" s="80"/>
      <c r="D474" s="80"/>
      <c r="E474" s="80"/>
      <c r="F474" s="88"/>
      <c r="G474" s="80"/>
      <c r="H474" s="80"/>
      <c r="I474" s="83" t="str">
        <f aca="false">IF(F474="","",IF(I473="",F474,I473+F474))</f>
        <v/>
      </c>
      <c r="J474" s="80"/>
    </row>
    <row r="475" customFormat="false" ht="15.75" hidden="false" customHeight="true" outlineLevel="0" collapsed="false">
      <c r="A475" s="66" t="n">
        <v>471</v>
      </c>
      <c r="B475" s="70"/>
      <c r="C475" s="72"/>
      <c r="D475" s="72"/>
      <c r="E475" s="72"/>
      <c r="F475" s="87"/>
      <c r="G475" s="72"/>
      <c r="H475" s="72"/>
      <c r="I475" s="75" t="str">
        <f aca="false">IF(F475="","",IF(I474="",F475,I474+F475))</f>
        <v/>
      </c>
      <c r="J475" s="72"/>
    </row>
    <row r="476" customFormat="false" ht="15.75" hidden="false" customHeight="true" outlineLevel="0" collapsed="false">
      <c r="A476" s="68" t="n">
        <v>472</v>
      </c>
      <c r="B476" s="78"/>
      <c r="C476" s="80"/>
      <c r="D476" s="80"/>
      <c r="E476" s="80"/>
      <c r="F476" s="88"/>
      <c r="G476" s="80"/>
      <c r="H476" s="80"/>
      <c r="I476" s="83" t="str">
        <f aca="false">IF(F476="","",IF(I475="",F476,I475+F476))</f>
        <v/>
      </c>
      <c r="J476" s="80"/>
    </row>
    <row r="477" customFormat="false" ht="15.75" hidden="false" customHeight="true" outlineLevel="0" collapsed="false">
      <c r="A477" s="66" t="n">
        <v>473</v>
      </c>
      <c r="B477" s="70"/>
      <c r="C477" s="72"/>
      <c r="D477" s="72"/>
      <c r="E477" s="72"/>
      <c r="F477" s="87"/>
      <c r="G477" s="72"/>
      <c r="H477" s="72"/>
      <c r="I477" s="75" t="str">
        <f aca="false">IF(F477="","",IF(I476="",F477,I476+F477))</f>
        <v/>
      </c>
      <c r="J477" s="72"/>
    </row>
    <row r="478" customFormat="false" ht="15.75" hidden="false" customHeight="true" outlineLevel="0" collapsed="false">
      <c r="A478" s="68" t="n">
        <v>474</v>
      </c>
      <c r="B478" s="78"/>
      <c r="C478" s="80"/>
      <c r="D478" s="80"/>
      <c r="E478" s="80"/>
      <c r="F478" s="88"/>
      <c r="G478" s="80"/>
      <c r="H478" s="80"/>
      <c r="I478" s="83" t="str">
        <f aca="false">IF(F478="","",IF(I477="",F478,I477+F478))</f>
        <v/>
      </c>
      <c r="J478" s="80"/>
    </row>
    <row r="479" customFormat="false" ht="15.75" hidden="false" customHeight="true" outlineLevel="0" collapsed="false">
      <c r="A479" s="66" t="n">
        <v>475</v>
      </c>
      <c r="B479" s="70"/>
      <c r="C479" s="72"/>
      <c r="D479" s="72"/>
      <c r="E479" s="72"/>
      <c r="F479" s="87"/>
      <c r="G479" s="72"/>
      <c r="H479" s="72"/>
      <c r="I479" s="75" t="str">
        <f aca="false">IF(F479="","",IF(I478="",F479,I478+F479))</f>
        <v/>
      </c>
      <c r="J479" s="72"/>
    </row>
    <row r="480" customFormat="false" ht="15.75" hidden="false" customHeight="true" outlineLevel="0" collapsed="false">
      <c r="A480" s="68" t="n">
        <v>476</v>
      </c>
      <c r="B480" s="78"/>
      <c r="C480" s="80"/>
      <c r="D480" s="80"/>
      <c r="E480" s="80"/>
      <c r="F480" s="88"/>
      <c r="G480" s="80"/>
      <c r="H480" s="80"/>
      <c r="I480" s="83" t="str">
        <f aca="false">IF(F480="","",IF(I479="",F480,I479+F480))</f>
        <v/>
      </c>
      <c r="J480" s="80"/>
    </row>
    <row r="481" customFormat="false" ht="15.75" hidden="false" customHeight="true" outlineLevel="0" collapsed="false">
      <c r="A481" s="66" t="n">
        <v>477</v>
      </c>
      <c r="B481" s="70"/>
      <c r="C481" s="72"/>
      <c r="D481" s="72"/>
      <c r="E481" s="72"/>
      <c r="F481" s="87"/>
      <c r="G481" s="72"/>
      <c r="H481" s="72"/>
      <c r="I481" s="75" t="str">
        <f aca="false">IF(F481="","",IF(I480="",F481,I480+F481))</f>
        <v/>
      </c>
      <c r="J481" s="72"/>
    </row>
    <row r="482" customFormat="false" ht="15.75" hidden="false" customHeight="true" outlineLevel="0" collapsed="false">
      <c r="A482" s="68" t="n">
        <v>478</v>
      </c>
      <c r="B482" s="78"/>
      <c r="C482" s="80"/>
      <c r="D482" s="80"/>
      <c r="E482" s="80"/>
      <c r="F482" s="88"/>
      <c r="G482" s="80"/>
      <c r="H482" s="80"/>
      <c r="I482" s="83" t="str">
        <f aca="false">IF(F482="","",IF(I481="",F482,I481+F482))</f>
        <v/>
      </c>
      <c r="J482" s="80"/>
    </row>
    <row r="483" customFormat="false" ht="15.75" hidden="false" customHeight="true" outlineLevel="0" collapsed="false">
      <c r="A483" s="66" t="n">
        <v>479</v>
      </c>
      <c r="B483" s="70"/>
      <c r="C483" s="72"/>
      <c r="D483" s="72"/>
      <c r="E483" s="72"/>
      <c r="F483" s="87"/>
      <c r="G483" s="72"/>
      <c r="H483" s="72"/>
      <c r="I483" s="75" t="str">
        <f aca="false">IF(F483="","",IF(I482="",F483,I482+F483))</f>
        <v/>
      </c>
      <c r="J483" s="72"/>
    </row>
    <row r="484" customFormat="false" ht="15.75" hidden="false" customHeight="true" outlineLevel="0" collapsed="false">
      <c r="A484" s="68" t="n">
        <v>480</v>
      </c>
      <c r="B484" s="78"/>
      <c r="C484" s="80"/>
      <c r="D484" s="80"/>
      <c r="E484" s="80"/>
      <c r="F484" s="88"/>
      <c r="G484" s="80"/>
      <c r="H484" s="80"/>
      <c r="I484" s="83" t="str">
        <f aca="false">IF(F484="","",IF(I483="",F484,I483+F484))</f>
        <v/>
      </c>
      <c r="J484" s="80"/>
    </row>
    <row r="485" customFormat="false" ht="15.75" hidden="false" customHeight="true" outlineLevel="0" collapsed="false">
      <c r="A485" s="66" t="n">
        <v>481</v>
      </c>
      <c r="B485" s="70"/>
      <c r="C485" s="72"/>
      <c r="D485" s="72"/>
      <c r="E485" s="72"/>
      <c r="F485" s="87"/>
      <c r="G485" s="72"/>
      <c r="H485" s="72"/>
      <c r="I485" s="75" t="str">
        <f aca="false">IF(F485="","",IF(I484="",F485,I484+F485))</f>
        <v/>
      </c>
      <c r="J485" s="72"/>
    </row>
    <row r="486" customFormat="false" ht="15.75" hidden="false" customHeight="true" outlineLevel="0" collapsed="false">
      <c r="A486" s="68" t="n">
        <v>482</v>
      </c>
      <c r="B486" s="78"/>
      <c r="C486" s="80"/>
      <c r="D486" s="80"/>
      <c r="E486" s="80"/>
      <c r="F486" s="88"/>
      <c r="G486" s="80"/>
      <c r="H486" s="80"/>
      <c r="I486" s="83" t="str">
        <f aca="false">IF(F486="","",IF(I485="",F486,I485+F486))</f>
        <v/>
      </c>
      <c r="J486" s="80"/>
    </row>
    <row r="487" customFormat="false" ht="15.75" hidden="false" customHeight="true" outlineLevel="0" collapsed="false">
      <c r="A487" s="66" t="n">
        <v>483</v>
      </c>
      <c r="B487" s="70"/>
      <c r="C487" s="72"/>
      <c r="D487" s="72"/>
      <c r="E487" s="72"/>
      <c r="F487" s="87"/>
      <c r="G487" s="72"/>
      <c r="H487" s="72"/>
      <c r="I487" s="75" t="str">
        <f aca="false">IF(F487="","",IF(I486="",F487,I486+F487))</f>
        <v/>
      </c>
      <c r="J487" s="72"/>
    </row>
    <row r="488" customFormat="false" ht="15.75" hidden="false" customHeight="true" outlineLevel="0" collapsed="false">
      <c r="A488" s="68" t="n">
        <v>484</v>
      </c>
      <c r="B488" s="78"/>
      <c r="C488" s="80"/>
      <c r="D488" s="80"/>
      <c r="E488" s="80"/>
      <c r="F488" s="88"/>
      <c r="G488" s="80"/>
      <c r="H488" s="80"/>
      <c r="I488" s="83" t="str">
        <f aca="false">IF(F488="","",IF(I487="",F488,I487+F488))</f>
        <v/>
      </c>
      <c r="J488" s="80"/>
    </row>
    <row r="489" customFormat="false" ht="15.75" hidden="false" customHeight="true" outlineLevel="0" collapsed="false">
      <c r="A489" s="66" t="n">
        <v>485</v>
      </c>
      <c r="B489" s="70"/>
      <c r="C489" s="72"/>
      <c r="D489" s="72"/>
      <c r="E489" s="72"/>
      <c r="F489" s="87"/>
      <c r="G489" s="72"/>
      <c r="H489" s="72"/>
      <c r="I489" s="75" t="str">
        <f aca="false">IF(F489="","",IF(I488="",F489,I488+F489))</f>
        <v/>
      </c>
      <c r="J489" s="72"/>
    </row>
    <row r="490" customFormat="false" ht="15.75" hidden="false" customHeight="true" outlineLevel="0" collapsed="false">
      <c r="A490" s="68" t="n">
        <v>486</v>
      </c>
      <c r="B490" s="78"/>
      <c r="C490" s="80"/>
      <c r="D490" s="80"/>
      <c r="E490" s="80"/>
      <c r="F490" s="88"/>
      <c r="G490" s="80"/>
      <c r="H490" s="80"/>
      <c r="I490" s="83" t="str">
        <f aca="false">IF(F490="","",IF(I489="",F490,I489+F490))</f>
        <v/>
      </c>
      <c r="J490" s="80"/>
    </row>
    <row r="491" customFormat="false" ht="15.75" hidden="false" customHeight="true" outlineLevel="0" collapsed="false">
      <c r="A491" s="66" t="n">
        <v>487</v>
      </c>
      <c r="B491" s="70"/>
      <c r="C491" s="72"/>
      <c r="D491" s="72"/>
      <c r="E491" s="72"/>
      <c r="F491" s="87"/>
      <c r="G491" s="72"/>
      <c r="H491" s="72"/>
      <c r="I491" s="75" t="str">
        <f aca="false">IF(F491="","",IF(I490="",F491,I490+F491))</f>
        <v/>
      </c>
      <c r="J491" s="72"/>
    </row>
    <row r="492" customFormat="false" ht="15.75" hidden="false" customHeight="true" outlineLevel="0" collapsed="false">
      <c r="A492" s="68" t="n">
        <v>488</v>
      </c>
      <c r="B492" s="78"/>
      <c r="C492" s="80"/>
      <c r="D492" s="80"/>
      <c r="E492" s="80"/>
      <c r="F492" s="88"/>
      <c r="G492" s="80"/>
      <c r="H492" s="80"/>
      <c r="I492" s="83" t="str">
        <f aca="false">IF(F492="","",IF(I491="",F492,I491+F492))</f>
        <v/>
      </c>
      <c r="J492" s="80"/>
    </row>
    <row r="493" customFormat="false" ht="15.75" hidden="false" customHeight="true" outlineLevel="0" collapsed="false">
      <c r="A493" s="66" t="n">
        <v>489</v>
      </c>
      <c r="B493" s="70"/>
      <c r="C493" s="72"/>
      <c r="D493" s="72"/>
      <c r="E493" s="72"/>
      <c r="F493" s="87"/>
      <c r="G493" s="72"/>
      <c r="H493" s="72"/>
      <c r="I493" s="75" t="str">
        <f aca="false">IF(F493="","",IF(I492="",F493,I492+F493))</f>
        <v/>
      </c>
      <c r="J493" s="72"/>
    </row>
    <row r="494" customFormat="false" ht="15.75" hidden="false" customHeight="true" outlineLevel="0" collapsed="false">
      <c r="A494" s="68" t="n">
        <v>490</v>
      </c>
      <c r="B494" s="78"/>
      <c r="C494" s="80"/>
      <c r="D494" s="80"/>
      <c r="E494" s="80"/>
      <c r="F494" s="88"/>
      <c r="G494" s="80"/>
      <c r="H494" s="80"/>
      <c r="I494" s="83" t="str">
        <f aca="false">IF(F494="","",IF(I493="",F494,I493+F494))</f>
        <v/>
      </c>
      <c r="J494" s="80"/>
    </row>
    <row r="495" customFormat="false" ht="15.75" hidden="false" customHeight="true" outlineLevel="0" collapsed="false">
      <c r="A495" s="66" t="n">
        <v>491</v>
      </c>
      <c r="B495" s="70"/>
      <c r="C495" s="72"/>
      <c r="D495" s="72"/>
      <c r="E495" s="72"/>
      <c r="F495" s="87"/>
      <c r="G495" s="72"/>
      <c r="H495" s="72"/>
      <c r="I495" s="75" t="str">
        <f aca="false">IF(F495="","",IF(I494="",F495,I494+F495))</f>
        <v/>
      </c>
      <c r="J495" s="72"/>
    </row>
    <row r="496" customFormat="false" ht="15.75" hidden="false" customHeight="true" outlineLevel="0" collapsed="false">
      <c r="A496" s="68" t="n">
        <v>492</v>
      </c>
      <c r="B496" s="78"/>
      <c r="C496" s="80"/>
      <c r="D496" s="80"/>
      <c r="E496" s="80"/>
      <c r="F496" s="88"/>
      <c r="G496" s="80"/>
      <c r="H496" s="80"/>
      <c r="I496" s="83" t="str">
        <f aca="false">IF(F496="","",IF(I495="",F496,I495+F496))</f>
        <v/>
      </c>
      <c r="J496" s="80"/>
    </row>
    <row r="497" customFormat="false" ht="15.75" hidden="false" customHeight="true" outlineLevel="0" collapsed="false">
      <c r="A497" s="66" t="n">
        <v>493</v>
      </c>
      <c r="B497" s="70"/>
      <c r="C497" s="72"/>
      <c r="D497" s="72"/>
      <c r="E497" s="72"/>
      <c r="F497" s="87"/>
      <c r="G497" s="72"/>
      <c r="H497" s="72"/>
      <c r="I497" s="75" t="str">
        <f aca="false">IF(F497="","",IF(I496="",F497,I496+F497))</f>
        <v/>
      </c>
      <c r="J497" s="72"/>
    </row>
    <row r="498" customFormat="false" ht="15.75" hidden="false" customHeight="true" outlineLevel="0" collapsed="false">
      <c r="A498" s="68" t="n">
        <v>494</v>
      </c>
      <c r="B498" s="78"/>
      <c r="C498" s="80"/>
      <c r="D498" s="80"/>
      <c r="E498" s="80"/>
      <c r="F498" s="88"/>
      <c r="G498" s="80"/>
      <c r="H498" s="80"/>
      <c r="I498" s="83" t="str">
        <f aca="false">IF(F498="","",IF(I497="",F498,I497+F498))</f>
        <v/>
      </c>
      <c r="J498" s="80"/>
    </row>
    <row r="499" customFormat="false" ht="15.75" hidden="false" customHeight="true" outlineLevel="0" collapsed="false">
      <c r="A499" s="66" t="n">
        <v>495</v>
      </c>
      <c r="B499" s="70"/>
      <c r="C499" s="72"/>
      <c r="D499" s="72"/>
      <c r="E499" s="72"/>
      <c r="F499" s="87"/>
      <c r="G499" s="72"/>
      <c r="H499" s="72"/>
      <c r="I499" s="75" t="str">
        <f aca="false">IF(F499="","",IF(I498="",F499,I498+F499))</f>
        <v/>
      </c>
      <c r="J499" s="72"/>
    </row>
    <row r="500" customFormat="false" ht="15.75" hidden="false" customHeight="true" outlineLevel="0" collapsed="false">
      <c r="A500" s="68" t="n">
        <v>496</v>
      </c>
      <c r="B500" s="78"/>
      <c r="C500" s="80"/>
      <c r="D500" s="80"/>
      <c r="E500" s="80"/>
      <c r="F500" s="88"/>
      <c r="G500" s="80"/>
      <c r="H500" s="80"/>
      <c r="I500" s="83" t="str">
        <f aca="false">IF(F500="","",IF(I499="",F500,I499+F500))</f>
        <v/>
      </c>
      <c r="J500" s="80"/>
    </row>
    <row r="501" customFormat="false" ht="15.75" hidden="false" customHeight="true" outlineLevel="0" collapsed="false">
      <c r="A501" s="66" t="n">
        <v>497</v>
      </c>
      <c r="B501" s="70"/>
      <c r="C501" s="72"/>
      <c r="D501" s="72"/>
      <c r="E501" s="72"/>
      <c r="F501" s="87"/>
      <c r="G501" s="72"/>
      <c r="H501" s="72"/>
      <c r="I501" s="75" t="str">
        <f aca="false">IF(F501="","",IF(I500="",F501,I500+F501))</f>
        <v/>
      </c>
      <c r="J501" s="72"/>
    </row>
    <row r="502" customFormat="false" ht="15.75" hidden="false" customHeight="true" outlineLevel="0" collapsed="false">
      <c r="A502" s="68" t="n">
        <v>498</v>
      </c>
      <c r="B502" s="78"/>
      <c r="C502" s="80"/>
      <c r="D502" s="80"/>
      <c r="E502" s="80"/>
      <c r="F502" s="88"/>
      <c r="G502" s="80"/>
      <c r="H502" s="80"/>
      <c r="I502" s="83" t="str">
        <f aca="false">IF(F502="","",IF(I501="",F502,I501+F502))</f>
        <v/>
      </c>
      <c r="J502" s="80"/>
    </row>
    <row r="503" customFormat="false" ht="15.75" hidden="false" customHeight="true" outlineLevel="0" collapsed="false">
      <c r="A503" s="66" t="n">
        <v>499</v>
      </c>
      <c r="B503" s="70"/>
      <c r="C503" s="72"/>
      <c r="D503" s="72"/>
      <c r="E503" s="72"/>
      <c r="F503" s="87"/>
      <c r="G503" s="72"/>
      <c r="H503" s="72"/>
      <c r="I503" s="75" t="str">
        <f aca="false">IF(F503="","",IF(I502="",F503,I502+F503))</f>
        <v/>
      </c>
      <c r="J503" s="72"/>
    </row>
    <row r="504" customFormat="false" ht="15.75" hidden="false" customHeight="true" outlineLevel="0" collapsed="false">
      <c r="A504" s="68" t="n">
        <v>500</v>
      </c>
      <c r="B504" s="78"/>
      <c r="C504" s="80"/>
      <c r="D504" s="80"/>
      <c r="E504" s="80"/>
      <c r="F504" s="88"/>
      <c r="G504" s="80"/>
      <c r="H504" s="80"/>
      <c r="I504" s="83" t="str">
        <f aca="false">IF(F504="","",IF(I503="",F504,I503+F504))</f>
        <v/>
      </c>
      <c r="J504" s="80"/>
    </row>
  </sheetData>
  <mergeCells count="2">
    <mergeCell ref="A1:J1"/>
    <mergeCell ref="A2:J2"/>
  </mergeCells>
  <dataValidations count="5">
    <dataValidation allowBlank="true" errorStyle="stop" operator="between" showDropDown="false" showErrorMessage="false" showInputMessage="false" sqref="C5:C504" type="list">
      <formula1>"1st Shift,2nd Shift,3rd Shift,4th Shift,5th Shift,Daily,Weekly,Monthly,One-time"</formula1>
      <formula2>0</formula2>
    </dataValidation>
    <dataValidation allowBlank="true" errorStyle="stop" operator="between" showDropDown="false" showErrorMessage="false" showInputMessage="false" sqref="D5:D504" type="list">
      <formula1>"Econ Builder,Sonbhai-Coordinator,Ajay Mahto,Rinku Devi A/c,Chand Ansari,Mukesh Yadav,Daily Labour,Ladies Labour"</formula1>
      <formula2>0</formula2>
    </dataValidation>
    <dataValidation allowBlank="true" errorStyle="stop" operator="between" showDropDown="false" showErrorMessage="false" showInputMessage="false" sqref="E5:E504" type="list">
      <formula1>"Labour Wages,Labour Food,Transport/Tempo,Mitti Bharai,Dhalai Machine,Brick Work,Visit Charge,Map/Drawing,Tips/Bhoj,Shuttering,Misc"</formula1>
      <formula2>0</formula2>
    </dataValidation>
    <dataValidation allowBlank="true" errorStyle="stop" operator="between" showDropDown="false" showErrorMessage="false" showInputMessage="false" sqref="H5:H504" type="list">
      <formula1>"Self-GPay,Self-Paytm,Self-Cash,Self-Bank Transfer,Through Sonbhai,Through Engineer,Through Ajay,Papa"</formula1>
      <formula2>0</formula2>
    </dataValidation>
    <dataValidation allowBlank="true" errorStyle="stop" operator="between" showDropDown="false" showErrorMessage="false" showInputMessage="false" sqref="G5:G504" type="list">
      <formula1>"GPay,Paytm,Cash,Bank Transfer,UPI,Cheque"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14"/>
    <col collapsed="false" customWidth="true" hidden="false" outlineLevel="0" max="2" min="2" style="17" width="18"/>
    <col collapsed="false" customWidth="true" hidden="false" outlineLevel="0" max="6" min="3" style="17" width="14"/>
    <col collapsed="false" customWidth="true" hidden="false" outlineLevel="0" max="9" min="7" style="17" width="16"/>
    <col collapsed="false" customWidth="true" hidden="false" outlineLevel="0" max="10" min="10" style="17" width="14"/>
    <col collapsed="false" customWidth="true" hidden="false" outlineLevel="0" max="11" min="11" style="17" width="16"/>
  </cols>
  <sheetData>
    <row r="1" customFormat="false" ht="17.25" hidden="false" customHeight="true" outlineLevel="0" collapsed="false">
      <c r="A1" s="63" t="s">
        <v>477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customFormat="false" ht="15.75" hidden="false" customHeight="true" outlineLevel="0" collapsed="false">
      <c r="A2" s="64" t="s">
        <v>478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4" customFormat="false" ht="26.25" hidden="false" customHeight="true" outlineLevel="0" collapsed="false">
      <c r="A4" s="65" t="s">
        <v>181</v>
      </c>
      <c r="B4" s="65" t="s">
        <v>479</v>
      </c>
      <c r="C4" s="65" t="s">
        <v>480</v>
      </c>
      <c r="D4" s="65" t="s">
        <v>481</v>
      </c>
      <c r="E4" s="65" t="s">
        <v>482</v>
      </c>
      <c r="F4" s="65" t="s">
        <v>394</v>
      </c>
      <c r="G4" s="65" t="s">
        <v>483</v>
      </c>
      <c r="H4" s="65" t="s">
        <v>484</v>
      </c>
      <c r="I4" s="65" t="s">
        <v>485</v>
      </c>
      <c r="J4" s="65" t="s">
        <v>486</v>
      </c>
      <c r="K4" s="65" t="s">
        <v>487</v>
      </c>
    </row>
    <row r="5" customFormat="false" ht="15.75" hidden="false" customHeight="true" outlineLevel="0" collapsed="false">
      <c r="A5" s="99" t="s">
        <v>183</v>
      </c>
      <c r="B5" s="100" t="n">
        <f aca="false">SUMIFS('All Transactions'!O:O,'All Transactions'!C:C,A5,'All Transactions'!E:E,"Building Materials")</f>
        <v>489182</v>
      </c>
      <c r="C5" s="100" t="n">
        <f aca="false">SUMIFS('All Transactions'!O:O,'All Transactions'!C:C,A5,'All Transactions'!E:E,"Steel/Iron")</f>
        <v>161100</v>
      </c>
      <c r="D5" s="100" t="n">
        <f aca="false">SUMIFS('All Transactions'!O:O,'All Transactions'!C:C,A5,'All Transactions'!E:E,"Electrical")</f>
        <v>0</v>
      </c>
      <c r="E5" s="100" t="n">
        <f aca="false">SUMIFS('All Transactions'!O:O,'All Transactions'!C:C,A5,'All Transactions'!E:E,"Labour")</f>
        <v>2650</v>
      </c>
      <c r="F5" s="100" t="n">
        <f aca="false">SUMIFS('All Transactions'!O:O,'All Transactions'!C:C,A5,'All Transactions'!E:E,"Transport")</f>
        <v>800</v>
      </c>
      <c r="G5" s="100" t="n">
        <f aca="false">SUMIFS('All Transactions'!O:O,'All Transactions'!C:C,A5,'All Transactions'!E:E,"Food/Provisions")</f>
        <v>3285</v>
      </c>
      <c r="H5" s="100" t="n">
        <f aca="false">SUMIFS('All Transactions'!O:O,'All Transactions'!C:C,A5,'All Transactions'!E:E,"Professional Fees")</f>
        <v>126000</v>
      </c>
      <c r="I5" s="100" t="n">
        <f aca="false">SUMIFS('All Transactions'!O:O,'All Transactions'!C:C,A5,'All Transactions'!E:E,"Land Development")</f>
        <v>42100</v>
      </c>
      <c r="J5" s="100" t="n">
        <f aca="false">SUMIFS('All Transactions'!O:O,'All Transactions'!C:C,A5,'All Transactions'!E:E,"Miscellaneous")</f>
        <v>4475</v>
      </c>
      <c r="K5" s="101" t="n">
        <f aca="false">SUM(B5:J5)</f>
        <v>829592</v>
      </c>
    </row>
    <row r="6" customFormat="false" ht="15.75" hidden="false" customHeight="true" outlineLevel="0" collapsed="false">
      <c r="A6" s="102" t="s">
        <v>184</v>
      </c>
      <c r="B6" s="103" t="n">
        <f aca="false">SUMIFS('All Transactions'!O:O,'All Transactions'!C:C,A6,'All Transactions'!E:E,"Building Materials")</f>
        <v>20600</v>
      </c>
      <c r="C6" s="103" t="n">
        <f aca="false">SUMIFS('All Transactions'!O:O,'All Transactions'!C:C,A6,'All Transactions'!E:E,"Steel/Iron")</f>
        <v>181260</v>
      </c>
      <c r="D6" s="103" t="n">
        <f aca="false">SUMIFS('All Transactions'!O:O,'All Transactions'!C:C,A6,'All Transactions'!E:E,"Electrical")</f>
        <v>0</v>
      </c>
      <c r="E6" s="103" t="n">
        <f aca="false">SUMIFS('All Transactions'!O:O,'All Transactions'!C:C,A6,'All Transactions'!E:E,"Labour")</f>
        <v>23570</v>
      </c>
      <c r="F6" s="103" t="n">
        <f aca="false">SUMIFS('All Transactions'!O:O,'All Transactions'!C:C,A6,'All Transactions'!E:E,"Transport")</f>
        <v>500</v>
      </c>
      <c r="G6" s="103" t="n">
        <f aca="false">SUMIFS('All Transactions'!O:O,'All Transactions'!C:C,A6,'All Transactions'!E:E,"Food/Provisions")</f>
        <v>0</v>
      </c>
      <c r="H6" s="103" t="n">
        <f aca="false">SUMIFS('All Transactions'!O:O,'All Transactions'!C:C,A6,'All Transactions'!E:E,"Professional Fees")</f>
        <v>100000</v>
      </c>
      <c r="I6" s="103" t="n">
        <f aca="false">SUMIFS('All Transactions'!O:O,'All Transactions'!C:C,A6,'All Transactions'!E:E,"Land Development")</f>
        <v>0</v>
      </c>
      <c r="J6" s="103" t="n">
        <f aca="false">SUMIFS('All Transactions'!O:O,'All Transactions'!C:C,A6,'All Transactions'!E:E,"Miscellaneous")</f>
        <v>0</v>
      </c>
      <c r="K6" s="104" t="n">
        <f aca="false">SUM(B6:J6)</f>
        <v>325930</v>
      </c>
    </row>
    <row r="7" customFormat="false" ht="15.75" hidden="false" customHeight="true" outlineLevel="0" collapsed="false">
      <c r="A7" s="99" t="s">
        <v>185</v>
      </c>
      <c r="B7" s="100" t="n">
        <f aca="false">SUMIFS('All Transactions'!O:O,'All Transactions'!C:C,A7,'All Transactions'!E:E,"Building Materials")</f>
        <v>0</v>
      </c>
      <c r="C7" s="100" t="n">
        <f aca="false">SUMIFS('All Transactions'!O:O,'All Transactions'!C:C,A7,'All Transactions'!E:E,"Steel/Iron")</f>
        <v>0</v>
      </c>
      <c r="D7" s="100" t="n">
        <f aca="false">SUMIFS('All Transactions'!O:O,'All Transactions'!C:C,A7,'All Transactions'!E:E,"Electrical")</f>
        <v>0</v>
      </c>
      <c r="E7" s="100" t="n">
        <f aca="false">SUMIFS('All Transactions'!O:O,'All Transactions'!C:C,A7,'All Transactions'!E:E,"Labour")</f>
        <v>0</v>
      </c>
      <c r="F7" s="100" t="n">
        <f aca="false">SUMIFS('All Transactions'!O:O,'All Transactions'!C:C,A7,'All Transactions'!E:E,"Transport")</f>
        <v>0</v>
      </c>
      <c r="G7" s="100" t="n">
        <f aca="false">SUMIFS('All Transactions'!O:O,'All Transactions'!C:C,A7,'All Transactions'!E:E,"Food/Provisions")</f>
        <v>0</v>
      </c>
      <c r="H7" s="100" t="n">
        <f aca="false">SUMIFS('All Transactions'!O:O,'All Transactions'!C:C,A7,'All Transactions'!E:E,"Professional Fees")</f>
        <v>0</v>
      </c>
      <c r="I7" s="100" t="n">
        <f aca="false">SUMIFS('All Transactions'!O:O,'All Transactions'!C:C,A7,'All Transactions'!E:E,"Land Development")</f>
        <v>0</v>
      </c>
      <c r="J7" s="100" t="n">
        <f aca="false">SUMIFS('All Transactions'!O:O,'All Transactions'!C:C,A7,'All Transactions'!E:E,"Miscellaneous")</f>
        <v>0</v>
      </c>
      <c r="K7" s="101" t="n">
        <f aca="false">SUM(B7:J7)</f>
        <v>0</v>
      </c>
    </row>
    <row r="8" customFormat="false" ht="15.75" hidden="false" customHeight="true" outlineLevel="0" collapsed="false">
      <c r="A8" s="102" t="s">
        <v>186</v>
      </c>
      <c r="B8" s="103" t="n">
        <f aca="false">SUMIFS('All Transactions'!O:O,'All Transactions'!C:C,A8,'All Transactions'!E:E,"Building Materials")</f>
        <v>0</v>
      </c>
      <c r="C8" s="103" t="n">
        <f aca="false">SUMIFS('All Transactions'!O:O,'All Transactions'!C:C,A8,'All Transactions'!E:E,"Steel/Iron")</f>
        <v>0</v>
      </c>
      <c r="D8" s="103" t="n">
        <f aca="false">SUMIFS('All Transactions'!O:O,'All Transactions'!C:C,A8,'All Transactions'!E:E,"Electrical")</f>
        <v>0</v>
      </c>
      <c r="E8" s="103" t="n">
        <f aca="false">SUMIFS('All Transactions'!O:O,'All Transactions'!C:C,A8,'All Transactions'!E:E,"Labour")</f>
        <v>0</v>
      </c>
      <c r="F8" s="103" t="n">
        <f aca="false">SUMIFS('All Transactions'!O:O,'All Transactions'!C:C,A8,'All Transactions'!E:E,"Transport")</f>
        <v>0</v>
      </c>
      <c r="G8" s="103" t="n">
        <f aca="false">SUMIFS('All Transactions'!O:O,'All Transactions'!C:C,A8,'All Transactions'!E:E,"Food/Provisions")</f>
        <v>0</v>
      </c>
      <c r="H8" s="103" t="n">
        <f aca="false">SUMIFS('All Transactions'!O:O,'All Transactions'!C:C,A8,'All Transactions'!E:E,"Professional Fees")</f>
        <v>0</v>
      </c>
      <c r="I8" s="103" t="n">
        <f aca="false">SUMIFS('All Transactions'!O:O,'All Transactions'!C:C,A8,'All Transactions'!E:E,"Land Development")</f>
        <v>0</v>
      </c>
      <c r="J8" s="103" t="n">
        <f aca="false">SUMIFS('All Transactions'!O:O,'All Transactions'!C:C,A8,'All Transactions'!E:E,"Miscellaneous")</f>
        <v>0</v>
      </c>
      <c r="K8" s="104" t="n">
        <f aca="false">SUM(B8:J8)</f>
        <v>0</v>
      </c>
    </row>
    <row r="9" customFormat="false" ht="15.75" hidden="false" customHeight="true" outlineLevel="0" collapsed="false">
      <c r="A9" s="99" t="s">
        <v>187</v>
      </c>
      <c r="B9" s="100" t="n">
        <f aca="false">SUMIFS('All Transactions'!O:O,'All Transactions'!C:C,A9,'All Transactions'!E:E,"Building Materials")</f>
        <v>0</v>
      </c>
      <c r="C9" s="100" t="n">
        <f aca="false">SUMIFS('All Transactions'!O:O,'All Transactions'!C:C,A9,'All Transactions'!E:E,"Steel/Iron")</f>
        <v>0</v>
      </c>
      <c r="D9" s="100" t="n">
        <f aca="false">SUMIFS('All Transactions'!O:O,'All Transactions'!C:C,A9,'All Transactions'!E:E,"Electrical")</f>
        <v>0</v>
      </c>
      <c r="E9" s="100" t="n">
        <f aca="false">SUMIFS('All Transactions'!O:O,'All Transactions'!C:C,A9,'All Transactions'!E:E,"Labour")</f>
        <v>0</v>
      </c>
      <c r="F9" s="100" t="n">
        <f aca="false">SUMIFS('All Transactions'!O:O,'All Transactions'!C:C,A9,'All Transactions'!E:E,"Transport")</f>
        <v>0</v>
      </c>
      <c r="G9" s="100" t="n">
        <f aca="false">SUMIFS('All Transactions'!O:O,'All Transactions'!C:C,A9,'All Transactions'!E:E,"Food/Provisions")</f>
        <v>0</v>
      </c>
      <c r="H9" s="100" t="n">
        <f aca="false">SUMIFS('All Transactions'!O:O,'All Transactions'!C:C,A9,'All Transactions'!E:E,"Professional Fees")</f>
        <v>0</v>
      </c>
      <c r="I9" s="100" t="n">
        <f aca="false">SUMIFS('All Transactions'!O:O,'All Transactions'!C:C,A9,'All Transactions'!E:E,"Land Development")</f>
        <v>0</v>
      </c>
      <c r="J9" s="100" t="n">
        <f aca="false">SUMIFS('All Transactions'!O:O,'All Transactions'!C:C,A9,'All Transactions'!E:E,"Miscellaneous")</f>
        <v>0</v>
      </c>
      <c r="K9" s="101" t="n">
        <f aca="false">SUM(B9:J9)</f>
        <v>0</v>
      </c>
    </row>
    <row r="10" customFormat="false" ht="15.75" hidden="false" customHeight="true" outlineLevel="0" collapsed="false">
      <c r="A10" s="102" t="s">
        <v>188</v>
      </c>
      <c r="B10" s="103" t="n">
        <f aca="false">SUMIFS('All Transactions'!O:O,'All Transactions'!C:C,A10,'All Transactions'!E:E,"Building Materials")</f>
        <v>0</v>
      </c>
      <c r="C10" s="103" t="n">
        <f aca="false">SUMIFS('All Transactions'!O:O,'All Transactions'!C:C,A10,'All Transactions'!E:E,"Steel/Iron")</f>
        <v>0</v>
      </c>
      <c r="D10" s="103" t="n">
        <f aca="false">SUMIFS('All Transactions'!O:O,'All Transactions'!C:C,A10,'All Transactions'!E:E,"Electrical")</f>
        <v>0</v>
      </c>
      <c r="E10" s="103" t="n">
        <f aca="false">SUMIFS('All Transactions'!O:O,'All Transactions'!C:C,A10,'All Transactions'!E:E,"Labour")</f>
        <v>0</v>
      </c>
      <c r="F10" s="103" t="n">
        <f aca="false">SUMIFS('All Transactions'!O:O,'All Transactions'!C:C,A10,'All Transactions'!E:E,"Transport")</f>
        <v>0</v>
      </c>
      <c r="G10" s="103" t="n">
        <f aca="false">SUMIFS('All Transactions'!O:O,'All Transactions'!C:C,A10,'All Transactions'!E:E,"Food/Provisions")</f>
        <v>0</v>
      </c>
      <c r="H10" s="103" t="n">
        <f aca="false">SUMIFS('All Transactions'!O:O,'All Transactions'!C:C,A10,'All Transactions'!E:E,"Professional Fees")</f>
        <v>0</v>
      </c>
      <c r="I10" s="103" t="n">
        <f aca="false">SUMIFS('All Transactions'!O:O,'All Transactions'!C:C,A10,'All Transactions'!E:E,"Land Development")</f>
        <v>0</v>
      </c>
      <c r="J10" s="103" t="n">
        <f aca="false">SUMIFS('All Transactions'!O:O,'All Transactions'!C:C,A10,'All Transactions'!E:E,"Miscellaneous")</f>
        <v>0</v>
      </c>
      <c r="K10" s="104" t="n">
        <f aca="false">SUM(B10:J10)</f>
        <v>0</v>
      </c>
    </row>
    <row r="11" customFormat="false" ht="15.75" hidden="false" customHeight="true" outlineLevel="0" collapsed="false">
      <c r="A11" s="99" t="s">
        <v>189</v>
      </c>
      <c r="B11" s="100" t="n">
        <f aca="false">SUMIFS('All Transactions'!O:O,'All Transactions'!C:C,A11,'All Transactions'!E:E,"Building Materials")</f>
        <v>0</v>
      </c>
      <c r="C11" s="100" t="n">
        <f aca="false">SUMIFS('All Transactions'!O:O,'All Transactions'!C:C,A11,'All Transactions'!E:E,"Steel/Iron")</f>
        <v>0</v>
      </c>
      <c r="D11" s="100" t="n">
        <f aca="false">SUMIFS('All Transactions'!O:O,'All Transactions'!C:C,A11,'All Transactions'!E:E,"Electrical")</f>
        <v>0</v>
      </c>
      <c r="E11" s="100" t="n">
        <f aca="false">SUMIFS('All Transactions'!O:O,'All Transactions'!C:C,A11,'All Transactions'!E:E,"Labour")</f>
        <v>0</v>
      </c>
      <c r="F11" s="100" t="n">
        <f aca="false">SUMIFS('All Transactions'!O:O,'All Transactions'!C:C,A11,'All Transactions'!E:E,"Transport")</f>
        <v>0</v>
      </c>
      <c r="G11" s="100" t="n">
        <f aca="false">SUMIFS('All Transactions'!O:O,'All Transactions'!C:C,A11,'All Transactions'!E:E,"Food/Provisions")</f>
        <v>0</v>
      </c>
      <c r="H11" s="100" t="n">
        <f aca="false">SUMIFS('All Transactions'!O:O,'All Transactions'!C:C,A11,'All Transactions'!E:E,"Professional Fees")</f>
        <v>0</v>
      </c>
      <c r="I11" s="100" t="n">
        <f aca="false">SUMIFS('All Transactions'!O:O,'All Transactions'!C:C,A11,'All Transactions'!E:E,"Land Development")</f>
        <v>0</v>
      </c>
      <c r="J11" s="100" t="n">
        <f aca="false">SUMIFS('All Transactions'!O:O,'All Transactions'!C:C,A11,'All Transactions'!E:E,"Miscellaneous")</f>
        <v>0</v>
      </c>
      <c r="K11" s="101" t="n">
        <f aca="false">SUM(B11:J11)</f>
        <v>0</v>
      </c>
    </row>
    <row r="12" customFormat="false" ht="15.75" hidden="false" customHeight="true" outlineLevel="0" collapsed="false">
      <c r="A12" s="102" t="s">
        <v>190</v>
      </c>
      <c r="B12" s="103" t="n">
        <f aca="false">SUMIFS('All Transactions'!O:O,'All Transactions'!C:C,A12,'All Transactions'!E:E,"Building Materials")</f>
        <v>0</v>
      </c>
      <c r="C12" s="103" t="n">
        <f aca="false">SUMIFS('All Transactions'!O:O,'All Transactions'!C:C,A12,'All Transactions'!E:E,"Steel/Iron")</f>
        <v>0</v>
      </c>
      <c r="D12" s="103" t="n">
        <f aca="false">SUMIFS('All Transactions'!O:O,'All Transactions'!C:C,A12,'All Transactions'!E:E,"Electrical")</f>
        <v>0</v>
      </c>
      <c r="E12" s="103" t="n">
        <f aca="false">SUMIFS('All Transactions'!O:O,'All Transactions'!C:C,A12,'All Transactions'!E:E,"Labour")</f>
        <v>0</v>
      </c>
      <c r="F12" s="103" t="n">
        <f aca="false">SUMIFS('All Transactions'!O:O,'All Transactions'!C:C,A12,'All Transactions'!E:E,"Transport")</f>
        <v>0</v>
      </c>
      <c r="G12" s="103" t="n">
        <f aca="false">SUMIFS('All Transactions'!O:O,'All Transactions'!C:C,A12,'All Transactions'!E:E,"Food/Provisions")</f>
        <v>0</v>
      </c>
      <c r="H12" s="103" t="n">
        <f aca="false">SUMIFS('All Transactions'!O:O,'All Transactions'!C:C,A12,'All Transactions'!E:E,"Professional Fees")</f>
        <v>0</v>
      </c>
      <c r="I12" s="103" t="n">
        <f aca="false">SUMIFS('All Transactions'!O:O,'All Transactions'!C:C,A12,'All Transactions'!E:E,"Land Development")</f>
        <v>0</v>
      </c>
      <c r="J12" s="103" t="n">
        <f aca="false">SUMIFS('All Transactions'!O:O,'All Transactions'!C:C,A12,'All Transactions'!E:E,"Miscellaneous")</f>
        <v>0</v>
      </c>
      <c r="K12" s="104" t="n">
        <f aca="false">SUM(B12:J12)</f>
        <v>0</v>
      </c>
    </row>
    <row r="13" customFormat="false" ht="15.75" hidden="false" customHeight="true" outlineLevel="0" collapsed="false">
      <c r="A13" s="99" t="s">
        <v>191</v>
      </c>
      <c r="B13" s="100" t="n">
        <f aca="false">SUMIFS('All Transactions'!O:O,'All Transactions'!C:C,A13,'All Transactions'!E:E,"Building Materials")</f>
        <v>0</v>
      </c>
      <c r="C13" s="100" t="n">
        <f aca="false">SUMIFS('All Transactions'!O:O,'All Transactions'!C:C,A13,'All Transactions'!E:E,"Steel/Iron")</f>
        <v>0</v>
      </c>
      <c r="D13" s="100" t="n">
        <f aca="false">SUMIFS('All Transactions'!O:O,'All Transactions'!C:C,A13,'All Transactions'!E:E,"Electrical")</f>
        <v>0</v>
      </c>
      <c r="E13" s="100" t="n">
        <f aca="false">SUMIFS('All Transactions'!O:O,'All Transactions'!C:C,A13,'All Transactions'!E:E,"Labour")</f>
        <v>0</v>
      </c>
      <c r="F13" s="100" t="n">
        <f aca="false">SUMIFS('All Transactions'!O:O,'All Transactions'!C:C,A13,'All Transactions'!E:E,"Transport")</f>
        <v>0</v>
      </c>
      <c r="G13" s="100" t="n">
        <f aca="false">SUMIFS('All Transactions'!O:O,'All Transactions'!C:C,A13,'All Transactions'!E:E,"Food/Provisions")</f>
        <v>0</v>
      </c>
      <c r="H13" s="100" t="n">
        <f aca="false">SUMIFS('All Transactions'!O:O,'All Transactions'!C:C,A13,'All Transactions'!E:E,"Professional Fees")</f>
        <v>0</v>
      </c>
      <c r="I13" s="100" t="n">
        <f aca="false">SUMIFS('All Transactions'!O:O,'All Transactions'!C:C,A13,'All Transactions'!E:E,"Land Development")</f>
        <v>0</v>
      </c>
      <c r="J13" s="100" t="n">
        <f aca="false">SUMIFS('All Transactions'!O:O,'All Transactions'!C:C,A13,'All Transactions'!E:E,"Miscellaneous")</f>
        <v>0</v>
      </c>
      <c r="K13" s="101" t="n">
        <f aca="false">SUM(B13:J13)</f>
        <v>0</v>
      </c>
    </row>
    <row r="14" customFormat="false" ht="15.75" hidden="false" customHeight="true" outlineLevel="0" collapsed="false">
      <c r="A14" s="102" t="s">
        <v>192</v>
      </c>
      <c r="B14" s="103" t="n">
        <f aca="false">SUMIFS('All Transactions'!O:O,'All Transactions'!C:C,A14,'All Transactions'!E:E,"Building Materials")</f>
        <v>0</v>
      </c>
      <c r="C14" s="103" t="n">
        <f aca="false">SUMIFS('All Transactions'!O:O,'All Transactions'!C:C,A14,'All Transactions'!E:E,"Steel/Iron")</f>
        <v>0</v>
      </c>
      <c r="D14" s="103" t="n">
        <f aca="false">SUMIFS('All Transactions'!O:O,'All Transactions'!C:C,A14,'All Transactions'!E:E,"Electrical")</f>
        <v>0</v>
      </c>
      <c r="E14" s="103" t="n">
        <f aca="false">SUMIFS('All Transactions'!O:O,'All Transactions'!C:C,A14,'All Transactions'!E:E,"Labour")</f>
        <v>0</v>
      </c>
      <c r="F14" s="103" t="n">
        <f aca="false">SUMIFS('All Transactions'!O:O,'All Transactions'!C:C,A14,'All Transactions'!E:E,"Transport")</f>
        <v>0</v>
      </c>
      <c r="G14" s="103" t="n">
        <f aca="false">SUMIFS('All Transactions'!O:O,'All Transactions'!C:C,A14,'All Transactions'!E:E,"Food/Provisions")</f>
        <v>0</v>
      </c>
      <c r="H14" s="103" t="n">
        <f aca="false">SUMIFS('All Transactions'!O:O,'All Transactions'!C:C,A14,'All Transactions'!E:E,"Professional Fees")</f>
        <v>0</v>
      </c>
      <c r="I14" s="103" t="n">
        <f aca="false">SUMIFS('All Transactions'!O:O,'All Transactions'!C:C,A14,'All Transactions'!E:E,"Land Development")</f>
        <v>0</v>
      </c>
      <c r="J14" s="103" t="n">
        <f aca="false">SUMIFS('All Transactions'!O:O,'All Transactions'!C:C,A14,'All Transactions'!E:E,"Miscellaneous")</f>
        <v>0</v>
      </c>
      <c r="K14" s="104" t="n">
        <f aca="false">SUM(B14:J14)</f>
        <v>0</v>
      </c>
    </row>
    <row r="15" customFormat="false" ht="15.75" hidden="false" customHeight="true" outlineLevel="0" collapsed="false">
      <c r="A15" s="99" t="s">
        <v>193</v>
      </c>
      <c r="B15" s="100" t="n">
        <f aca="false">SUMIFS('All Transactions'!O:O,'All Transactions'!C:C,A15,'All Transactions'!E:E,"Building Materials")</f>
        <v>0</v>
      </c>
      <c r="C15" s="100" t="n">
        <f aca="false">SUMIFS('All Transactions'!O:O,'All Transactions'!C:C,A15,'All Transactions'!E:E,"Steel/Iron")</f>
        <v>0</v>
      </c>
      <c r="D15" s="100" t="n">
        <f aca="false">SUMIFS('All Transactions'!O:O,'All Transactions'!C:C,A15,'All Transactions'!E:E,"Electrical")</f>
        <v>0</v>
      </c>
      <c r="E15" s="100" t="n">
        <f aca="false">SUMIFS('All Transactions'!O:O,'All Transactions'!C:C,A15,'All Transactions'!E:E,"Labour")</f>
        <v>0</v>
      </c>
      <c r="F15" s="100" t="n">
        <f aca="false">SUMIFS('All Transactions'!O:O,'All Transactions'!C:C,A15,'All Transactions'!E:E,"Transport")</f>
        <v>0</v>
      </c>
      <c r="G15" s="100" t="n">
        <f aca="false">SUMIFS('All Transactions'!O:O,'All Transactions'!C:C,A15,'All Transactions'!E:E,"Food/Provisions")</f>
        <v>0</v>
      </c>
      <c r="H15" s="100" t="n">
        <f aca="false">SUMIFS('All Transactions'!O:O,'All Transactions'!C:C,A15,'All Transactions'!E:E,"Professional Fees")</f>
        <v>0</v>
      </c>
      <c r="I15" s="100" t="n">
        <f aca="false">SUMIFS('All Transactions'!O:O,'All Transactions'!C:C,A15,'All Transactions'!E:E,"Land Development")</f>
        <v>0</v>
      </c>
      <c r="J15" s="100" t="n">
        <f aca="false">SUMIFS('All Transactions'!O:O,'All Transactions'!C:C,A15,'All Transactions'!E:E,"Miscellaneous")</f>
        <v>0</v>
      </c>
      <c r="K15" s="101" t="n">
        <f aca="false">SUM(B15:J15)</f>
        <v>0</v>
      </c>
    </row>
    <row r="16" customFormat="false" ht="15.75" hidden="false" customHeight="true" outlineLevel="0" collapsed="false">
      <c r="A16" s="102" t="s">
        <v>194</v>
      </c>
      <c r="B16" s="103" t="n">
        <f aca="false">SUMIFS('All Transactions'!O:O,'All Transactions'!C:C,A16,'All Transactions'!E:E,"Building Materials")</f>
        <v>0</v>
      </c>
      <c r="C16" s="103" t="n">
        <f aca="false">SUMIFS('All Transactions'!O:O,'All Transactions'!C:C,A16,'All Transactions'!E:E,"Steel/Iron")</f>
        <v>0</v>
      </c>
      <c r="D16" s="103" t="n">
        <f aca="false">SUMIFS('All Transactions'!O:O,'All Transactions'!C:C,A16,'All Transactions'!E:E,"Electrical")</f>
        <v>0</v>
      </c>
      <c r="E16" s="103" t="n">
        <f aca="false">SUMIFS('All Transactions'!O:O,'All Transactions'!C:C,A16,'All Transactions'!E:E,"Labour")</f>
        <v>0</v>
      </c>
      <c r="F16" s="103" t="n">
        <f aca="false">SUMIFS('All Transactions'!O:O,'All Transactions'!C:C,A16,'All Transactions'!E:E,"Transport")</f>
        <v>0</v>
      </c>
      <c r="G16" s="103" t="n">
        <f aca="false">SUMIFS('All Transactions'!O:O,'All Transactions'!C:C,A16,'All Transactions'!E:E,"Food/Provisions")</f>
        <v>0</v>
      </c>
      <c r="H16" s="103" t="n">
        <f aca="false">SUMIFS('All Transactions'!O:O,'All Transactions'!C:C,A16,'All Transactions'!E:E,"Professional Fees")</f>
        <v>0</v>
      </c>
      <c r="I16" s="103" t="n">
        <f aca="false">SUMIFS('All Transactions'!O:O,'All Transactions'!C:C,A16,'All Transactions'!E:E,"Land Development")</f>
        <v>0</v>
      </c>
      <c r="J16" s="103" t="n">
        <f aca="false">SUMIFS('All Transactions'!O:O,'All Transactions'!C:C,A16,'All Transactions'!E:E,"Miscellaneous")</f>
        <v>0</v>
      </c>
      <c r="K16" s="104" t="n">
        <f aca="false">SUM(B16:J16)</f>
        <v>0</v>
      </c>
    </row>
    <row r="17" customFormat="false" ht="15.75" hidden="false" customHeight="true" outlineLevel="0" collapsed="false">
      <c r="A17" s="99" t="s">
        <v>488</v>
      </c>
      <c r="B17" s="100" t="n">
        <f aca="false">SUMIFS('All Transactions'!O:O,'All Transactions'!C:C,A17,'All Transactions'!E:E,"Building Materials")</f>
        <v>0</v>
      </c>
      <c r="C17" s="100" t="n">
        <f aca="false">SUMIFS('All Transactions'!O:O,'All Transactions'!C:C,A17,'All Transactions'!E:E,"Steel/Iron")</f>
        <v>0</v>
      </c>
      <c r="D17" s="100" t="n">
        <f aca="false">SUMIFS('All Transactions'!O:O,'All Transactions'!C:C,A17,'All Transactions'!E:E,"Electrical")</f>
        <v>0</v>
      </c>
      <c r="E17" s="100" t="n">
        <f aca="false">SUMIFS('All Transactions'!O:O,'All Transactions'!C:C,A17,'All Transactions'!E:E,"Labour")</f>
        <v>0</v>
      </c>
      <c r="F17" s="100" t="n">
        <f aca="false">SUMIFS('All Transactions'!O:O,'All Transactions'!C:C,A17,'All Transactions'!E:E,"Transport")</f>
        <v>0</v>
      </c>
      <c r="G17" s="100" t="n">
        <f aca="false">SUMIFS('All Transactions'!O:O,'All Transactions'!C:C,A17,'All Transactions'!E:E,"Food/Provisions")</f>
        <v>0</v>
      </c>
      <c r="H17" s="100" t="n">
        <f aca="false">SUMIFS('All Transactions'!O:O,'All Transactions'!C:C,A17,'All Transactions'!E:E,"Professional Fees")</f>
        <v>0</v>
      </c>
      <c r="I17" s="100" t="n">
        <f aca="false">SUMIFS('All Transactions'!O:O,'All Transactions'!C:C,A17,'All Transactions'!E:E,"Land Development")</f>
        <v>0</v>
      </c>
      <c r="J17" s="100" t="n">
        <f aca="false">SUMIFS('All Transactions'!O:O,'All Transactions'!C:C,A17,'All Transactions'!E:E,"Miscellaneous")</f>
        <v>0</v>
      </c>
      <c r="K17" s="101" t="n">
        <f aca="false">SUM(B17:J17)</f>
        <v>0</v>
      </c>
    </row>
    <row r="18" customFormat="false" ht="15.75" hidden="false" customHeight="true" outlineLevel="0" collapsed="false">
      <c r="A18" s="102" t="s">
        <v>489</v>
      </c>
      <c r="B18" s="103" t="n">
        <f aca="false">SUMIFS('All Transactions'!O:O,'All Transactions'!C:C,A18,'All Transactions'!E:E,"Building Materials")</f>
        <v>0</v>
      </c>
      <c r="C18" s="103" t="n">
        <f aca="false">SUMIFS('All Transactions'!O:O,'All Transactions'!C:C,A18,'All Transactions'!E:E,"Steel/Iron")</f>
        <v>0</v>
      </c>
      <c r="D18" s="103" t="n">
        <f aca="false">SUMIFS('All Transactions'!O:O,'All Transactions'!C:C,A18,'All Transactions'!E:E,"Electrical")</f>
        <v>0</v>
      </c>
      <c r="E18" s="103" t="n">
        <f aca="false">SUMIFS('All Transactions'!O:O,'All Transactions'!C:C,A18,'All Transactions'!E:E,"Labour")</f>
        <v>0</v>
      </c>
      <c r="F18" s="103" t="n">
        <f aca="false">SUMIFS('All Transactions'!O:O,'All Transactions'!C:C,A18,'All Transactions'!E:E,"Transport")</f>
        <v>0</v>
      </c>
      <c r="G18" s="103" t="n">
        <f aca="false">SUMIFS('All Transactions'!O:O,'All Transactions'!C:C,A18,'All Transactions'!E:E,"Food/Provisions")</f>
        <v>0</v>
      </c>
      <c r="H18" s="103" t="n">
        <f aca="false">SUMIFS('All Transactions'!O:O,'All Transactions'!C:C,A18,'All Transactions'!E:E,"Professional Fees")</f>
        <v>0</v>
      </c>
      <c r="I18" s="103" t="n">
        <f aca="false">SUMIFS('All Transactions'!O:O,'All Transactions'!C:C,A18,'All Transactions'!E:E,"Land Development")</f>
        <v>0</v>
      </c>
      <c r="J18" s="103" t="n">
        <f aca="false">SUMIFS('All Transactions'!O:O,'All Transactions'!C:C,A18,'All Transactions'!E:E,"Miscellaneous")</f>
        <v>0</v>
      </c>
      <c r="K18" s="104" t="n">
        <f aca="false">SUM(B18:J18)</f>
        <v>0</v>
      </c>
    </row>
    <row r="19" customFormat="false" ht="15.75" hidden="false" customHeight="true" outlineLevel="0" collapsed="false">
      <c r="A19" s="99" t="s">
        <v>490</v>
      </c>
      <c r="B19" s="100" t="n">
        <f aca="false">SUMIFS('All Transactions'!O:O,'All Transactions'!C:C,A19,'All Transactions'!E:E,"Building Materials")</f>
        <v>0</v>
      </c>
      <c r="C19" s="100" t="n">
        <f aca="false">SUMIFS('All Transactions'!O:O,'All Transactions'!C:C,A19,'All Transactions'!E:E,"Steel/Iron")</f>
        <v>0</v>
      </c>
      <c r="D19" s="100" t="n">
        <f aca="false">SUMIFS('All Transactions'!O:O,'All Transactions'!C:C,A19,'All Transactions'!E:E,"Electrical")</f>
        <v>0</v>
      </c>
      <c r="E19" s="100" t="n">
        <f aca="false">SUMIFS('All Transactions'!O:O,'All Transactions'!C:C,A19,'All Transactions'!E:E,"Labour")</f>
        <v>0</v>
      </c>
      <c r="F19" s="100" t="n">
        <f aca="false">SUMIFS('All Transactions'!O:O,'All Transactions'!C:C,A19,'All Transactions'!E:E,"Transport")</f>
        <v>0</v>
      </c>
      <c r="G19" s="100" t="n">
        <f aca="false">SUMIFS('All Transactions'!O:O,'All Transactions'!C:C,A19,'All Transactions'!E:E,"Food/Provisions")</f>
        <v>0</v>
      </c>
      <c r="H19" s="100" t="n">
        <f aca="false">SUMIFS('All Transactions'!O:O,'All Transactions'!C:C,A19,'All Transactions'!E:E,"Professional Fees")</f>
        <v>0</v>
      </c>
      <c r="I19" s="100" t="n">
        <f aca="false">SUMIFS('All Transactions'!O:O,'All Transactions'!C:C,A19,'All Transactions'!E:E,"Land Development")</f>
        <v>0</v>
      </c>
      <c r="J19" s="100" t="n">
        <f aca="false">SUMIFS('All Transactions'!O:O,'All Transactions'!C:C,A19,'All Transactions'!E:E,"Miscellaneous")</f>
        <v>0</v>
      </c>
      <c r="K19" s="101" t="n">
        <f aca="false">SUM(B19:J19)</f>
        <v>0</v>
      </c>
    </row>
    <row r="20" customFormat="false" ht="15.75" hidden="false" customHeight="true" outlineLevel="0" collapsed="false">
      <c r="A20" s="102" t="s">
        <v>491</v>
      </c>
      <c r="B20" s="103" t="n">
        <f aca="false">SUMIFS('All Transactions'!O:O,'All Transactions'!C:C,A20,'All Transactions'!E:E,"Building Materials")</f>
        <v>0</v>
      </c>
      <c r="C20" s="103" t="n">
        <f aca="false">SUMIFS('All Transactions'!O:O,'All Transactions'!C:C,A20,'All Transactions'!E:E,"Steel/Iron")</f>
        <v>0</v>
      </c>
      <c r="D20" s="103" t="n">
        <f aca="false">SUMIFS('All Transactions'!O:O,'All Transactions'!C:C,A20,'All Transactions'!E:E,"Electrical")</f>
        <v>0</v>
      </c>
      <c r="E20" s="103" t="n">
        <f aca="false">SUMIFS('All Transactions'!O:O,'All Transactions'!C:C,A20,'All Transactions'!E:E,"Labour")</f>
        <v>0</v>
      </c>
      <c r="F20" s="103" t="n">
        <f aca="false">SUMIFS('All Transactions'!O:O,'All Transactions'!C:C,A20,'All Transactions'!E:E,"Transport")</f>
        <v>0</v>
      </c>
      <c r="G20" s="103" t="n">
        <f aca="false">SUMIFS('All Transactions'!O:O,'All Transactions'!C:C,A20,'All Transactions'!E:E,"Food/Provisions")</f>
        <v>0</v>
      </c>
      <c r="H20" s="103" t="n">
        <f aca="false">SUMIFS('All Transactions'!O:O,'All Transactions'!C:C,A20,'All Transactions'!E:E,"Professional Fees")</f>
        <v>0</v>
      </c>
      <c r="I20" s="103" t="n">
        <f aca="false">SUMIFS('All Transactions'!O:O,'All Transactions'!C:C,A20,'All Transactions'!E:E,"Land Development")</f>
        <v>0</v>
      </c>
      <c r="J20" s="103" t="n">
        <f aca="false">SUMIFS('All Transactions'!O:O,'All Transactions'!C:C,A20,'All Transactions'!E:E,"Miscellaneous")</f>
        <v>0</v>
      </c>
      <c r="K20" s="104" t="n">
        <f aca="false">SUM(B20:J20)</f>
        <v>0</v>
      </c>
    </row>
    <row r="21" customFormat="false" ht="15.75" hidden="false" customHeight="true" outlineLevel="0" collapsed="false">
      <c r="A21" s="99" t="s">
        <v>492</v>
      </c>
      <c r="B21" s="100" t="n">
        <f aca="false">SUMIFS('All Transactions'!O:O,'All Transactions'!C:C,A21,'All Transactions'!E:E,"Building Materials")</f>
        <v>0</v>
      </c>
      <c r="C21" s="100" t="n">
        <f aca="false">SUMIFS('All Transactions'!O:O,'All Transactions'!C:C,A21,'All Transactions'!E:E,"Steel/Iron")</f>
        <v>0</v>
      </c>
      <c r="D21" s="100" t="n">
        <f aca="false">SUMIFS('All Transactions'!O:O,'All Transactions'!C:C,A21,'All Transactions'!E:E,"Electrical")</f>
        <v>0</v>
      </c>
      <c r="E21" s="100" t="n">
        <f aca="false">SUMIFS('All Transactions'!O:O,'All Transactions'!C:C,A21,'All Transactions'!E:E,"Labour")</f>
        <v>0</v>
      </c>
      <c r="F21" s="100" t="n">
        <f aca="false">SUMIFS('All Transactions'!O:O,'All Transactions'!C:C,A21,'All Transactions'!E:E,"Transport")</f>
        <v>0</v>
      </c>
      <c r="G21" s="100" t="n">
        <f aca="false">SUMIFS('All Transactions'!O:O,'All Transactions'!C:C,A21,'All Transactions'!E:E,"Food/Provisions")</f>
        <v>0</v>
      </c>
      <c r="H21" s="100" t="n">
        <f aca="false">SUMIFS('All Transactions'!O:O,'All Transactions'!C:C,A21,'All Transactions'!E:E,"Professional Fees")</f>
        <v>0</v>
      </c>
      <c r="I21" s="100" t="n">
        <f aca="false">SUMIFS('All Transactions'!O:O,'All Transactions'!C:C,A21,'All Transactions'!E:E,"Land Development")</f>
        <v>0</v>
      </c>
      <c r="J21" s="100" t="n">
        <f aca="false">SUMIFS('All Transactions'!O:O,'All Transactions'!C:C,A21,'All Transactions'!E:E,"Miscellaneous")</f>
        <v>0</v>
      </c>
      <c r="K21" s="101" t="n">
        <f aca="false">SUM(B21:J21)</f>
        <v>0</v>
      </c>
    </row>
    <row r="22" customFormat="false" ht="15.75" hidden="false" customHeight="true" outlineLevel="0" collapsed="false">
      <c r="A22" s="102" t="s">
        <v>493</v>
      </c>
      <c r="B22" s="103" t="n">
        <f aca="false">SUMIFS('All Transactions'!O:O,'All Transactions'!C:C,A22,'All Transactions'!E:E,"Building Materials")</f>
        <v>0</v>
      </c>
      <c r="C22" s="103" t="n">
        <f aca="false">SUMIFS('All Transactions'!O:O,'All Transactions'!C:C,A22,'All Transactions'!E:E,"Steel/Iron")</f>
        <v>0</v>
      </c>
      <c r="D22" s="103" t="n">
        <f aca="false">SUMIFS('All Transactions'!O:O,'All Transactions'!C:C,A22,'All Transactions'!E:E,"Electrical")</f>
        <v>0</v>
      </c>
      <c r="E22" s="103" t="n">
        <f aca="false">SUMIFS('All Transactions'!O:O,'All Transactions'!C:C,A22,'All Transactions'!E:E,"Labour")</f>
        <v>0</v>
      </c>
      <c r="F22" s="103" t="n">
        <f aca="false">SUMIFS('All Transactions'!O:O,'All Transactions'!C:C,A22,'All Transactions'!E:E,"Transport")</f>
        <v>0</v>
      </c>
      <c r="G22" s="103" t="n">
        <f aca="false">SUMIFS('All Transactions'!O:O,'All Transactions'!C:C,A22,'All Transactions'!E:E,"Food/Provisions")</f>
        <v>0</v>
      </c>
      <c r="H22" s="103" t="n">
        <f aca="false">SUMIFS('All Transactions'!O:O,'All Transactions'!C:C,A22,'All Transactions'!E:E,"Professional Fees")</f>
        <v>0</v>
      </c>
      <c r="I22" s="103" t="n">
        <f aca="false">SUMIFS('All Transactions'!O:O,'All Transactions'!C:C,A22,'All Transactions'!E:E,"Land Development")</f>
        <v>0</v>
      </c>
      <c r="J22" s="103" t="n">
        <f aca="false">SUMIFS('All Transactions'!O:O,'All Transactions'!C:C,A22,'All Transactions'!E:E,"Miscellaneous")</f>
        <v>0</v>
      </c>
      <c r="K22" s="104" t="n">
        <f aca="false">SUM(B22:J22)</f>
        <v>0</v>
      </c>
    </row>
    <row r="23" customFormat="false" ht="15.75" hidden="false" customHeight="true" outlineLevel="0" collapsed="false">
      <c r="A23" s="99" t="s">
        <v>494</v>
      </c>
      <c r="B23" s="100" t="n">
        <f aca="false">SUMIFS('All Transactions'!O:O,'All Transactions'!C:C,A23,'All Transactions'!E:E,"Building Materials")</f>
        <v>0</v>
      </c>
      <c r="C23" s="100" t="n">
        <f aca="false">SUMIFS('All Transactions'!O:O,'All Transactions'!C:C,A23,'All Transactions'!E:E,"Steel/Iron")</f>
        <v>0</v>
      </c>
      <c r="D23" s="100" t="n">
        <f aca="false">SUMIFS('All Transactions'!O:O,'All Transactions'!C:C,A23,'All Transactions'!E:E,"Electrical")</f>
        <v>0</v>
      </c>
      <c r="E23" s="100" t="n">
        <f aca="false">SUMIFS('All Transactions'!O:O,'All Transactions'!C:C,A23,'All Transactions'!E:E,"Labour")</f>
        <v>0</v>
      </c>
      <c r="F23" s="100" t="n">
        <f aca="false">SUMIFS('All Transactions'!O:O,'All Transactions'!C:C,A23,'All Transactions'!E:E,"Transport")</f>
        <v>0</v>
      </c>
      <c r="G23" s="100" t="n">
        <f aca="false">SUMIFS('All Transactions'!O:O,'All Transactions'!C:C,A23,'All Transactions'!E:E,"Food/Provisions")</f>
        <v>0</v>
      </c>
      <c r="H23" s="100" t="n">
        <f aca="false">SUMIFS('All Transactions'!O:O,'All Transactions'!C:C,A23,'All Transactions'!E:E,"Professional Fees")</f>
        <v>0</v>
      </c>
      <c r="I23" s="100" t="n">
        <f aca="false">SUMIFS('All Transactions'!O:O,'All Transactions'!C:C,A23,'All Transactions'!E:E,"Land Development")</f>
        <v>0</v>
      </c>
      <c r="J23" s="100" t="n">
        <f aca="false">SUMIFS('All Transactions'!O:O,'All Transactions'!C:C,A23,'All Transactions'!E:E,"Miscellaneous")</f>
        <v>0</v>
      </c>
      <c r="K23" s="101" t="n">
        <f aca="false">SUM(B23:J23)</f>
        <v>0</v>
      </c>
    </row>
    <row r="24" customFormat="false" ht="15.75" hidden="false" customHeight="true" outlineLevel="0" collapsed="false">
      <c r="A24" s="102" t="s">
        <v>495</v>
      </c>
      <c r="B24" s="103" t="n">
        <f aca="false">SUMIFS('All Transactions'!O:O,'All Transactions'!C:C,A24,'All Transactions'!E:E,"Building Materials")</f>
        <v>0</v>
      </c>
      <c r="C24" s="103" t="n">
        <f aca="false">SUMIFS('All Transactions'!O:O,'All Transactions'!C:C,A24,'All Transactions'!E:E,"Steel/Iron")</f>
        <v>0</v>
      </c>
      <c r="D24" s="103" t="n">
        <f aca="false">SUMIFS('All Transactions'!O:O,'All Transactions'!C:C,A24,'All Transactions'!E:E,"Electrical")</f>
        <v>0</v>
      </c>
      <c r="E24" s="103" t="n">
        <f aca="false">SUMIFS('All Transactions'!O:O,'All Transactions'!C:C,A24,'All Transactions'!E:E,"Labour")</f>
        <v>0</v>
      </c>
      <c r="F24" s="103" t="n">
        <f aca="false">SUMIFS('All Transactions'!O:O,'All Transactions'!C:C,A24,'All Transactions'!E:E,"Transport")</f>
        <v>0</v>
      </c>
      <c r="G24" s="103" t="n">
        <f aca="false">SUMIFS('All Transactions'!O:O,'All Transactions'!C:C,A24,'All Transactions'!E:E,"Food/Provisions")</f>
        <v>0</v>
      </c>
      <c r="H24" s="103" t="n">
        <f aca="false">SUMIFS('All Transactions'!O:O,'All Transactions'!C:C,A24,'All Transactions'!E:E,"Professional Fees")</f>
        <v>0</v>
      </c>
      <c r="I24" s="103" t="n">
        <f aca="false">SUMIFS('All Transactions'!O:O,'All Transactions'!C:C,A24,'All Transactions'!E:E,"Land Development")</f>
        <v>0</v>
      </c>
      <c r="J24" s="103" t="n">
        <f aca="false">SUMIFS('All Transactions'!O:O,'All Transactions'!C:C,A24,'All Transactions'!E:E,"Miscellaneous")</f>
        <v>0</v>
      </c>
      <c r="K24" s="104" t="n">
        <f aca="false">SUM(B24:J24)</f>
        <v>0</v>
      </c>
    </row>
    <row r="25" customFormat="false" ht="15.75" hidden="false" customHeight="true" outlineLevel="0" collapsed="false">
      <c r="A25" s="105" t="s">
        <v>496</v>
      </c>
      <c r="B25" s="106" t="n">
        <f aca="false">SUM(B5:B24)</f>
        <v>509782</v>
      </c>
      <c r="C25" s="106" t="n">
        <f aca="false">SUM(C5:C24)</f>
        <v>342360</v>
      </c>
      <c r="D25" s="106" t="n">
        <f aca="false">SUM(D5:D24)</f>
        <v>0</v>
      </c>
      <c r="E25" s="106" t="n">
        <f aca="false">SUM(E5:E24)</f>
        <v>26220</v>
      </c>
      <c r="F25" s="106" t="n">
        <f aca="false">SUM(F5:F24)</f>
        <v>1300</v>
      </c>
      <c r="G25" s="106" t="n">
        <f aca="false">SUM(G5:G24)</f>
        <v>3285</v>
      </c>
      <c r="H25" s="106" t="n">
        <f aca="false">SUM(H5:H24)</f>
        <v>226000</v>
      </c>
      <c r="I25" s="106" t="n">
        <f aca="false">SUM(I5:I24)</f>
        <v>42100</v>
      </c>
      <c r="J25" s="106" t="n">
        <f aca="false">SUM(J5:J24)</f>
        <v>4475</v>
      </c>
      <c r="K25" s="106" t="n">
        <f aca="false">SUM(K5:K24)</f>
        <v>1155522</v>
      </c>
    </row>
    <row r="26" customFormat="false" ht="15" hidden="false" customHeight="true" outlineLevel="0" collapsed="false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customFormat="false" ht="15" hidden="false" customHeight="true" outlineLevel="0" collapsed="false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customFormat="false" ht="15" hidden="false" customHeight="true" outlineLevel="0" collapsed="false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customFormat="false" ht="15" hidden="false" customHeight="true" outlineLevel="0" collapsed="false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9" activeCellId="0" sqref="D9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26"/>
    <col collapsed="false" customWidth="true" hidden="false" outlineLevel="0" max="2" min="2" style="17" width="12"/>
    <col collapsed="false" customWidth="true" hidden="false" outlineLevel="0" max="5" min="3" style="17" width="16"/>
    <col collapsed="false" customWidth="true" hidden="false" outlineLevel="0" max="6" min="6" style="17" width="14"/>
    <col collapsed="false" customWidth="true" hidden="false" outlineLevel="0" max="7" min="7" style="17" width="12"/>
    <col collapsed="false" customWidth="true" hidden="false" outlineLevel="0" max="8" min="8" style="17" width="22"/>
  </cols>
  <sheetData>
    <row r="1" customFormat="false" ht="17.25" hidden="false" customHeight="true" outlineLevel="0" collapsed="false">
      <c r="A1" s="107" t="s">
        <v>497</v>
      </c>
      <c r="B1" s="107"/>
      <c r="C1" s="107"/>
      <c r="D1" s="107"/>
      <c r="E1" s="107"/>
      <c r="F1" s="107"/>
      <c r="G1" s="107"/>
      <c r="H1" s="107"/>
      <c r="I1" s="108"/>
    </row>
    <row r="2" customFormat="false" ht="15.75" hidden="false" customHeight="true" outlineLevel="0" collapsed="false">
      <c r="A2" s="109" t="s">
        <v>498</v>
      </c>
      <c r="B2" s="109"/>
      <c r="C2" s="109"/>
      <c r="D2" s="109"/>
      <c r="E2" s="109"/>
      <c r="F2" s="109"/>
      <c r="G2" s="109"/>
      <c r="H2" s="109"/>
      <c r="I2" s="108"/>
    </row>
    <row r="3" customFormat="false" ht="15" hidden="false" customHeight="true" outlineLevel="0" collapsed="false">
      <c r="A3" s="108"/>
      <c r="B3" s="108"/>
      <c r="C3" s="108"/>
      <c r="D3" s="108"/>
      <c r="E3" s="108"/>
      <c r="F3" s="108"/>
      <c r="G3" s="108"/>
      <c r="H3" s="108"/>
      <c r="I3" s="108"/>
    </row>
    <row r="4" customFormat="false" ht="26.25" hidden="false" customHeight="true" outlineLevel="0" collapsed="false">
      <c r="A4" s="110" t="s">
        <v>154</v>
      </c>
      <c r="B4" s="110" t="s">
        <v>499</v>
      </c>
      <c r="C4" s="110" t="s">
        <v>500</v>
      </c>
      <c r="D4" s="110" t="s">
        <v>501</v>
      </c>
      <c r="E4" s="110" t="s">
        <v>157</v>
      </c>
      <c r="F4" s="110" t="s">
        <v>158</v>
      </c>
      <c r="G4" s="110" t="s">
        <v>502</v>
      </c>
      <c r="H4" s="110" t="s">
        <v>503</v>
      </c>
      <c r="I4" s="108"/>
    </row>
    <row r="5" customFormat="false" ht="15.75" hidden="false" customHeight="true" outlineLevel="0" collapsed="false">
      <c r="A5" s="99" t="s">
        <v>109</v>
      </c>
      <c r="B5" s="111" t="n">
        <f aca="false">COUNTIF('All Transactions'!H:H,A5)</f>
        <v>25</v>
      </c>
      <c r="C5" s="100" t="n">
        <f aca="false">SUMIF('All Transactions'!H:H,A5,'All Transactions'!O:O)</f>
        <v>414130</v>
      </c>
      <c r="D5" s="100" t="n">
        <f aca="false">SUMIF('Payment Tracker'!D:D,A5,'Payment Tracker'!G:G)</f>
        <v>414130</v>
      </c>
      <c r="E5" s="112" t="n">
        <f aca="false">C5-D5</f>
        <v>0</v>
      </c>
      <c r="F5" s="113" t="str">
        <f aca="false">IF(C5=0,"No Billing",IF(E5&lt;=0,"Fully Paid",IF(D5=0,"Unpaid","Partial")))</f>
        <v>Fully Paid</v>
      </c>
      <c r="G5" s="114" t="n">
        <f aca="false">IFERROR(C5/C$17,"")</f>
        <v>0.373523511967039</v>
      </c>
      <c r="H5" s="99"/>
      <c r="I5" s="108"/>
    </row>
    <row r="6" customFormat="false" ht="15.75" hidden="false" customHeight="true" outlineLevel="0" collapsed="false">
      <c r="A6" s="102" t="s">
        <v>111</v>
      </c>
      <c r="B6" s="115" t="n">
        <f aca="false">COUNTIF('All Transactions'!H:H,A6)</f>
        <v>12</v>
      </c>
      <c r="C6" s="103" t="n">
        <f aca="false">SUMIF('All Transactions'!H:H,A6,'All Transactions'!O:O)</f>
        <v>153000</v>
      </c>
      <c r="D6" s="103" t="n">
        <f aca="false">SUMIF('Payment Tracker'!D:D,A6,'Payment Tracker'!G:G)</f>
        <v>369000</v>
      </c>
      <c r="E6" s="116" t="n">
        <f aca="false">C6-D6</f>
        <v>-216000</v>
      </c>
      <c r="F6" s="117" t="str">
        <f aca="false">IF(C6=0,"No Billing",IF(E6&lt;=0,"Fully Paid",IF(D6=0,"Unpaid","Partial")))</f>
        <v>Fully Paid</v>
      </c>
      <c r="G6" s="118" t="n">
        <f aca="false">IFERROR(C6/C$17,"")</f>
        <v>0.137997965206474</v>
      </c>
      <c r="H6" s="102"/>
      <c r="I6" s="108"/>
    </row>
    <row r="7" customFormat="false" ht="15.75" hidden="false" customHeight="true" outlineLevel="0" collapsed="false">
      <c r="A7" s="99" t="s">
        <v>117</v>
      </c>
      <c r="B7" s="111" t="n">
        <f aca="false">COUNTIF('All Transactions'!H:H,A7)</f>
        <v>2</v>
      </c>
      <c r="C7" s="100" t="n">
        <f aca="false">SUMIF('All Transactions'!H:H,A7,'All Transactions'!O:O)</f>
        <v>110000</v>
      </c>
      <c r="D7" s="100" t="n">
        <f aca="false">SUMIF('Payment Tracker'!D:D,A7,'Payment Tracker'!G:G)</f>
        <v>110000</v>
      </c>
      <c r="E7" s="112" t="n">
        <f aca="false">C7-D7</f>
        <v>0</v>
      </c>
      <c r="F7" s="113" t="str">
        <f aca="false">IF(C7=0,"No Billing",IF(E7&lt;=0,"Fully Paid",IF(D7=0,"Unpaid","Partial")))</f>
        <v>Fully Paid</v>
      </c>
      <c r="G7" s="114" t="n">
        <f aca="false">IFERROR(C7/C$17,"")</f>
        <v>0.0992142233510596</v>
      </c>
      <c r="H7" s="99"/>
      <c r="I7" s="108"/>
    </row>
    <row r="8" customFormat="false" ht="15.75" hidden="false" customHeight="true" outlineLevel="0" collapsed="false">
      <c r="A8" s="102" t="s">
        <v>115</v>
      </c>
      <c r="B8" s="115" t="n">
        <f aca="false">COUNTIF('All Transactions'!H:H,A8)</f>
        <v>2</v>
      </c>
      <c r="C8" s="103" t="n">
        <f aca="false">SUMIF('All Transactions'!H:H,A8,'All Transactions'!O:O)</f>
        <v>161982</v>
      </c>
      <c r="D8" s="103" t="n">
        <f aca="false">SUMIF('Payment Tracker'!D:D,A8,'Payment Tracker'!G:G)</f>
        <v>161982</v>
      </c>
      <c r="E8" s="116" t="n">
        <f aca="false">C8-D8</f>
        <v>0</v>
      </c>
      <c r="F8" s="117" t="str">
        <f aca="false">IF(C8=0,"No Billing",IF(E8&lt;=0,"Fully Paid",IF(D8=0,"Unpaid","Partial")))</f>
        <v>Fully Paid</v>
      </c>
      <c r="G8" s="118" t="n">
        <f aca="false">IFERROR(C8/C$17,"")</f>
        <v>0.14609925751683</v>
      </c>
      <c r="H8" s="102"/>
      <c r="I8" s="108"/>
    </row>
    <row r="9" customFormat="false" ht="15.75" hidden="false" customHeight="true" outlineLevel="0" collapsed="false">
      <c r="A9" s="99" t="s">
        <v>234</v>
      </c>
      <c r="B9" s="111" t="n">
        <f aca="false">COUNTIF('All Transactions'!H:H,A9)</f>
        <v>0</v>
      </c>
      <c r="C9" s="100" t="n">
        <f aca="false">SUMIF('All Transactions'!H:H,A9,'All Transactions'!O:O)</f>
        <v>0</v>
      </c>
      <c r="D9" s="100" t="n">
        <f aca="false">SUMIF('Payment Tracker'!D:D,A9,'Payment Tracker'!G:G)</f>
        <v>0</v>
      </c>
      <c r="E9" s="112" t="n">
        <f aca="false">C9-D9</f>
        <v>0</v>
      </c>
      <c r="F9" s="113" t="str">
        <f aca="false">IF(C9=0,"No Billing",IF(E9&lt;=0,"Fully Paid",IF(D9=0,"Unpaid","Partial")))</f>
        <v>No Billing</v>
      </c>
      <c r="G9" s="114" t="n">
        <f aca="false">IFERROR(C9/C$17,"")</f>
        <v>0</v>
      </c>
      <c r="H9" s="99"/>
      <c r="I9" s="108"/>
    </row>
    <row r="10" customFormat="false" ht="15.75" hidden="false" customHeight="true" outlineLevel="0" collapsed="false">
      <c r="A10" s="102" t="s">
        <v>119</v>
      </c>
      <c r="B10" s="115" t="n">
        <f aca="false">COUNTIF('All Transactions'!H:H,A10)</f>
        <v>3</v>
      </c>
      <c r="C10" s="103" t="n">
        <f aca="false">SUMIF('All Transactions'!H:H,A10,'All Transactions'!O:O)</f>
        <v>42100</v>
      </c>
      <c r="D10" s="103" t="n">
        <f aca="false">SUMIF('Payment Tracker'!D:D,A10,'Payment Tracker'!G:G)</f>
        <v>5000</v>
      </c>
      <c r="E10" s="116" t="n">
        <f aca="false">C10-D10</f>
        <v>37100</v>
      </c>
      <c r="F10" s="117" t="str">
        <f aca="false">IF(C10=0,"No Billing",IF(E10&lt;=0,"Fully Paid",IF(D10=0,"Unpaid","Partial")))</f>
        <v>Partial</v>
      </c>
      <c r="G10" s="118" t="n">
        <f aca="false">IFERROR(C10/C$17,"")</f>
        <v>0.0379719891189055</v>
      </c>
      <c r="H10" s="102"/>
      <c r="I10" s="108"/>
    </row>
    <row r="11" customFormat="false" ht="15.75" hidden="false" customHeight="true" outlineLevel="0" collapsed="false">
      <c r="A11" s="99" t="s">
        <v>248</v>
      </c>
      <c r="B11" s="111" t="n">
        <f aca="false">COUNTIF('All Transactions'!H:H,A11)</f>
        <v>0</v>
      </c>
      <c r="C11" s="100" t="n">
        <f aca="false">SUMIF('All Transactions'!H:H,A11,'All Transactions'!O:O)</f>
        <v>0</v>
      </c>
      <c r="D11" s="100" t="n">
        <f aca="false">SUMIF('Payment Tracker'!D:D,A11,'Payment Tracker'!G:G)</f>
        <v>0</v>
      </c>
      <c r="E11" s="112" t="n">
        <f aca="false">C11-D11</f>
        <v>0</v>
      </c>
      <c r="F11" s="113" t="str">
        <f aca="false">IF(C11=0,"No Billing",IF(E11&lt;=0,"Fully Paid",IF(D11=0,"Unpaid","Partial")))</f>
        <v>No Billing</v>
      </c>
      <c r="G11" s="114" t="n">
        <f aca="false">IFERROR(C11/C$17,"")</f>
        <v>0</v>
      </c>
      <c r="H11" s="99"/>
      <c r="I11" s="108"/>
    </row>
    <row r="12" customFormat="false" ht="15.75" hidden="false" customHeight="true" outlineLevel="0" collapsed="false">
      <c r="A12" s="102" t="s">
        <v>255</v>
      </c>
      <c r="B12" s="115" t="n">
        <f aca="false">COUNTIF('All Transactions'!H:H,A12)</f>
        <v>0</v>
      </c>
      <c r="C12" s="103" t="n">
        <f aca="false">SUMIF('All Transactions'!H:H,A12,'All Transactions'!O:O)</f>
        <v>0</v>
      </c>
      <c r="D12" s="103" t="n">
        <f aca="false">SUMIF('Payment Tracker'!D:D,A12,'Payment Tracker'!G:G)</f>
        <v>0</v>
      </c>
      <c r="E12" s="116" t="n">
        <f aca="false">C12-D12</f>
        <v>0</v>
      </c>
      <c r="F12" s="117" t="str">
        <f aca="false">IF(C12=0,"No Billing",IF(E12&lt;=0,"Fully Paid",IF(D12=0,"Unpaid","Partial")))</f>
        <v>No Billing</v>
      </c>
      <c r="G12" s="118" t="n">
        <f aca="false">IFERROR(C12/C$17,"")</f>
        <v>0</v>
      </c>
      <c r="H12" s="102"/>
      <c r="I12" s="108"/>
    </row>
    <row r="13" customFormat="false" ht="15.75" hidden="false" customHeight="true" outlineLevel="0" collapsed="false">
      <c r="A13" s="99" t="s">
        <v>260</v>
      </c>
      <c r="B13" s="111" t="n">
        <f aca="false">COUNTIF('All Transactions'!H:H,A13)</f>
        <v>0</v>
      </c>
      <c r="C13" s="100" t="n">
        <f aca="false">SUMIF('All Transactions'!H:H,A13,'All Transactions'!O:O)</f>
        <v>0</v>
      </c>
      <c r="D13" s="100" t="n">
        <f aca="false">SUMIF('Payment Tracker'!D:D,A13,'Payment Tracker'!G:G)</f>
        <v>0</v>
      </c>
      <c r="E13" s="112" t="n">
        <f aca="false">C13-D13</f>
        <v>0</v>
      </c>
      <c r="F13" s="113" t="str">
        <f aca="false">IF(C13=0,"No Billing",IF(E13&lt;=0,"Fully Paid",IF(D13=0,"Unpaid","Partial")))</f>
        <v>No Billing</v>
      </c>
      <c r="G13" s="114" t="n">
        <f aca="false">IFERROR(C13/C$17,"")</f>
        <v>0</v>
      </c>
      <c r="H13" s="99"/>
      <c r="I13" s="108"/>
    </row>
    <row r="14" customFormat="false" ht="15.75" hidden="false" customHeight="true" outlineLevel="0" collapsed="false">
      <c r="A14" s="102" t="s">
        <v>170</v>
      </c>
      <c r="B14" s="115" t="n">
        <f aca="false">COUNTIF('All Transactions'!H:H,A14)</f>
        <v>1</v>
      </c>
      <c r="C14" s="103" t="n">
        <f aca="false">SUMIF('All Transactions'!H:H,A14,'All Transactions'!O:O)</f>
        <v>1500</v>
      </c>
      <c r="D14" s="103" t="n">
        <f aca="false">SUMIF('Payment Tracker'!D:D,A14,'Payment Tracker'!G:G)</f>
        <v>1500</v>
      </c>
      <c r="E14" s="116" t="n">
        <f aca="false">C14-D14</f>
        <v>0</v>
      </c>
      <c r="F14" s="117" t="str">
        <f aca="false">IF(C14=0,"No Billing",IF(E14&lt;=0,"Fully Paid",IF(D14=0,"Unpaid","Partial")))</f>
        <v>Fully Paid</v>
      </c>
      <c r="G14" s="118" t="n">
        <f aca="false">IFERROR(C14/C$17,"")</f>
        <v>0.00135292122751445</v>
      </c>
      <c r="H14" s="102"/>
      <c r="I14" s="108"/>
    </row>
    <row r="15" customFormat="false" ht="15.75" hidden="false" customHeight="true" outlineLevel="0" collapsed="false">
      <c r="A15" s="99" t="s">
        <v>113</v>
      </c>
      <c r="B15" s="111" t="n">
        <f aca="false">COUNTIF('All Transactions'!H:H,A15)</f>
        <v>6</v>
      </c>
      <c r="C15" s="100" t="n">
        <f aca="false">SUMIF('All Transactions'!H:H,A15,'All Transactions'!O:O)</f>
        <v>226000</v>
      </c>
      <c r="D15" s="100" t="n">
        <f aca="false">SUMIF('Payment Tracker'!D:D,A15,'Payment Tracker'!G:G)</f>
        <v>226000</v>
      </c>
      <c r="E15" s="112" t="n">
        <f aca="false">C15-D15</f>
        <v>0</v>
      </c>
      <c r="F15" s="113" t="str">
        <f aca="false">IF(C15=0,"No Billing",IF(E15&lt;=0,"Fully Paid",IF(D15=0,"Unpaid","Partial")))</f>
        <v>Fully Paid</v>
      </c>
      <c r="G15" s="114" t="n">
        <f aca="false">IFERROR(C15/C$17,"")</f>
        <v>0.203840131612177</v>
      </c>
      <c r="H15" s="99"/>
      <c r="I15" s="108"/>
    </row>
    <row r="16" customFormat="false" ht="15.75" hidden="false" customHeight="true" outlineLevel="0" collapsed="false">
      <c r="A16" s="102" t="s">
        <v>272</v>
      </c>
      <c r="B16" s="115" t="n">
        <f aca="false">COUNTIF('All Transactions'!H:H,A16)</f>
        <v>0</v>
      </c>
      <c r="C16" s="103" t="n">
        <f aca="false">SUMIF('All Transactions'!H:H,A16,'All Transactions'!O:O)</f>
        <v>0</v>
      </c>
      <c r="D16" s="103" t="n">
        <f aca="false">SUMIF('Payment Tracker'!D:D,A16,'Payment Tracker'!G:G)</f>
        <v>0</v>
      </c>
      <c r="E16" s="116" t="n">
        <f aca="false">C16-D16</f>
        <v>0</v>
      </c>
      <c r="F16" s="117" t="str">
        <f aca="false">IF(C16=0,"No Billing",IF(E16&lt;=0,"Fully Paid",IF(D16=0,"Unpaid","Partial")))</f>
        <v>No Billing</v>
      </c>
      <c r="G16" s="118" t="n">
        <f aca="false">IFERROR(C16/C$17,"")</f>
        <v>0</v>
      </c>
      <c r="H16" s="102"/>
      <c r="I16" s="108"/>
    </row>
    <row r="17" customFormat="false" ht="15.75" hidden="false" customHeight="true" outlineLevel="0" collapsed="false">
      <c r="A17" s="105" t="s">
        <v>165</v>
      </c>
      <c r="B17" s="119" t="n">
        <f aca="false">SUM(B5:B16)</f>
        <v>51</v>
      </c>
      <c r="C17" s="106" t="n">
        <f aca="false">SUM(C5:C16)</f>
        <v>1108712</v>
      </c>
      <c r="D17" s="106" t="n">
        <f aca="false">SUM(D5:D16)</f>
        <v>1287612</v>
      </c>
      <c r="E17" s="106" t="n">
        <f aca="false">SUM(E5:E16)</f>
        <v>-178900</v>
      </c>
      <c r="F17" s="105"/>
      <c r="G17" s="105"/>
      <c r="H17" s="105"/>
      <c r="I17" s="108"/>
    </row>
    <row r="18" customFormat="false" ht="15" hidden="false" customHeight="true" outlineLevel="0" collapsed="false">
      <c r="A18" s="108"/>
      <c r="B18" s="108"/>
      <c r="C18" s="108"/>
      <c r="D18" s="108"/>
      <c r="E18" s="108"/>
      <c r="F18" s="108"/>
      <c r="G18" s="108"/>
      <c r="H18" s="108"/>
      <c r="I18" s="108"/>
    </row>
    <row r="19" customFormat="false" ht="15" hidden="false" customHeight="true" outlineLevel="0" collapsed="false">
      <c r="A19" s="108"/>
      <c r="B19" s="108"/>
      <c r="C19" s="108"/>
      <c r="D19" s="108"/>
      <c r="E19" s="108"/>
      <c r="F19" s="108"/>
      <c r="G19" s="108"/>
      <c r="H19" s="108"/>
      <c r="I19" s="108"/>
    </row>
    <row r="20" customFormat="false" ht="15" hidden="false" customHeight="true" outlineLevel="0" collapsed="false">
      <c r="A20" s="108"/>
      <c r="B20" s="108"/>
      <c r="C20" s="108"/>
      <c r="D20" s="108"/>
      <c r="E20" s="108"/>
      <c r="F20" s="108"/>
      <c r="G20" s="108"/>
      <c r="H20" s="108"/>
      <c r="I20" s="108"/>
    </row>
    <row r="21" customFormat="false" ht="15" hidden="false" customHeight="true" outlineLevel="0" collapsed="false">
      <c r="A21" s="108"/>
      <c r="B21" s="108"/>
      <c r="C21" s="108"/>
      <c r="D21" s="108"/>
      <c r="E21" s="108"/>
      <c r="F21" s="108"/>
      <c r="G21" s="108"/>
      <c r="H21" s="108"/>
      <c r="I21" s="108"/>
    </row>
    <row r="22" customFormat="false" ht="15" hidden="false" customHeight="true" outlineLevel="0" collapsed="false">
      <c r="A22" s="108"/>
      <c r="B22" s="108"/>
      <c r="C22" s="108"/>
      <c r="D22" s="108"/>
      <c r="E22" s="108"/>
      <c r="F22" s="108"/>
      <c r="G22" s="108"/>
      <c r="H22" s="108"/>
      <c r="I22" s="108"/>
    </row>
    <row r="23" customFormat="false" ht="15" hidden="false" customHeight="true" outlineLevel="0" collapsed="false">
      <c r="A23" s="108"/>
      <c r="B23" s="108"/>
      <c r="C23" s="108"/>
      <c r="D23" s="108"/>
      <c r="E23" s="108"/>
      <c r="F23" s="108"/>
      <c r="G23" s="108"/>
      <c r="H23" s="108"/>
      <c r="I23" s="108"/>
    </row>
    <row r="24" customFormat="false" ht="15" hidden="false" customHeight="true" outlineLevel="0" collapsed="false">
      <c r="A24" s="108"/>
      <c r="B24" s="108"/>
      <c r="C24" s="108"/>
      <c r="D24" s="108"/>
      <c r="E24" s="108"/>
      <c r="F24" s="108"/>
      <c r="G24" s="108"/>
      <c r="H24" s="108"/>
      <c r="I24" s="10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2026-05-12T15:34:41Z</dcterms:created>
  <dc:creator>openpyxl</dc:creator>
  <dc:description/>
  <dc:language>en-US</dc:language>
  <cp:lastModifiedBy/>
  <dcterms:modified xsi:type="dcterms:W3CDTF">2026-06-05T05:49:07Z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