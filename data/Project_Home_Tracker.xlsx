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4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t="n">
        <v>651</v>
      </c>
      <c r="B643" s="128" t="n">
        <v>46302</v>
      </c>
      <c r="C643">
        <f>IF(B643="","",TEXT(B643,"MMM-YYYY"))</f>
        <v/>
      </c>
      <c r="D643" t="inlineStr">
        <is>
          <t>Plinth Phase</t>
        </is>
      </c>
      <c r="E643" t="inlineStr">
        <is>
          <t>Professional Fees</t>
        </is>
      </c>
      <c r="F643" t="inlineStr">
        <is>
          <t>Engineer Supervision</t>
        </is>
      </c>
      <c r="G643" t="inlineStr">
        <is>
          <t>Construction work done — general site supervision &amp; labour (Papa, 7-Oct)</t>
        </is>
      </c>
      <c r="H643" t="inlineStr">
        <is>
          <t>Econ Builder</t>
        </is>
      </c>
      <c r="I643" t="n">
        <v>1</v>
      </c>
      <c r="J643" t="inlineStr">
        <is>
          <t>Lumpsum</t>
        </is>
      </c>
      <c r="K643" t="n">
        <v>25000</v>
      </c>
      <c r="L643">
        <f>IF(OR(I643="",K643=""),"",I643*K643)</f>
        <v/>
      </c>
      <c r="N643">
        <f>M643*L643</f>
        <v/>
      </c>
      <c r="O643">
        <f>IF(L643="","",IF(M643="",L643,L643*(1-M643)))</f>
        <v/>
      </c>
    </row>
    <row r="644">
      <c r="A644" t="n">
        <v>652</v>
      </c>
      <c r="B644" s="128" t="n">
        <v>46303</v>
      </c>
      <c r="C644">
        <f>IF(B644="","",TEXT(B644,"MMM-YYYY"))</f>
        <v/>
      </c>
      <c r="D644" t="inlineStr">
        <is>
          <t>Plinth Phase</t>
        </is>
      </c>
      <c r="E644" t="inlineStr">
        <is>
          <t>Professional Fees</t>
        </is>
      </c>
      <c r="F644" t="inlineStr">
        <is>
          <t>Engineer Supervision</t>
        </is>
      </c>
      <c r="G644" t="inlineStr">
        <is>
          <t>Construction work done — general site supervision &amp; labour (Papa, 8-Oct)</t>
        </is>
      </c>
      <c r="H644" t="inlineStr">
        <is>
          <t>Econ Builder</t>
        </is>
      </c>
      <c r="I644" t="n">
        <v>1</v>
      </c>
      <c r="J644" t="inlineStr">
        <is>
          <t>Lumpsum</t>
        </is>
      </c>
      <c r="K644" t="n">
        <v>20000</v>
      </c>
      <c r="L644">
        <f>IF(OR(I644="",K644=""),"",I644*K644)</f>
        <v/>
      </c>
      <c r="N644">
        <f>M644*L644</f>
        <v/>
      </c>
      <c r="O644">
        <f>IF(L644="","",IF(M644="",L644,L644*(1-M644)))</f>
        <v/>
      </c>
    </row>
    <row r="645">
      <c r="A645" t="n">
        <v>653</v>
      </c>
      <c r="B645" s="128" t="n">
        <v>46303</v>
      </c>
      <c r="C645">
        <f>IF(B645="","",TEXT(B645,"MMM-YYYY"))</f>
        <v/>
      </c>
      <c r="D645" t="inlineStr">
        <is>
          <t>Plinth Phase</t>
        </is>
      </c>
      <c r="E645" t="inlineStr">
        <is>
          <t>Electrical</t>
        </is>
      </c>
      <c r="F645" t="inlineStr">
        <is>
          <t>Electrical Items</t>
        </is>
      </c>
      <c r="G645" t="inlineStr">
        <is>
          <t>Electrical items — Mittal Electric, Darbhanga</t>
        </is>
      </c>
      <c r="H645" t="inlineStr">
        <is>
          <t>Mittal Electric</t>
        </is>
      </c>
      <c r="I645" t="n">
        <v>1</v>
      </c>
      <c r="J645" t="inlineStr">
        <is>
          <t>Lumpsum</t>
        </is>
      </c>
      <c r="K645" t="n">
        <v>21065</v>
      </c>
      <c r="L645">
        <f>IF(OR(I645="",K645=""),"",I645*K645)</f>
        <v/>
      </c>
      <c r="N645">
        <f>M645*L645</f>
        <v/>
      </c>
      <c r="O645">
        <f>IF(L645="","",IF(M645="",L645,L645*(1-M645)))</f>
        <v/>
      </c>
    </row>
    <row r="646">
      <c r="A646" t="n">
        <v>654</v>
      </c>
      <c r="B646" s="128" t="n">
        <v>46304</v>
      </c>
      <c r="C646">
        <f>IF(B646="","",TEXT(B646,"MMM-YYYY"))</f>
        <v/>
      </c>
      <c r="D646" t="inlineStr">
        <is>
          <t>Plinth Phase</t>
        </is>
      </c>
      <c r="E646" t="inlineStr">
        <is>
          <t>Building Materials</t>
        </is>
      </c>
      <c r="F646" t="inlineStr">
        <is>
          <t>Sand</t>
        </is>
      </c>
      <c r="G646" t="inlineStr">
        <is>
          <t>Sand delivery — 40 MT @ ₹1,400/MT</t>
        </is>
      </c>
      <c r="H646" t="inlineStr">
        <is>
          <t>Sand Truck Wala</t>
        </is>
      </c>
      <c r="I646" t="n">
        <v>40</v>
      </c>
      <c r="J646" t="inlineStr">
        <is>
          <t>MT</t>
        </is>
      </c>
      <c r="K646" t="n">
        <v>1400</v>
      </c>
      <c r="L646">
        <f>IF(OR(I646="",K646=""),"",I646*K646)</f>
        <v/>
      </c>
      <c r="N646">
        <f>M646*L646</f>
        <v/>
      </c>
      <c r="O646">
        <f>IF(L646="","",IF(M646="",L646,L646*(1-M646)))</f>
        <v/>
      </c>
    </row>
    <row r="647">
      <c r="A647" t="n">
        <v>655</v>
      </c>
      <c r="B647" s="128" t="n">
        <v>46304</v>
      </c>
      <c r="C647">
        <f>IF(B647="","",TEXT(B647,"MMM-YYYY"))</f>
        <v/>
      </c>
      <c r="D647" t="inlineStr">
        <is>
          <t>Plinth Phase</t>
        </is>
      </c>
      <c r="E647" t="inlineStr">
        <is>
          <t>Transport · Food · Misc</t>
        </is>
      </c>
      <c r="F647" t="inlineStr">
        <is>
          <t>Fuel</t>
        </is>
      </c>
      <c r="G647" t="inlineStr">
        <is>
          <t>Diesel 10 litres @ ₹100/L</t>
        </is>
      </c>
      <c r="H647" t="inlineStr">
        <is>
          <t>Local Purchase</t>
        </is>
      </c>
      <c r="I647" t="n">
        <v>10</v>
      </c>
      <c r="J647" t="inlineStr">
        <is>
          <t>Litres</t>
        </is>
      </c>
      <c r="K647" t="n">
        <v>100</v>
      </c>
      <c r="L647">
        <f>IF(OR(I647="",K647=""),"",I647*K647)</f>
        <v/>
      </c>
      <c r="N647">
        <f>M647*L647</f>
        <v/>
      </c>
      <c r="O647">
        <f>IF(L647="","",IF(M647="",L647,L647*(1-M647)))</f>
        <v/>
      </c>
    </row>
    <row r="648">
      <c r="A648" s="60" t="inlineStr">
        <is>
          <t>TOTALS</t>
        </is>
      </c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1">
        <f>SUM(L5:L647)</f>
        <v/>
      </c>
      <c r="M648" s="60" t="n"/>
      <c r="N648" s="60" t="n"/>
      <c r="O648" s="61">
        <f>SUM(O5:O528)</f>
        <v/>
      </c>
      <c r="P648" s="60" t="n"/>
      <c r="Q64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>
        <v>46302</v>
      </c>
      <c r="C104" s="55" t="inlineStr">
        <is>
          <t>Self</t>
        </is>
      </c>
      <c r="D104" s="55" t="inlineStr">
        <is>
          <t>Pappu Hardware</t>
        </is>
      </c>
      <c r="E104" s="55" t="inlineStr">
        <is>
          <t>Steel / Iron + Cement + Building Materials</t>
        </is>
      </c>
      <c r="F104" s="55" t="inlineStr">
        <is>
          <t>Part payment against Oct bills</t>
        </is>
      </c>
      <c r="G104" s="63" t="n">
        <v>70000</v>
      </c>
      <c r="H104" s="55" t="inlineStr">
        <is>
          <t>Cash</t>
        </is>
      </c>
      <c r="I104" s="55" t="n"/>
      <c r="J104" s="55" t="n"/>
      <c r="K104" s="55" t="inlineStr">
        <is>
          <t>Y</t>
        </is>
      </c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>
        <v>46302</v>
      </c>
      <c r="C105" s="47" t="inlineStr">
        <is>
          <t>Papa</t>
        </is>
      </c>
      <c r="D105" s="47" t="inlineStr">
        <is>
          <t>Econ Builder</t>
        </is>
      </c>
      <c r="E105" s="47" t="inlineStr">
        <is>
          <t>Professional Fees</t>
        </is>
      </c>
      <c r="F105" s="47" t="inlineStr">
        <is>
          <t>Construction work done — general (Papa, 7-Oct)</t>
        </is>
      </c>
      <c r="G105" s="62" t="n">
        <v>25000</v>
      </c>
      <c r="H105" s="47" t="inlineStr">
        <is>
          <t>Cash</t>
        </is>
      </c>
      <c r="I105" s="47" t="n"/>
      <c r="J105" s="47" t="n"/>
      <c r="K105" s="47" t="inlineStr">
        <is>
          <t>Y</t>
        </is>
      </c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>
        <v>46303</v>
      </c>
      <c r="C106" s="55" t="inlineStr">
        <is>
          <t>Papa</t>
        </is>
      </c>
      <c r="D106" s="55" t="inlineStr">
        <is>
          <t>Econ Builder</t>
        </is>
      </c>
      <c r="E106" s="55" t="inlineStr">
        <is>
          <t>Professional Fees</t>
        </is>
      </c>
      <c r="F106" s="55" t="inlineStr">
        <is>
          <t>Construction work done — general (Papa, 8-Oct)</t>
        </is>
      </c>
      <c r="G106" s="63" t="n">
        <v>20000</v>
      </c>
      <c r="H106" s="55" t="inlineStr">
        <is>
          <t>Cash</t>
        </is>
      </c>
      <c r="I106" s="55" t="n"/>
      <c r="J106" s="55" t="n"/>
      <c r="K106" s="55" t="inlineStr">
        <is>
          <t>Y</t>
        </is>
      </c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>
        <v>46303</v>
      </c>
      <c r="C107" s="47" t="inlineStr">
        <is>
          <t>Self</t>
        </is>
      </c>
      <c r="D107" s="47" t="inlineStr">
        <is>
          <t>Mittal Electric</t>
        </is>
      </c>
      <c r="E107" s="47" t="inlineStr">
        <is>
          <t>Electrical</t>
        </is>
      </c>
      <c r="F107" s="47" t="inlineStr">
        <is>
          <t>Electrical items — Mittal Electric, Darbhanga</t>
        </is>
      </c>
      <c r="G107" s="62" t="n">
        <v>21065</v>
      </c>
      <c r="H107" s="47" t="inlineStr">
        <is>
          <t>Cash</t>
        </is>
      </c>
      <c r="I107" s="47" t="n"/>
      <c r="J107" s="47" t="n"/>
      <c r="K107" s="47" t="inlineStr">
        <is>
          <t>Y</t>
        </is>
      </c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>
        <v>46304</v>
      </c>
      <c r="C108" s="55" t="inlineStr">
        <is>
          <t>Self</t>
        </is>
      </c>
      <c r="D108" s="55" t="inlineStr">
        <is>
          <t>Sand Truck Wala</t>
        </is>
      </c>
      <c r="E108" s="55" t="inlineStr">
        <is>
          <t>Building Materials</t>
        </is>
      </c>
      <c r="F108" s="55" t="inlineStr">
        <is>
          <t>Sand delivery — 40 MT</t>
        </is>
      </c>
      <c r="G108" s="63" t="n">
        <v>56000</v>
      </c>
      <c r="H108" s="55" t="inlineStr">
        <is>
          <t>Cash</t>
        </is>
      </c>
      <c r="I108" s="55" t="n"/>
      <c r="J108" s="55" t="n"/>
      <c r="K108" s="55" t="inlineStr">
        <is>
          <t>Y</t>
        </is>
      </c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>
        <v>46304</v>
      </c>
      <c r="C109" s="47" t="inlineStr">
        <is>
          <t>Self</t>
        </is>
      </c>
      <c r="D109" s="47" t="inlineStr">
        <is>
          <t>Local Purchase</t>
        </is>
      </c>
      <c r="E109" s="47" t="inlineStr">
        <is>
          <t>Transport · Food · Misc</t>
        </is>
      </c>
      <c r="F109" s="47" t="inlineStr">
        <is>
          <t>Diesel 10 litres</t>
        </is>
      </c>
      <c r="G109" s="62" t="n">
        <v>1000</v>
      </c>
      <c r="H109" s="47" t="inlineStr">
        <is>
          <t>Cash</t>
        </is>
      </c>
      <c r="I109" s="47" t="n"/>
      <c r="J109" s="47" t="n"/>
      <c r="K109" s="47" t="inlineStr">
        <is>
          <t>Y</t>
        </is>
      </c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2026-10-09T10:16:17Z</dcterms:modified>
  <cp:lastModifiedBy>Avinash Karn</cp:lastModifiedBy>
  <cp:revision>49</cp:revision>
</cp:coreProperties>
</file>