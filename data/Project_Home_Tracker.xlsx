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43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t="n">
        <v>641</v>
      </c>
      <c r="B633" s="128" t="n">
        <v>46302</v>
      </c>
      <c r="C633">
        <f>IF(B633="","",TEXT(B633,"MMM-YYYY"))</f>
        <v/>
      </c>
      <c r="D633" t="inlineStr">
        <is>
          <t>Plinth Phase</t>
        </is>
      </c>
      <c r="E633" t="inlineStr">
        <is>
          <t>Building Materials</t>
        </is>
      </c>
      <c r="F633" t="inlineStr">
        <is>
          <t>Wood</t>
        </is>
      </c>
      <c r="G633" t="inlineStr">
        <is>
          <t>5 inch 7 feet wood × 6 pcs (gate frame, C unit)</t>
        </is>
      </c>
      <c r="H633" t="inlineStr">
        <is>
          <t>Khutauna Chirai mill</t>
        </is>
      </c>
      <c r="I633" t="n">
        <v>4.375</v>
      </c>
      <c r="J633" t="inlineStr">
        <is>
          <t>cft</t>
        </is>
      </c>
      <c r="K633" t="n">
        <v>3300</v>
      </c>
      <c r="L633">
        <f>IF(OR(I633="",K633=""),"",I633*K633)</f>
        <v/>
      </c>
      <c r="N633">
        <f>M633*L633</f>
        <v/>
      </c>
      <c r="O633">
        <f>IF(L633="","",IF(M633="",L633,L633*(1-M633)))</f>
        <v/>
      </c>
      <c r="R633" t="inlineStr">
        <is>
          <t>C</t>
        </is>
      </c>
    </row>
    <row r="634">
      <c r="A634" t="n">
        <v>642</v>
      </c>
      <c r="B634" s="128" t="n">
        <v>46302</v>
      </c>
      <c r="C634">
        <f>IF(B634="","",TEXT(B634,"MMM-YYYY"))</f>
        <v/>
      </c>
      <c r="D634" t="inlineStr">
        <is>
          <t>Plinth Phase</t>
        </is>
      </c>
      <c r="E634" t="inlineStr">
        <is>
          <t>Building Materials</t>
        </is>
      </c>
      <c r="F634" t="inlineStr">
        <is>
          <t>Wood</t>
        </is>
      </c>
      <c r="G634" t="inlineStr">
        <is>
          <t>4 inch 7 feet wood × 10 pcs (gate frame, C unit)</t>
        </is>
      </c>
      <c r="H634" t="inlineStr">
        <is>
          <t>Khutauna Chirai mill</t>
        </is>
      </c>
      <c r="I634" t="n">
        <v>5.833333333333333</v>
      </c>
      <c r="J634" t="inlineStr">
        <is>
          <t>cft</t>
        </is>
      </c>
      <c r="K634" t="n">
        <v>3300</v>
      </c>
      <c r="L634">
        <f>IF(OR(I634="",K634=""),"",I634*K634)</f>
        <v/>
      </c>
      <c r="N634">
        <f>M634*L634</f>
        <v/>
      </c>
      <c r="O634">
        <f>IF(L634="","",IF(M634="",L634,L634*(1-M634)))</f>
        <v/>
      </c>
      <c r="R634" t="inlineStr">
        <is>
          <t>C</t>
        </is>
      </c>
    </row>
    <row r="635">
      <c r="A635" t="n">
        <v>643</v>
      </c>
      <c r="B635" s="128" t="n">
        <v>46302</v>
      </c>
      <c r="C635">
        <f>IF(B635="","",TEXT(B635,"MMM-YYYY"))</f>
        <v/>
      </c>
      <c r="D635" t="inlineStr">
        <is>
          <t>Plinth Phase</t>
        </is>
      </c>
      <c r="E635" t="inlineStr">
        <is>
          <t>Building Materials</t>
        </is>
      </c>
      <c r="F635" t="inlineStr">
        <is>
          <t>Wood</t>
        </is>
      </c>
      <c r="G635" t="inlineStr">
        <is>
          <t>5 inch 3.5 feet wood × 3 pcs (gate frame, C unit)</t>
        </is>
      </c>
      <c r="H635" t="inlineStr">
        <is>
          <t>Khutauna Chirai mill</t>
        </is>
      </c>
      <c r="I635" t="n">
        <v>1.09375</v>
      </c>
      <c r="J635" t="inlineStr">
        <is>
          <t>cft</t>
        </is>
      </c>
      <c r="K635" t="n">
        <v>3300</v>
      </c>
      <c r="L635">
        <f>IF(OR(I635="",K635=""),"",I635*K635)</f>
        <v/>
      </c>
      <c r="N635">
        <f>M635*L635</f>
        <v/>
      </c>
      <c r="O635">
        <f>IF(L635="","",IF(M635="",L635,L635*(1-M635)))</f>
        <v/>
      </c>
      <c r="R635" t="inlineStr">
        <is>
          <t>C</t>
        </is>
      </c>
    </row>
    <row r="636">
      <c r="A636" t="n">
        <v>644</v>
      </c>
      <c r="B636" s="128" t="n">
        <v>46302</v>
      </c>
      <c r="C636">
        <f>IF(B636="","",TEXT(B636,"MMM-YYYY"))</f>
        <v/>
      </c>
      <c r="D636" t="inlineStr">
        <is>
          <t>Plinth Phase</t>
        </is>
      </c>
      <c r="E636" t="inlineStr">
        <is>
          <t>Building Materials</t>
        </is>
      </c>
      <c r="F636" t="inlineStr">
        <is>
          <t>Wood</t>
        </is>
      </c>
      <c r="G636" t="inlineStr">
        <is>
          <t>4 inch 3.5 feet wood × 5 pcs (gate frame, C unit)</t>
        </is>
      </c>
      <c r="H636" t="inlineStr">
        <is>
          <t>Khutauna Chirai mill</t>
        </is>
      </c>
      <c r="I636" t="n">
        <v>1.458333333333333</v>
      </c>
      <c r="J636" t="inlineStr">
        <is>
          <t>cft</t>
        </is>
      </c>
      <c r="K636" t="n">
        <v>3300</v>
      </c>
      <c r="L636">
        <f>IF(OR(I636="",K636=""),"",I636*K636)</f>
        <v/>
      </c>
      <c r="N636">
        <f>M636*L636</f>
        <v/>
      </c>
      <c r="O636">
        <f>IF(L636="","",IF(M636="",L636,L636*(1-M636)))</f>
        <v/>
      </c>
      <c r="R636" t="inlineStr">
        <is>
          <t>C</t>
        </is>
      </c>
    </row>
    <row r="637">
      <c r="A637" t="n">
        <v>645</v>
      </c>
      <c r="B637" s="128" t="n">
        <v>46302</v>
      </c>
      <c r="C637">
        <f>IF(B637="","",TEXT(B637,"MMM-YYYY"))</f>
        <v/>
      </c>
      <c r="D637" t="inlineStr">
        <is>
          <t>Plinth Phase</t>
        </is>
      </c>
      <c r="E637" t="inlineStr">
        <is>
          <t>Labour</t>
        </is>
      </c>
      <c r="F637" t="inlineStr">
        <is>
          <t>Site Labour</t>
        </is>
      </c>
      <c r="G637" t="inlineStr">
        <is>
          <t>Labour (gate frame wood, C unit)</t>
        </is>
      </c>
      <c r="H637" t="inlineStr">
        <is>
          <t>Khutauna Chirai mill</t>
        </is>
      </c>
      <c r="I637" t="n">
        <v>1</v>
      </c>
      <c r="J637" t="inlineStr">
        <is>
          <t>Lumpsum</t>
        </is>
      </c>
      <c r="K637" t="n">
        <v>400</v>
      </c>
      <c r="L637">
        <f>IF(OR(I637="",K637=""),"",I637*K637)</f>
        <v/>
      </c>
      <c r="N637">
        <f>M637*L637</f>
        <v/>
      </c>
      <c r="O637">
        <f>IF(L637="","",IF(M637="",L637,L637*(1-M637)))</f>
        <v/>
      </c>
      <c r="R637" t="inlineStr">
        <is>
          <t>C</t>
        </is>
      </c>
    </row>
    <row r="638">
      <c r="A638" t="n">
        <v>646</v>
      </c>
      <c r="B638" s="128" t="n">
        <v>46302</v>
      </c>
      <c r="C638">
        <f>IF(B638="","",TEXT(B638,"MMM-YYYY"))</f>
        <v/>
      </c>
      <c r="D638" t="inlineStr">
        <is>
          <t>Plinth Phase</t>
        </is>
      </c>
      <c r="E638" t="inlineStr">
        <is>
          <t>Building Materials</t>
        </is>
      </c>
      <c r="F638" t="inlineStr">
        <is>
          <t>Wood</t>
        </is>
      </c>
      <c r="G638" t="inlineStr">
        <is>
          <t>5 inch 7 feet wood × 4 pcs (gate frame, B unit)</t>
        </is>
      </c>
      <c r="H638" t="inlineStr">
        <is>
          <t>Khutauna Chirai mill</t>
        </is>
      </c>
      <c r="I638" t="n">
        <v>2.916666666666667</v>
      </c>
      <c r="J638" t="inlineStr">
        <is>
          <t>cft</t>
        </is>
      </c>
      <c r="K638" t="n">
        <v>3300</v>
      </c>
      <c r="L638">
        <f>IF(OR(I638="",K638=""),"",I638*K638)</f>
        <v/>
      </c>
      <c r="N638">
        <f>M638*L638</f>
        <v/>
      </c>
      <c r="O638">
        <f>IF(L638="","",IF(M638="",L638,L638*(1-M638)))</f>
        <v/>
      </c>
      <c r="R638" t="inlineStr">
        <is>
          <t>B</t>
        </is>
      </c>
    </row>
    <row r="639">
      <c r="A639" t="n">
        <v>647</v>
      </c>
      <c r="B639" s="128" t="n">
        <v>46302</v>
      </c>
      <c r="C639">
        <f>IF(B639="","",TEXT(B639,"MMM-YYYY"))</f>
        <v/>
      </c>
      <c r="D639" t="inlineStr">
        <is>
          <t>Plinth Phase</t>
        </is>
      </c>
      <c r="E639" t="inlineStr">
        <is>
          <t>Building Materials</t>
        </is>
      </c>
      <c r="F639" t="inlineStr">
        <is>
          <t>Wood</t>
        </is>
      </c>
      <c r="G639" t="inlineStr">
        <is>
          <t>4 inch 7 feet wood × 6 pcs (gate frame, B unit)</t>
        </is>
      </c>
      <c r="H639" t="inlineStr">
        <is>
          <t>Khutauna Chirai mill</t>
        </is>
      </c>
      <c r="I639" t="n">
        <v>3.5</v>
      </c>
      <c r="J639" t="inlineStr">
        <is>
          <t>cft</t>
        </is>
      </c>
      <c r="K639" t="n">
        <v>3300</v>
      </c>
      <c r="L639">
        <f>IF(OR(I639="",K639=""),"",I639*K639)</f>
        <v/>
      </c>
      <c r="N639">
        <f>M639*L639</f>
        <v/>
      </c>
      <c r="O639">
        <f>IF(L639="","",IF(M639="",L639,L639*(1-M639)))</f>
        <v/>
      </c>
      <c r="R639" t="inlineStr">
        <is>
          <t>B</t>
        </is>
      </c>
    </row>
    <row r="640">
      <c r="A640" t="n">
        <v>648</v>
      </c>
      <c r="B640" s="128" t="n">
        <v>46302</v>
      </c>
      <c r="C640">
        <f>IF(B640="","",TEXT(B640,"MMM-YYYY"))</f>
        <v/>
      </c>
      <c r="D640" t="inlineStr">
        <is>
          <t>Plinth Phase</t>
        </is>
      </c>
      <c r="E640" t="inlineStr">
        <is>
          <t>Building Materials</t>
        </is>
      </c>
      <c r="F640" t="inlineStr">
        <is>
          <t>Wood</t>
        </is>
      </c>
      <c r="G640" t="inlineStr">
        <is>
          <t>5 inch 3.5 feet wood × 2 pcs (gate frame, B unit)</t>
        </is>
      </c>
      <c r="H640" t="inlineStr">
        <is>
          <t>Khutauna Chirai mill</t>
        </is>
      </c>
      <c r="I640" t="n">
        <v>0.7291666666666666</v>
      </c>
      <c r="J640" t="inlineStr">
        <is>
          <t>cft</t>
        </is>
      </c>
      <c r="K640" t="n">
        <v>3300</v>
      </c>
      <c r="L640">
        <f>IF(OR(I640="",K640=""),"",I640*K640)</f>
        <v/>
      </c>
      <c r="N640">
        <f>M640*L640</f>
        <v/>
      </c>
      <c r="O640">
        <f>IF(L640="","",IF(M640="",L640,L640*(1-M640)))</f>
        <v/>
      </c>
      <c r="R640" t="inlineStr">
        <is>
          <t>B</t>
        </is>
      </c>
    </row>
    <row r="641">
      <c r="A641" t="n">
        <v>649</v>
      </c>
      <c r="B641" s="128" t="n">
        <v>46302</v>
      </c>
      <c r="C641">
        <f>IF(B641="","",TEXT(B641,"MMM-YYYY"))</f>
        <v/>
      </c>
      <c r="D641" t="inlineStr">
        <is>
          <t>Plinth Phase</t>
        </is>
      </c>
      <c r="E641" t="inlineStr">
        <is>
          <t>Building Materials</t>
        </is>
      </c>
      <c r="F641" t="inlineStr">
        <is>
          <t>Wood</t>
        </is>
      </c>
      <c r="G641" t="inlineStr">
        <is>
          <t>4 inch 3.5 feet wood × 3 pcs (gate frame, B unit)</t>
        </is>
      </c>
      <c r="H641" t="inlineStr">
        <is>
          <t>Khutauna Chirai mill</t>
        </is>
      </c>
      <c r="I641" t="n">
        <v>0.875</v>
      </c>
      <c r="J641" t="inlineStr">
        <is>
          <t>cft</t>
        </is>
      </c>
      <c r="K641" t="n">
        <v>3300</v>
      </c>
      <c r="L641">
        <f>IF(OR(I641="",K641=""),"",I641*K641)</f>
        <v/>
      </c>
      <c r="N641">
        <f>M641*L641</f>
        <v/>
      </c>
      <c r="O641">
        <f>IF(L641="","",IF(M641="",L641,L641*(1-M641)))</f>
        <v/>
      </c>
      <c r="R641" t="inlineStr">
        <is>
          <t>B</t>
        </is>
      </c>
    </row>
    <row r="642">
      <c r="A642" t="n">
        <v>650</v>
      </c>
      <c r="B642" s="128" t="n">
        <v>46302</v>
      </c>
      <c r="C642">
        <f>IF(B642="","",TEXT(B642,"MMM-YYYY"))</f>
        <v/>
      </c>
      <c r="D642" t="inlineStr">
        <is>
          <t>Plinth Phase</t>
        </is>
      </c>
      <c r="E642" t="inlineStr">
        <is>
          <t>Labour</t>
        </is>
      </c>
      <c r="F642" t="inlineStr">
        <is>
          <t>Site Labour</t>
        </is>
      </c>
      <c r="G642" t="inlineStr">
        <is>
          <t>Labour (gate frame wood, B unit)</t>
        </is>
      </c>
      <c r="H642" t="inlineStr">
        <is>
          <t>Khutauna Chirai mill</t>
        </is>
      </c>
      <c r="I642" t="n">
        <v>1</v>
      </c>
      <c r="J642" t="inlineStr">
        <is>
          <t>Lumpsum</t>
        </is>
      </c>
      <c r="K642" t="n">
        <v>400</v>
      </c>
      <c r="L642">
        <f>IF(OR(I642="",K642=""),"",I642*K642)</f>
        <v/>
      </c>
      <c r="N642">
        <f>M642*L642</f>
        <v/>
      </c>
      <c r="O642">
        <f>IF(L642="","",IF(M642="",L642,L642*(1-M642)))</f>
        <v/>
      </c>
      <c r="R642" t="inlineStr">
        <is>
          <t>B</t>
        </is>
      </c>
    </row>
    <row r="643">
      <c r="A643" s="60" t="inlineStr">
        <is>
          <t>TOTALS</t>
        </is>
      </c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1">
        <f>SUM(L5:L642)</f>
        <v/>
      </c>
      <c r="M643" s="60" t="n"/>
      <c r="N643" s="60" t="n"/>
      <c r="O643" s="61">
        <f>SUM(O5:O528)</f>
        <v/>
      </c>
      <c r="P643" s="60" t="n"/>
      <c r="Q643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>
        <v>46302</v>
      </c>
      <c r="C103" s="47" t="inlineStr">
        <is>
          <t>Self</t>
        </is>
      </c>
      <c r="D103" s="47" t="inlineStr">
        <is>
          <t>Khutauna Chirai mill</t>
        </is>
      </c>
      <c r="E103" s="47" t="inlineStr">
        <is>
          <t>Building Materials</t>
        </is>
      </c>
      <c r="F103" s="47" t="inlineStr">
        <is>
          <t>Wood for gate frames — C unit ₹42,509 + B unit ₹26,869</t>
        </is>
      </c>
      <c r="G103" s="62" t="n">
        <v>69378</v>
      </c>
      <c r="H103" s="47" t="inlineStr">
        <is>
          <t>Cash</t>
        </is>
      </c>
      <c r="I103" s="47" t="n"/>
      <c r="J103" s="47" t="n"/>
      <c r="K103" s="47" t="inlineStr">
        <is>
          <t>Y</t>
        </is>
      </c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>
        <v>46302</v>
      </c>
      <c r="C104" s="55" t="inlineStr">
        <is>
          <t>Self</t>
        </is>
      </c>
      <c r="D104" s="55" t="inlineStr">
        <is>
          <t>Pappu Hardware</t>
        </is>
      </c>
      <c r="E104" s="55" t="inlineStr">
        <is>
          <t>Steel / Iron + Cement + Building Materials</t>
        </is>
      </c>
      <c r="F104" s="55" t="inlineStr">
        <is>
          <t>Part payment against Oct bills</t>
        </is>
      </c>
      <c r="G104" s="63" t="n">
        <v>70000</v>
      </c>
      <c r="H104" s="55" t="inlineStr">
        <is>
          <t>Cash</t>
        </is>
      </c>
      <c r="I104" s="55" t="n"/>
      <c r="J104" s="55" t="n"/>
      <c r="K104" s="55" t="inlineStr">
        <is>
          <t>Y</t>
        </is>
      </c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2026-10-07T09:21:42Z</dcterms:modified>
  <cp:lastModifiedBy>Avinash Karn</cp:lastModifiedBy>
  <cp:revision>49</cp:revision>
</cp:coreProperties>
</file>