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44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JCB Work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17.5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Mitti 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Mitti 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Mitti 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Mitti Filling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Mitti Filling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Mitti Filling</t>
        </is>
      </c>
      <c r="G513" t="inlineStr">
        <is>
          <t>Mitti filling 22 trailers @ ₹600</t>
        </is>
      </c>
      <c r="H513" t="inlineStr">
        <is>
          <t>Mukesh Yadav</t>
        </is>
      </c>
      <c r="I513" t="n">
        <v>22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1</v>
      </c>
      <c r="J517" t="inlineStr">
        <is>
          <t>Lumpsum</t>
        </is>
      </c>
      <c r="K517" t="n">
        <v>56500</v>
      </c>
      <c r="L517">
        <f>IF(OR(I517="",K517=""),"",I517*K517)</f>
        <v/>
      </c>
      <c r="O517">
        <f>IF(L517="","",IF(M517="",L517,L517*(1-M517)))</f>
        <v/>
      </c>
    </row>
    <row r="518">
      <c r="A518" t="n">
        <v>515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Sand</t>
        </is>
      </c>
      <c r="G518" t="inlineStr">
        <is>
          <t>Sand Truck 4 — 936 CFT @ ₹59.85/CFT</t>
        </is>
      </c>
      <c r="H518" t="inlineStr">
        <is>
          <t>Sand Truck Wala</t>
        </is>
      </c>
      <c r="I518" t="n">
        <v>1</v>
      </c>
      <c r="J518" t="inlineStr">
        <is>
          <t>Lumpsum</t>
        </is>
      </c>
      <c r="K518" t="n">
        <v>56000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516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Cement</t>
        </is>
      </c>
      <c r="G519" t="inlineStr">
        <is>
          <t>Ultratech Super Cement 30B @ ₹350</t>
        </is>
      </c>
      <c r="H519" t="inlineStr">
        <is>
          <t>Pappu Hardware</t>
        </is>
      </c>
      <c r="I519" t="n">
        <v>30</v>
      </c>
      <c r="J519" t="inlineStr">
        <is>
          <t>Bag</t>
        </is>
      </c>
      <c r="K519" t="n">
        <v>350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517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Building Materials</t>
        </is>
      </c>
      <c r="F520" t="inlineStr">
        <is>
          <t>Cement</t>
        </is>
      </c>
      <c r="G520" t="inlineStr">
        <is>
          <t>Ultratech Cement (PPC) 30B @ ₹330</t>
        </is>
      </c>
      <c r="H520" t="inlineStr">
        <is>
          <t>Pappu Hardware</t>
        </is>
      </c>
      <c r="I520" t="n">
        <v>30</v>
      </c>
      <c r="J520" t="inlineStr">
        <is>
          <t>Bag</t>
        </is>
      </c>
      <c r="K520" t="n">
        <v>330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518</v>
      </c>
      <c r="B521" s="127" t="n">
        <v>46208</v>
      </c>
      <c r="C521">
        <f>IF(B521="","",TEXT(B521,"MMM-YYYY"))</f>
        <v/>
      </c>
      <c r="D521" t="inlineStr">
        <is>
          <t>Plinth Phase</t>
        </is>
      </c>
      <c r="E521" t="inlineStr">
        <is>
          <t>Steel / Iron</t>
        </is>
      </c>
      <c r="F521" t="inlineStr">
        <is>
          <t>Tiscon 6mm</t>
        </is>
      </c>
      <c r="G521" t="inlineStr">
        <is>
          <t>6mm Tiscon Rod 50 pcs @ ₹228</t>
        </is>
      </c>
      <c r="H521" t="inlineStr">
        <is>
          <t>Pappu Hardware</t>
        </is>
      </c>
      <c r="I521" t="n">
        <v>50</v>
      </c>
      <c r="J521" t="inlineStr">
        <is>
          <t>Pcs</t>
        </is>
      </c>
      <c r="K521" t="n">
        <v>228</v>
      </c>
      <c r="L521">
        <f>IF(OR(I521="",K521=""),"",I521*K521)</f>
        <v/>
      </c>
      <c r="O521">
        <f>IF(L521="","",IF(M521="",L521,L521*(1-M521)))</f>
        <v/>
      </c>
      <c r="P521" t="inlineStr">
        <is>
          <t>Self</t>
        </is>
      </c>
      <c r="Q521" t="inlineStr">
        <is>
          <t>GPay</t>
        </is>
      </c>
    </row>
    <row r="522">
      <c r="A522" t="n">
        <v>519</v>
      </c>
      <c r="B522" s="127" t="n">
        <v>46208</v>
      </c>
      <c r="C522">
        <f>IF(B522="","",TEXT(B522,"MMM-YYYY"))</f>
        <v/>
      </c>
      <c r="D522" t="inlineStr">
        <is>
          <t>Plinth Phase</t>
        </is>
      </c>
      <c r="E522" t="inlineStr">
        <is>
          <t>Building Materials</t>
        </is>
      </c>
      <c r="F522" t="inlineStr">
        <is>
          <t>Concrete/Gitti</t>
        </is>
      </c>
      <c r="G522" t="inlineStr">
        <is>
          <t>Gitti 1 trailer @ ₹7,500</t>
        </is>
      </c>
      <c r="H522" t="inlineStr">
        <is>
          <t>Pappu Hardware</t>
        </is>
      </c>
      <c r="I522" t="n">
        <v>1</v>
      </c>
      <c r="J522" t="inlineStr">
        <is>
          <t>Trailer</t>
        </is>
      </c>
      <c r="K522" t="n">
        <v>7500</v>
      </c>
      <c r="L522">
        <f>IF(OR(I522="",K522=""),"",I522*K522)</f>
        <v/>
      </c>
      <c r="O522">
        <f>IF(L522="","",IF(M522="",L522,L522*(1-M522)))</f>
        <v/>
      </c>
      <c r="P522" t="inlineStr">
        <is>
          <t>Self</t>
        </is>
      </c>
      <c r="Q522" t="inlineStr">
        <is>
          <t>GPay</t>
        </is>
      </c>
    </row>
    <row r="523">
      <c r="A523" t="n">
        <v>520</v>
      </c>
      <c r="B523" s="127" t="n">
        <v>46208</v>
      </c>
      <c r="C523">
        <f>IF(B523="","",TEXT(B523,"MMM-YYYY"))</f>
        <v/>
      </c>
      <c r="D523" t="inlineStr">
        <is>
          <t>Plinth Phase</t>
        </is>
      </c>
      <c r="E523" t="inlineStr">
        <is>
          <t>Building Materials</t>
        </is>
      </c>
      <c r="F523" t="inlineStr">
        <is>
          <t>Chemical</t>
        </is>
      </c>
      <c r="G523" t="inlineStr">
        <is>
          <t>Dr Fixit 10 Litre @ ₹140</t>
        </is>
      </c>
      <c r="H523" t="inlineStr">
        <is>
          <t>Pappu Hardware</t>
        </is>
      </c>
      <c r="I523" t="n">
        <v>10</v>
      </c>
      <c r="J523" t="inlineStr">
        <is>
          <t>Litre</t>
        </is>
      </c>
      <c r="K523" t="n">
        <v>140</v>
      </c>
      <c r="L523">
        <f>IF(OR(I523="",K523=""),"",I523*K523)</f>
        <v/>
      </c>
      <c r="O523">
        <f>IF(L523="","",IF(M523="",L523,L523*(1-M523)))</f>
        <v/>
      </c>
      <c r="P523" t="inlineStr">
        <is>
          <t>Self</t>
        </is>
      </c>
      <c r="Q523" t="inlineStr">
        <is>
          <t>GPay</t>
        </is>
      </c>
    </row>
    <row r="524">
      <c r="A524" t="n">
        <v>521</v>
      </c>
      <c r="B524" s="127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Labour</t>
        </is>
      </c>
      <c r="F524" t="inlineStr">
        <is>
          <t>Site Labour</t>
        </is>
      </c>
      <c r="G524" t="inlineStr">
        <is>
          <t>Labour/unloading charges</t>
        </is>
      </c>
      <c r="H524" t="inlineStr">
        <is>
          <t>Pappu Hardware</t>
        </is>
      </c>
      <c r="I524" t="n">
        <v>1</v>
      </c>
      <c r="J524" t="inlineStr">
        <is>
          <t>Lumpsum</t>
        </is>
      </c>
      <c r="K524" t="n">
        <v>950</v>
      </c>
      <c r="L524">
        <f>IF(OR(I524="",K524=""),"",I524*K524)</f>
        <v/>
      </c>
      <c r="O524">
        <f>IF(L524="","",IF(M524="",L524,L524*(1-M524)))</f>
        <v/>
      </c>
      <c r="P524" t="inlineStr">
        <is>
          <t>Self</t>
        </is>
      </c>
      <c r="Q524" t="inlineStr">
        <is>
          <t>GPay</t>
        </is>
      </c>
    </row>
    <row r="525">
      <c r="A525" t="n">
        <v>522</v>
      </c>
      <c r="B525" s="127" t="n">
        <v>46220</v>
      </c>
      <c r="C525">
        <f>IF(B525="","",TEXT(B525,"MMM-YYYY"))</f>
        <v/>
      </c>
      <c r="D525" t="inlineStr">
        <is>
          <t>Plinth Phase</t>
        </is>
      </c>
      <c r="E525" t="inlineStr">
        <is>
          <t>Professional Fees</t>
        </is>
      </c>
      <c r="F525" t="inlineStr">
        <is>
          <t>Engineer Supervision</t>
        </is>
      </c>
      <c r="G525" t="inlineStr">
        <is>
          <t>Engineer supervision fee — iron wiring works</t>
        </is>
      </c>
      <c r="H525" t="inlineStr">
        <is>
          <t>Econ Builder</t>
        </is>
      </c>
      <c r="I525" t="n">
        <v>1</v>
      </c>
      <c r="J525" t="inlineStr">
        <is>
          <t>Lumpsum</t>
        </is>
      </c>
      <c r="K525" t="n">
        <v>15000</v>
      </c>
      <c r="L525">
        <f>IF(OR(I525="",K525=""),"",I525*K525)</f>
        <v/>
      </c>
      <c r="O525">
        <f>IF(L525="","",IF(M525="",L525,L525*(1-M525)))</f>
        <v/>
      </c>
      <c r="P525" t="inlineStr">
        <is>
          <t>Papa</t>
        </is>
      </c>
      <c r="Q525" t="inlineStr">
        <is>
          <t>GPay</t>
        </is>
      </c>
    </row>
    <row r="526">
      <c r="A526" t="n">
        <v>523</v>
      </c>
      <c r="B526" s="127" t="n">
        <v>46220</v>
      </c>
      <c r="C526">
        <f>IF(B526="","",TEXT(B526,"MMM-YYYY"))</f>
        <v/>
      </c>
      <c r="D526" t="inlineStr">
        <is>
          <t>Plinth Phase</t>
        </is>
      </c>
      <c r="E526" t="inlineStr">
        <is>
          <t>Building Materials</t>
        </is>
      </c>
      <c r="F526" t="inlineStr">
        <is>
          <t>Wire</t>
        </is>
      </c>
      <c r="G526" t="inlineStr">
        <is>
          <t>Iron wire 2 Kg @ ₹600/kg</t>
        </is>
      </c>
      <c r="H526" t="inlineStr">
        <is>
          <t>Local Purchase</t>
        </is>
      </c>
      <c r="I526" t="n">
        <v>2</v>
      </c>
      <c r="J526" t="inlineStr">
        <is>
          <t>Kg</t>
        </is>
      </c>
      <c r="K526" t="n">
        <v>600</v>
      </c>
      <c r="L526">
        <f>IF(OR(I526="",K526=""),"",I526*K526)</f>
        <v/>
      </c>
      <c r="O526">
        <f>IF(L526="","",IF(M526="",L526,L526*(1-M526)))</f>
        <v/>
      </c>
      <c r="P526" t="inlineStr">
        <is>
          <t>Papa</t>
        </is>
      </c>
      <c r="Q526" t="inlineStr">
        <is>
          <t>GPay</t>
        </is>
      </c>
    </row>
    <row r="527">
      <c r="A527" t="n">
        <v>524</v>
      </c>
      <c r="B527" s="127" t="n">
        <v>46220</v>
      </c>
      <c r="C527">
        <f>IF(B527="","",TEXT(B527,"MMM-YYYY"))</f>
        <v/>
      </c>
      <c r="D527" t="inlineStr">
        <is>
          <t>Plinth Phase</t>
        </is>
      </c>
      <c r="E527" t="inlineStr">
        <is>
          <t>Transport · Food · Misc</t>
        </is>
      </c>
      <c r="F527" t="inlineStr">
        <is>
          <t>Delivery</t>
        </is>
      </c>
      <c r="G527" t="inlineStr">
        <is>
          <t>Iron wire delivery charges</t>
        </is>
      </c>
      <c r="H527" t="inlineStr">
        <is>
          <t>Local Purchase</t>
        </is>
      </c>
      <c r="I527" t="n">
        <v>1</v>
      </c>
      <c r="J527" t="inlineStr">
        <is>
          <t>Lumpsum</t>
        </is>
      </c>
      <c r="K527" t="n">
        <v>100</v>
      </c>
      <c r="L527">
        <f>IF(OR(I527="",K527=""),"",I527*K527)</f>
        <v/>
      </c>
      <c r="O527">
        <f>IF(L527="","",IF(M527="",L527,L527*(1-M527)))</f>
        <v/>
      </c>
      <c r="P527" t="inlineStr">
        <is>
          <t>Papa</t>
        </is>
      </c>
      <c r="Q527" t="inlineStr">
        <is>
          <t>GPay</t>
        </is>
      </c>
    </row>
    <row r="528">
      <c r="A528" t="n">
        <v>525</v>
      </c>
      <c r="B528" s="127" t="n">
        <v>46220</v>
      </c>
      <c r="C528">
        <f>IF(B528="","",TEXT(B528,"MMM-YYYY"))</f>
        <v/>
      </c>
      <c r="D528" t="inlineStr">
        <is>
          <t>Plinth Phase</t>
        </is>
      </c>
      <c r="E528" t="inlineStr">
        <is>
          <t>Professional Fees</t>
        </is>
      </c>
      <c r="F528" t="inlineStr">
        <is>
          <t>Shuttering Labour</t>
        </is>
      </c>
      <c r="G528" t="inlineStr">
        <is>
          <t>Payment to Santosh for shuttering work</t>
        </is>
      </c>
      <c r="H528" t="inlineStr">
        <is>
          <t>Econ Builder</t>
        </is>
      </c>
      <c r="I528" t="n">
        <v>1</v>
      </c>
      <c r="J528" t="inlineStr">
        <is>
          <t>Lumpsum</t>
        </is>
      </c>
      <c r="K528" t="n">
        <v>18000</v>
      </c>
      <c r="L528">
        <f>IF(OR(I528="",K528=""),"",I528*K528)</f>
        <v/>
      </c>
      <c r="O528">
        <f>IF(L528="","",IF(M528="",L528,L528*(1-M528)))</f>
        <v/>
      </c>
      <c r="P528" t="inlineStr">
        <is>
          <t>Papa</t>
        </is>
      </c>
      <c r="Q528" t="inlineStr">
        <is>
          <t>GPay</t>
        </is>
      </c>
    </row>
    <row r="529">
      <c r="A529" t="n">
        <v>526</v>
      </c>
      <c r="B529" s="128" t="n">
        <v>46205</v>
      </c>
      <c r="C529">
        <f>IF(B529="","",TEXT(B529,"MMM-YYYY"))</f>
        <v/>
      </c>
      <c r="D529" t="inlineStr">
        <is>
          <t>Plinth Phase</t>
        </is>
      </c>
      <c r="E529" t="inlineStr">
        <is>
          <t>Land Development</t>
        </is>
      </c>
      <c r="F529" t="inlineStr">
        <is>
          <t>Mitti Filling</t>
        </is>
      </c>
      <c r="G529" t="inlineStr">
        <is>
          <t>Mitti filling 20 trailers @ ₹600</t>
        </is>
      </c>
      <c r="H529" t="inlineStr">
        <is>
          <t>Mukesh Yadav</t>
        </is>
      </c>
      <c r="I529" t="n">
        <v>20</v>
      </c>
      <c r="J529" t="inlineStr">
        <is>
          <t>Trailer</t>
        </is>
      </c>
      <c r="K529" t="n">
        <v>600</v>
      </c>
      <c r="L529">
        <f>IF(OR(I529="",K529=""),"",I529*K529)</f>
        <v/>
      </c>
      <c r="N529">
        <f>M529*L529</f>
        <v/>
      </c>
      <c r="O529">
        <f>IF(L529="","",IF(M529="",L529,L529*(1-M529)))</f>
        <v/>
      </c>
    </row>
    <row r="530">
      <c r="A530" t="n">
        <v>527</v>
      </c>
      <c r="B530" s="128" t="n">
        <v>46208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60 min (1 hr) @ ₹1,000/hr</t>
        </is>
      </c>
      <c r="H530" t="inlineStr">
        <is>
          <t>Mukesh Yadav</t>
        </is>
      </c>
      <c r="I530" t="n">
        <v>1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M530*L530</f>
        <v/>
      </c>
      <c r="O530">
        <f>IF(L530="","",IF(M530="",L530,L530*(1-M530)))</f>
        <v/>
      </c>
    </row>
    <row r="531">
      <c r="A531" t="n">
        <v>528</v>
      </c>
      <c r="B531" s="128" t="n">
        <v>46208</v>
      </c>
      <c r="C531">
        <f>IF(B531="","",TEXT(B531,"MMM-YYYY"))</f>
        <v/>
      </c>
      <c r="D531" t="inlineStr">
        <is>
          <t>Plinth Phase</t>
        </is>
      </c>
      <c r="E531" t="inlineStr">
        <is>
          <t>Land Development</t>
        </is>
      </c>
      <c r="F531" t="inlineStr">
        <is>
          <t>Mitti Filling</t>
        </is>
      </c>
      <c r="G531" t="inlineStr">
        <is>
          <t>Mitti filling 24 trailers @ ₹600</t>
        </is>
      </c>
      <c r="H531" t="inlineStr">
        <is>
          <t>Mukesh Yadav</t>
        </is>
      </c>
      <c r="I531" t="n">
        <v>24</v>
      </c>
      <c r="J531" t="inlineStr">
        <is>
          <t>Trailer</t>
        </is>
      </c>
      <c r="K531" t="n">
        <v>600</v>
      </c>
      <c r="L531">
        <f>IF(OR(I531="",K531=""),"",I531*K531)</f>
        <v/>
      </c>
      <c r="N531">
        <f>M531*L531</f>
        <v/>
      </c>
      <c r="O531">
        <f>IF(L531="","",IF(M531="",L531,L531*(1-M531)))</f>
        <v/>
      </c>
    </row>
    <row r="532">
      <c r="A532" t="n">
        <v>529</v>
      </c>
      <c r="B532" s="128" t="n">
        <v>46209</v>
      </c>
      <c r="C532">
        <f>IF(B532="","",TEXT(B532,"MMM-YYYY"))</f>
        <v/>
      </c>
      <c r="D532" t="inlineStr">
        <is>
          <t>Plinth Phase</t>
        </is>
      </c>
      <c r="E532" t="inlineStr">
        <is>
          <t>Land Development</t>
        </is>
      </c>
      <c r="F532" t="inlineStr">
        <is>
          <t>JCB Work</t>
        </is>
      </c>
      <c r="G532" t="inlineStr">
        <is>
          <t>JCB work 60 min (1 hr) @ ₹1,000/hr</t>
        </is>
      </c>
      <c r="H532" t="inlineStr">
        <is>
          <t>Mukesh Yadav</t>
        </is>
      </c>
      <c r="I532" t="n">
        <v>1</v>
      </c>
      <c r="J532" t="inlineStr">
        <is>
          <t>Hour</t>
        </is>
      </c>
      <c r="K532" t="n">
        <v>1000</v>
      </c>
      <c r="L532">
        <f>IF(OR(I532="",K532=""),"",I532*K532)</f>
        <v/>
      </c>
      <c r="N532">
        <f>M532*L532</f>
        <v/>
      </c>
      <c r="O532">
        <f>IF(L532="","",IF(M532="",L532,L532*(1-M532)))</f>
        <v/>
      </c>
    </row>
    <row r="533">
      <c r="A533" t="n">
        <v>530</v>
      </c>
      <c r="B533" s="128" t="n">
        <v>46209</v>
      </c>
      <c r="C533">
        <f>IF(B533="","",TEXT(B533,"MMM-YYYY"))</f>
        <v/>
      </c>
      <c r="D533" t="inlineStr">
        <is>
          <t>Plinth Phase</t>
        </is>
      </c>
      <c r="E533" t="inlineStr">
        <is>
          <t>Land Development</t>
        </is>
      </c>
      <c r="F533" t="inlineStr">
        <is>
          <t>Mitti Filling</t>
        </is>
      </c>
      <c r="G533" t="inlineStr">
        <is>
          <t>Mitti filling 42 trailers @ ₹600</t>
        </is>
      </c>
      <c r="H533" t="inlineStr">
        <is>
          <t>Mukesh Yadav</t>
        </is>
      </c>
      <c r="I533" t="n">
        <v>42</v>
      </c>
      <c r="J533" t="inlineStr">
        <is>
          <t>Trailer</t>
        </is>
      </c>
      <c r="K533" t="n">
        <v>600</v>
      </c>
      <c r="L533">
        <f>IF(OR(I533="",K533=""),"",I533*K533)</f>
        <v/>
      </c>
      <c r="N533">
        <f>M533*L533</f>
        <v/>
      </c>
      <c r="O533">
        <f>IF(L533="","",IF(M533="",L533,L533*(1-M533)))</f>
        <v/>
      </c>
    </row>
    <row r="534">
      <c r="A534" t="n">
        <v>531</v>
      </c>
      <c r="B534" s="128" t="n">
        <v>46210</v>
      </c>
      <c r="C534">
        <f>IF(B534="","",TEXT(B534,"MMM-YYYY"))</f>
        <v/>
      </c>
      <c r="D534" t="inlineStr">
        <is>
          <t>Plinth Phase</t>
        </is>
      </c>
      <c r="E534" t="inlineStr">
        <is>
          <t>Land Development</t>
        </is>
      </c>
      <c r="F534" t="inlineStr">
        <is>
          <t>JCB Work</t>
        </is>
      </c>
      <c r="G534" t="inlineStr">
        <is>
          <t>JCB work 160 min (2h40m) @ ₹1,000/hr</t>
        </is>
      </c>
      <c r="H534" t="inlineStr">
        <is>
          <t>Mukesh Yadav</t>
        </is>
      </c>
      <c r="I534" t="n">
        <v>2.666666666666667</v>
      </c>
      <c r="J534" t="inlineStr">
        <is>
          <t>Hour</t>
        </is>
      </c>
      <c r="K534" t="n">
        <v>1000</v>
      </c>
      <c r="L534">
        <f>IF(OR(I534="",K534=""),"",I534*K534)</f>
        <v/>
      </c>
      <c r="N534">
        <f>M534*L534</f>
        <v/>
      </c>
      <c r="O534">
        <f>IF(L534="","",IF(M534="",L534,L534*(1-M534)))</f>
        <v/>
      </c>
    </row>
    <row r="535">
      <c r="A535" t="n">
        <v>532</v>
      </c>
      <c r="B535" s="128" t="n">
        <v>46217</v>
      </c>
      <c r="C535">
        <f>IF(B535="","",TEXT(B535,"MMM-YYYY"))</f>
        <v/>
      </c>
      <c r="D535" t="inlineStr">
        <is>
          <t>Plinth Phase</t>
        </is>
      </c>
      <c r="E535" t="inlineStr">
        <is>
          <t>Labour</t>
        </is>
      </c>
      <c r="F535" t="inlineStr">
        <is>
          <t>Sand Movement</t>
        </is>
      </c>
      <c r="G535" t="inlineStr">
        <is>
          <t>Sand movement 30 trailers @ ₹200</t>
        </is>
      </c>
      <c r="H535" t="inlineStr">
        <is>
          <t>Mukesh Yadav</t>
        </is>
      </c>
      <c r="I535" t="n">
        <v>30</v>
      </c>
      <c r="J535" t="inlineStr">
        <is>
          <t>Trailer</t>
        </is>
      </c>
      <c r="K535" t="n">
        <v>200</v>
      </c>
      <c r="L535">
        <f>IF(OR(I535="",K535=""),"",I535*K535)</f>
        <v/>
      </c>
      <c r="N535">
        <f>M535*L535</f>
        <v/>
      </c>
      <c r="O535">
        <f>IF(L535="","",IF(M535="",L535,L535*(1-M535)))</f>
        <v/>
      </c>
    </row>
    <row r="536">
      <c r="A536" t="n">
        <v>533</v>
      </c>
      <c r="B536" s="128" t="n">
        <v>46219</v>
      </c>
      <c r="C536">
        <f>IF(B536="","",TEXT(B536,"MMM-YYYY"))</f>
        <v/>
      </c>
      <c r="D536" t="inlineStr">
        <is>
          <t>Plinth Phase</t>
        </is>
      </c>
      <c r="E536" t="inlineStr">
        <is>
          <t>Land Development</t>
        </is>
      </c>
      <c r="F536" t="inlineStr">
        <is>
          <t>JCB Work</t>
        </is>
      </c>
      <c r="G536" t="inlineStr">
        <is>
          <t>JCB work 20 min (0.33 hr) @ ₹1,000/hr</t>
        </is>
      </c>
      <c r="H536" t="inlineStr">
        <is>
          <t>Mukesh Yadav</t>
        </is>
      </c>
      <c r="I536" t="n">
        <v>0.3333333333333333</v>
      </c>
      <c r="J536" t="inlineStr">
        <is>
          <t>Hour</t>
        </is>
      </c>
      <c r="K536" t="n">
        <v>1000</v>
      </c>
      <c r="L536">
        <f>IF(OR(I536="",K536=""),"",I536*K536)</f>
        <v/>
      </c>
      <c r="N536">
        <f>M536*L536</f>
        <v/>
      </c>
      <c r="O536">
        <f>IF(L536="","",IF(M536="",L536,L536*(1-M536)))</f>
        <v/>
      </c>
    </row>
    <row r="537">
      <c r="A537" t="n">
        <v>534</v>
      </c>
      <c r="B537" s="128" t="n">
        <v>46224</v>
      </c>
      <c r="C537">
        <f>IF(B537="","",TEXT(B537,"MMM-YYYY"))</f>
        <v/>
      </c>
      <c r="D537" t="inlineStr">
        <is>
          <t>Plinth Phase</t>
        </is>
      </c>
      <c r="E537" t="inlineStr">
        <is>
          <t>Professional Fees</t>
        </is>
      </c>
      <c r="F537" t="inlineStr">
        <is>
          <t>Shuttering Labour</t>
        </is>
      </c>
      <c r="G537" t="inlineStr">
        <is>
          <t>Advance to Santosh for shuttering work</t>
        </is>
      </c>
      <c r="H537" t="inlineStr">
        <is>
          <t>Econ Builder</t>
        </is>
      </c>
      <c r="I537" t="n">
        <v>1</v>
      </c>
      <c r="J537" t="inlineStr">
        <is>
          <t>Advance</t>
        </is>
      </c>
      <c r="K537" t="n">
        <v>5000</v>
      </c>
      <c r="L537">
        <f>IF(OR(I537="",K537=""),"",I537*K537)</f>
        <v/>
      </c>
      <c r="N537">
        <f>M537*L537</f>
        <v/>
      </c>
      <c r="O537">
        <f>IF(L537="","",IF(M537="",L537,L537*(1-M537)))</f>
        <v/>
      </c>
    </row>
    <row r="538">
      <c r="A538" t="n">
        <v>535</v>
      </c>
      <c r="B538" s="128" t="n">
        <v>46224</v>
      </c>
      <c r="C538">
        <f>IF(B538="","",TEXT(B538,"MMM-YYYY"))</f>
        <v/>
      </c>
      <c r="D538" t="inlineStr">
        <is>
          <t>Plinth Phase</t>
        </is>
      </c>
      <c r="E538" t="inlineStr">
        <is>
          <t>Building Materials</t>
        </is>
      </c>
      <c r="F538" t="inlineStr">
        <is>
          <t>Cement</t>
        </is>
      </c>
      <c r="G538" t="inlineStr">
        <is>
          <t>Ultratech Super Cement 30 bags @ ₹350</t>
        </is>
      </c>
      <c r="H538" t="inlineStr">
        <is>
          <t>Pappu Hardware</t>
        </is>
      </c>
      <c r="I538" t="n">
        <v>30</v>
      </c>
      <c r="J538" t="inlineStr">
        <is>
          <t>Bag</t>
        </is>
      </c>
      <c r="K538" t="n">
        <v>350</v>
      </c>
      <c r="L538">
        <f>I538*K538</f>
        <v/>
      </c>
      <c r="N538">
        <f>M538*L538</f>
        <v/>
      </c>
      <c r="O538">
        <f>IF(L538="","",IF(M538="",L538,L538*(1-M538)))</f>
        <v/>
      </c>
    </row>
    <row r="539">
      <c r="A539" t="n">
        <v>536</v>
      </c>
      <c r="B539" s="128" t="n">
        <v>46224</v>
      </c>
      <c r="C539">
        <f>IF(B539="","",TEXT(B539,"MMM-YYYY"))</f>
        <v/>
      </c>
      <c r="D539" t="inlineStr">
        <is>
          <t>Plinth Phase</t>
        </is>
      </c>
      <c r="E539" t="inlineStr">
        <is>
          <t>Building Materials</t>
        </is>
      </c>
      <c r="F539" t="inlineStr">
        <is>
          <t>Cement</t>
        </is>
      </c>
      <c r="G539" t="inlineStr">
        <is>
          <t>Ultratech Plain Cement 30 bags @ ₹330</t>
        </is>
      </c>
      <c r="H539" t="inlineStr">
        <is>
          <t>Pappu Hardware</t>
        </is>
      </c>
      <c r="I539" t="n">
        <v>30</v>
      </c>
      <c r="J539" t="inlineStr">
        <is>
          <t>Bag</t>
        </is>
      </c>
      <c r="K539" t="n">
        <v>330</v>
      </c>
      <c r="L539">
        <f>I539*K539</f>
        <v/>
      </c>
      <c r="N539">
        <f>M539*L539</f>
        <v/>
      </c>
      <c r="O539">
        <f>IF(L539="","",IF(M539="",L539,L539*(1-M539)))</f>
        <v/>
      </c>
    </row>
    <row r="540">
      <c r="A540" t="n">
        <v>537</v>
      </c>
      <c r="B540" s="128" t="n">
        <v>46224</v>
      </c>
      <c r="C540">
        <f>IF(B540="","",TEXT(B540,"MMM-YYYY"))</f>
        <v/>
      </c>
      <c r="D540" t="inlineStr">
        <is>
          <t>Plinth Phase</t>
        </is>
      </c>
      <c r="E540" t="inlineStr">
        <is>
          <t>Transport · Food · Misc</t>
        </is>
      </c>
      <c r="F540" t="inlineStr">
        <is>
          <t>Transport</t>
        </is>
      </c>
      <c r="G540" t="inlineStr">
        <is>
          <t>Cement freight/transport (Bhada)</t>
        </is>
      </c>
      <c r="H540" t="inlineStr">
        <is>
          <t>Pappu Hardware</t>
        </is>
      </c>
      <c r="I540" t="n">
        <v>1</v>
      </c>
      <c r="J540" t="inlineStr">
        <is>
          <t>Trip</t>
        </is>
      </c>
      <c r="K540" t="n">
        <v>300</v>
      </c>
      <c r="L540">
        <f>I540*K540</f>
        <v/>
      </c>
      <c r="N540">
        <f>M540*L540</f>
        <v/>
      </c>
      <c r="O540">
        <f>IF(L540="","",IF(M540="",L540,L540*(1-M540)))</f>
        <v/>
      </c>
    </row>
    <row r="541">
      <c r="A541" t="n">
        <v>538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Labour</t>
        </is>
      </c>
      <c r="F541" t="inlineStr">
        <is>
          <t>Site Labour</t>
        </is>
      </c>
      <c r="G541" t="inlineStr">
        <is>
          <t>Labour for cement loading/unloading</t>
        </is>
      </c>
      <c r="H541" t="inlineStr">
        <is>
          <t>Pappu Hardware</t>
        </is>
      </c>
      <c r="I541" t="n">
        <v>1</v>
      </c>
      <c r="J541" t="inlineStr">
        <is>
          <t>Service</t>
        </is>
      </c>
      <c r="K541" t="n">
        <v>240</v>
      </c>
      <c r="L541">
        <f>I541*K541</f>
        <v/>
      </c>
      <c r="N541">
        <f>M541*L541</f>
        <v/>
      </c>
      <c r="O541">
        <f>IF(L541="","",IF(M541="",L541,L541*(1-M541)))</f>
        <v/>
      </c>
    </row>
    <row r="542">
      <c r="A542" t="n">
        <v>539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Steel / Iron</t>
        </is>
      </c>
      <c r="F542" t="inlineStr">
        <is>
          <t>Wire</t>
        </is>
      </c>
      <c r="G542" t="inlineStr">
        <is>
          <t>Wire 2 bundles</t>
        </is>
      </c>
      <c r="H542" t="inlineStr">
        <is>
          <t>Pappu Hardware</t>
        </is>
      </c>
      <c r="I542" t="n">
        <v>2</v>
      </c>
      <c r="J542" t="inlineStr">
        <is>
          <t>Bundle</t>
        </is>
      </c>
      <c r="K542" t="n">
        <v>600</v>
      </c>
      <c r="L542">
        <f>I542*K542</f>
        <v/>
      </c>
      <c r="N542">
        <f>M542*L542</f>
        <v/>
      </c>
      <c r="O542">
        <f>IF(L542="","",IF(M542="",L542,L542*(1-M542)))</f>
        <v/>
      </c>
    </row>
    <row r="543">
      <c r="A543" t="n">
        <v>540</v>
      </c>
      <c r="B543" s="128" t="n">
        <v>46224</v>
      </c>
      <c r="C543">
        <f>IF(B543="","",TEXT(B543,"MMM-YYYY"))</f>
        <v/>
      </c>
      <c r="D543" t="inlineStr">
        <is>
          <t>Plinth Phase</t>
        </is>
      </c>
      <c r="E543" t="inlineStr">
        <is>
          <t>Labour</t>
        </is>
      </c>
      <c r="F543" t="inlineStr">
        <is>
          <t>Site Labour</t>
        </is>
      </c>
      <c r="G543" t="inlineStr">
        <is>
          <t>Labour for wire handling</t>
        </is>
      </c>
      <c r="H543" t="inlineStr">
        <is>
          <t>Pappu Hardware</t>
        </is>
      </c>
      <c r="I543" t="n">
        <v>1</v>
      </c>
      <c r="J543" t="inlineStr">
        <is>
          <t>Service</t>
        </is>
      </c>
      <c r="K543" t="n">
        <v>100</v>
      </c>
      <c r="L543">
        <f>I543*K543</f>
        <v/>
      </c>
      <c r="N543">
        <f>M543*L543</f>
        <v/>
      </c>
      <c r="O543">
        <f>IF(L543="","",IF(M543="",L543,L543*(1-M543)))</f>
        <v/>
      </c>
    </row>
    <row r="544">
      <c r="A544" s="60" t="inlineStr">
        <is>
          <t>TOTALS</t>
        </is>
      </c>
      <c r="B544" s="60" t="n"/>
      <c r="C544" s="60" t="n"/>
      <c r="D544" s="60" t="n"/>
      <c r="E544" s="60" t="n"/>
      <c r="F544" s="60" t="n"/>
      <c r="G544" s="60" t="n"/>
      <c r="H544" s="60" t="n"/>
      <c r="I544" s="60" t="n"/>
      <c r="J544" s="60" t="n"/>
      <c r="K544" s="60" t="n"/>
      <c r="L544" s="61">
        <f>SUM(L5:L543)</f>
        <v/>
      </c>
      <c r="M544" s="60" t="n"/>
      <c r="N544" s="60" t="n"/>
      <c r="O544" s="61">
        <f>SUM(O5:O528)</f>
        <v/>
      </c>
      <c r="P544" s="60" t="n"/>
      <c r="Q544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4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>
        <v>35</v>
      </c>
      <c r="B39" s="45" t="n">
        <v>46208</v>
      </c>
      <c r="C39" s="47" t="inlineStr">
        <is>
          <t>Self</t>
        </is>
      </c>
      <c r="D39" s="47" t="inlineStr">
        <is>
          <t>Sand Truck Wala</t>
        </is>
      </c>
      <c r="E39" s="47" t="inlineStr">
        <is>
          <t>Building Materials</t>
        </is>
      </c>
      <c r="F39" s="47" t="inlineStr">
        <is>
          <t>Sand Truck 4 — 936 CFT</t>
        </is>
      </c>
      <c r="G39" s="62" t="n">
        <v>56000</v>
      </c>
      <c r="H39" s="47" t="inlineStr">
        <is>
          <t>GPay</t>
        </is>
      </c>
      <c r="I39" s="47" t="n"/>
      <c r="J39" s="47" t="n"/>
      <c r="K39" s="47" t="inlineStr">
        <is>
          <t>Y</t>
        </is>
      </c>
      <c r="L39" s="50">
        <f>L38+G39</f>
        <v/>
      </c>
      <c r="M39" s="47" t="n"/>
    </row>
    <row r="40" ht="15.75" customHeight="1" s="99">
      <c r="A40" s="43" t="n">
        <v>36</v>
      </c>
      <c r="B40" s="53" t="n">
        <v>46208</v>
      </c>
      <c r="C40" s="55" t="inlineStr">
        <is>
          <t>Self</t>
        </is>
      </c>
      <c r="D40" s="55" t="inlineStr">
        <is>
          <t>Pappu Hardware</t>
        </is>
      </c>
      <c r="E40" s="55" t="inlineStr">
        <is>
          <t>Building Materials + Steel + Labour</t>
        </is>
      </c>
      <c r="F40" s="55" t="inlineStr">
        <is>
          <t>Cement 60B + 6mm 50pcs + Gitti + DrFixit + Labour</t>
        </is>
      </c>
      <c r="G40" s="63" t="n">
        <v>41650</v>
      </c>
      <c r="H40" s="55" t="inlineStr">
        <is>
          <t>GPay</t>
        </is>
      </c>
      <c r="I40" s="55" t="n"/>
      <c r="J40" s="55" t="n"/>
      <c r="K40" s="55" t="inlineStr">
        <is>
          <t>Y</t>
        </is>
      </c>
      <c r="L40" s="58">
        <f>L39+G40</f>
        <v/>
      </c>
      <c r="M40" s="55" t="n"/>
    </row>
    <row r="41" ht="15.75" customHeight="1" s="99">
      <c r="A41" s="41" t="n">
        <v>37</v>
      </c>
      <c r="B41" s="45" t="n">
        <v>46220</v>
      </c>
      <c r="C41" s="47" t="inlineStr">
        <is>
          <t>Papa</t>
        </is>
      </c>
      <c r="D41" s="47" t="inlineStr">
        <is>
          <t>Econ Builder</t>
        </is>
      </c>
      <c r="E41" s="47" t="inlineStr">
        <is>
          <t>Professional Fees</t>
        </is>
      </c>
      <c r="F41" s="47" t="inlineStr">
        <is>
          <t>Engineer supervision — iron wiring works</t>
        </is>
      </c>
      <c r="G41" s="62" t="n">
        <v>15000</v>
      </c>
      <c r="H41" s="47" t="inlineStr">
        <is>
          <t>GPay</t>
        </is>
      </c>
      <c r="I41" s="47" t="n"/>
      <c r="J41" s="47" t="n"/>
      <c r="K41" s="47" t="inlineStr">
        <is>
          <t>Y</t>
        </is>
      </c>
      <c r="L41" s="50">
        <f>L40+G41</f>
        <v/>
      </c>
      <c r="M41" s="47" t="n"/>
    </row>
    <row r="42" ht="15.75" customHeight="1" s="99">
      <c r="A42" s="43" t="n">
        <v>38</v>
      </c>
      <c r="B42" s="53" t="n">
        <v>46220</v>
      </c>
      <c r="C42" s="55" t="inlineStr">
        <is>
          <t>Papa</t>
        </is>
      </c>
      <c r="D42" s="55" t="inlineStr">
        <is>
          <t>Local Purchase</t>
        </is>
      </c>
      <c r="E42" s="55" t="inlineStr">
        <is>
          <t>Building Materials</t>
        </is>
      </c>
      <c r="F42" s="55" t="inlineStr">
        <is>
          <t>Iron wire 2kg + delivery</t>
        </is>
      </c>
      <c r="G42" s="63" t="n">
        <v>1300</v>
      </c>
      <c r="H42" s="55" t="inlineStr">
        <is>
          <t>GPay</t>
        </is>
      </c>
      <c r="I42" s="55" t="n"/>
      <c r="J42" s="55" t="n"/>
      <c r="K42" s="55" t="inlineStr">
        <is>
          <t>Y</t>
        </is>
      </c>
      <c r="L42" s="58">
        <f>L41+G42</f>
        <v/>
      </c>
      <c r="M42" s="55" t="n"/>
    </row>
    <row r="43" ht="15.75" customHeight="1" s="99">
      <c r="A43" s="41" t="n">
        <v>39</v>
      </c>
      <c r="B43" s="45" t="n">
        <v>46220</v>
      </c>
      <c r="C43" s="47" t="inlineStr">
        <is>
          <t>Papa</t>
        </is>
      </c>
      <c r="D43" s="47" t="inlineStr">
        <is>
          <t>Econ Builder</t>
        </is>
      </c>
      <c r="E43" s="47" t="inlineStr">
        <is>
          <t>Professional Fees</t>
        </is>
      </c>
      <c r="F43" s="47" t="inlineStr">
        <is>
          <t>Payment to Santosh for shuttering work</t>
        </is>
      </c>
      <c r="G43" s="62" t="n">
        <v>18000</v>
      </c>
      <c r="H43" s="47" t="inlineStr">
        <is>
          <t>GPay</t>
        </is>
      </c>
      <c r="I43" s="47" t="n"/>
      <c r="J43" s="47" t="n"/>
      <c r="K43" s="47" t="inlineStr">
        <is>
          <t>Y</t>
        </is>
      </c>
      <c r="L43" s="50">
        <f>L42+G43</f>
        <v/>
      </c>
      <c r="M43" s="47" t="n"/>
    </row>
    <row r="44" ht="15.75" customHeight="1" s="99">
      <c r="A44" s="43" t="n">
        <v>40</v>
      </c>
      <c r="B44" s="53" t="n">
        <v>46221</v>
      </c>
      <c r="C44" s="55" t="inlineStr">
        <is>
          <t>Self</t>
        </is>
      </c>
      <c r="D44" s="55" t="inlineStr">
        <is>
          <t>Mukesh Yadav</t>
        </is>
      </c>
      <c r="E44" s="55" t="inlineStr">
        <is>
          <t>Land Development + Labour</t>
        </is>
      </c>
      <c r="F44" s="55" t="inlineStr">
        <is>
          <t>JCB + Mitti + Sand movement balance payment</t>
        </is>
      </c>
      <c r="G44" s="63" t="n">
        <v>40000</v>
      </c>
      <c r="H44" s="55" t="inlineStr">
        <is>
          <t>Cash</t>
        </is>
      </c>
      <c r="I44" s="55" t="n"/>
      <c r="J44" s="55" t="n"/>
      <c r="K44" s="55" t="inlineStr">
        <is>
          <t>Y</t>
        </is>
      </c>
      <c r="L44" s="58" t="n"/>
      <c r="M44" s="55" t="n"/>
    </row>
    <row r="45" ht="15.75" customHeight="1" s="99">
      <c r="A45" s="41" t="n">
        <v>41</v>
      </c>
      <c r="B45" s="45" t="n">
        <v>46224</v>
      </c>
      <c r="C45" s="47" t="inlineStr">
        <is>
          <t>Papa</t>
        </is>
      </c>
      <c r="D45" s="47" t="inlineStr">
        <is>
          <t>Econ Builder</t>
        </is>
      </c>
      <c r="E45" s="47" t="inlineStr">
        <is>
          <t>Professional Fees</t>
        </is>
      </c>
      <c r="F45" s="47" t="inlineStr">
        <is>
          <t>Payment to Santosh — labour supervision</t>
        </is>
      </c>
      <c r="G45" s="62" t="n">
        <v>5000</v>
      </c>
      <c r="H45" s="47" t="inlineStr">
        <is>
          <t>GPay</t>
        </is>
      </c>
      <c r="I45" s="47" t="n"/>
      <c r="J45" s="47" t="n"/>
      <c r="K45" s="47" t="inlineStr">
        <is>
          <t>Y</t>
        </is>
      </c>
      <c r="L45" s="50" t="n"/>
      <c r="M45" s="47" t="n"/>
    </row>
    <row r="46" ht="15.75" customHeight="1" s="99">
      <c r="A46" s="43" t="n">
        <v>42</v>
      </c>
      <c r="B46" s="53" t="n">
        <v>46224</v>
      </c>
      <c r="C46" s="55" t="inlineStr">
        <is>
          <t>Self</t>
        </is>
      </c>
      <c r="D46" s="55" t="inlineStr">
        <is>
          <t>Pappu Hardware</t>
        </is>
      </c>
      <c r="E46" s="55" t="inlineStr">
        <is>
          <t>Building Materials + Transport + Labour</t>
        </is>
      </c>
      <c r="F46" s="55" t="inlineStr">
        <is>
          <t>Cement 60 bags + wire 2 bundles + transport + labour</t>
        </is>
      </c>
      <c r="G46" s="63" t="n">
        <v>22240</v>
      </c>
      <c r="H46" s="55" t="inlineStr">
        <is>
          <t>Cash</t>
        </is>
      </c>
      <c r="I46" s="55" t="n"/>
      <c r="J46" s="55" t="n"/>
      <c r="K46" s="55" t="inlineStr">
        <is>
          <t>Y</t>
        </is>
      </c>
      <c r="L46" s="58" t="n"/>
      <c r="M46" s="55" t="n"/>
    </row>
    <row r="47" ht="15.75" customHeight="1" s="99">
      <c r="A47" s="41" t="n"/>
      <c r="B47" s="45" t="n"/>
      <c r="C47" s="47" t="n"/>
      <c r="D47" s="47" t="n"/>
      <c r="E47" s="47" t="n"/>
      <c r="F47" s="47" t="n"/>
      <c r="G47" s="62" t="n"/>
      <c r="H47" s="47" t="n"/>
      <c r="I47" s="47" t="n"/>
      <c r="J47" s="47" t="n"/>
      <c r="K47" s="47" t="n"/>
      <c r="L47" s="50" t="n"/>
      <c r="M47" s="47" t="n"/>
    </row>
    <row r="48" ht="15.75" customHeight="1" s="99">
      <c r="A48" s="43" t="n"/>
      <c r="B48" s="53" t="n"/>
      <c r="C48" s="55" t="n"/>
      <c r="D48" s="55" t="n"/>
      <c r="E48" s="55" t="n"/>
      <c r="F48" s="55" t="n"/>
      <c r="G48" s="63" t="n"/>
      <c r="H48" s="55" t="n"/>
      <c r="I48" s="55" t="n"/>
      <c r="J48" s="55" t="n"/>
      <c r="K48" s="55" t="n"/>
      <c r="L48" s="58" t="n"/>
      <c r="M48" s="55" t="n"/>
    </row>
    <row r="49" ht="15.75" customHeight="1" s="99">
      <c r="A49" s="41" t="n"/>
      <c r="B49" s="45" t="n"/>
      <c r="C49" s="47" t="n"/>
      <c r="D49" s="47" t="n"/>
      <c r="E49" s="47" t="n"/>
      <c r="F49" s="47" t="n"/>
      <c r="G49" s="62" t="n"/>
      <c r="H49" s="47" t="n"/>
      <c r="I49" s="47" t="n"/>
      <c r="J49" s="47" t="n"/>
      <c r="K49" s="47" t="n"/>
      <c r="L49" s="50" t="n"/>
      <c r="M49" s="47" t="n"/>
    </row>
    <row r="50" ht="15.75" customHeight="1" s="99">
      <c r="A50" s="43" t="n"/>
      <c r="B50" s="53" t="n"/>
      <c r="C50" s="55" t="n"/>
      <c r="D50" s="55" t="n"/>
      <c r="E50" s="55" t="n"/>
      <c r="F50" s="55" t="n"/>
      <c r="G50" s="63" t="n"/>
      <c r="H50" s="55" t="n"/>
      <c r="I50" s="55" t="n"/>
      <c r="J50" s="55" t="n"/>
      <c r="K50" s="55" t="n"/>
      <c r="L50" s="58" t="n"/>
      <c r="M50" s="55" t="n"/>
    </row>
    <row r="51" ht="15.75" customHeight="1" s="99">
      <c r="A51" s="41" t="n"/>
      <c r="B51" s="45" t="n"/>
      <c r="C51" s="47" t="n"/>
      <c r="D51" s="47" t="n"/>
      <c r="E51" s="47" t="n"/>
      <c r="F51" s="47" t="n"/>
      <c r="G51" s="62" t="n"/>
      <c r="H51" s="47" t="n"/>
      <c r="I51" s="47" t="n"/>
      <c r="J51" s="47" t="n"/>
      <c r="K51" s="47" t="n"/>
      <c r="L51" s="50" t="n"/>
      <c r="M51" s="47" t="n"/>
    </row>
    <row r="52" ht="15.75" customHeight="1" s="99">
      <c r="A52" s="43" t="n"/>
      <c r="B52" s="53" t="n"/>
      <c r="C52" s="55" t="n"/>
      <c r="D52" s="55" t="n"/>
      <c r="E52" s="55" t="n"/>
      <c r="F52" s="55" t="n"/>
      <c r="G52" s="63" t="n"/>
      <c r="H52" s="55" t="n"/>
      <c r="I52" s="55" t="n"/>
      <c r="J52" s="55" t="n"/>
      <c r="K52" s="55" t="n"/>
      <c r="L52" s="58" t="n"/>
      <c r="M52" s="55" t="n"/>
    </row>
    <row r="53" ht="15.75" customHeight="1" s="99">
      <c r="A53" s="41" t="n"/>
      <c r="B53" s="45" t="n"/>
      <c r="C53" s="47" t="n"/>
      <c r="D53" s="47" t="n"/>
      <c r="E53" s="47" t="n"/>
      <c r="F53" s="47" t="n"/>
      <c r="G53" s="62" t="n"/>
      <c r="H53" s="47" t="n"/>
      <c r="I53" s="47" t="n"/>
      <c r="J53" s="47" t="n"/>
      <c r="K53" s="47" t="n"/>
      <c r="L53" s="50" t="n"/>
      <c r="M53" s="47" t="n"/>
    </row>
    <row r="54" ht="15.75" customHeight="1" s="99">
      <c r="A54" s="43" t="n"/>
      <c r="B54" s="53" t="n"/>
      <c r="C54" s="55" t="n"/>
      <c r="D54" s="55" t="n"/>
      <c r="E54" s="55" t="n"/>
      <c r="F54" s="55" t="n"/>
      <c r="G54" s="63" t="n"/>
      <c r="H54" s="55" t="n"/>
      <c r="I54" s="55" t="n"/>
      <c r="J54" s="55" t="n"/>
      <c r="K54" s="55" t="n"/>
      <c r="L54" s="58" t="n"/>
      <c r="M54" s="55" t="n"/>
    </row>
    <row r="55" ht="15.75" customHeight="1" s="99">
      <c r="A55" s="41" t="n"/>
      <c r="B55" s="45" t="n"/>
      <c r="C55" s="47" t="n"/>
      <c r="D55" s="47" t="n"/>
      <c r="E55" s="47" t="n"/>
      <c r="F55" s="47" t="n"/>
      <c r="G55" s="62" t="n"/>
      <c r="H55" s="47" t="n"/>
      <c r="I55" s="47" t="n"/>
      <c r="J55" s="47" t="n"/>
      <c r="K55" s="47" t="n"/>
      <c r="L55" s="50" t="n"/>
      <c r="M55" s="47" t="n"/>
    </row>
    <row r="56" ht="15.75" customHeight="1" s="99">
      <c r="A56" s="43" t="n"/>
      <c r="B56" s="53" t="n"/>
      <c r="C56" s="55" t="n"/>
      <c r="D56" s="55" t="n"/>
      <c r="E56" s="55" t="n"/>
      <c r="F56" s="55" t="n"/>
      <c r="G56" s="63" t="n"/>
      <c r="H56" s="55" t="n"/>
      <c r="I56" s="55" t="n"/>
      <c r="J56" s="55" t="n"/>
      <c r="K56" s="55" t="n"/>
      <c r="L56" s="58" t="n"/>
      <c r="M56" s="55" t="n"/>
    </row>
    <row r="57" ht="15.75" customHeight="1" s="99">
      <c r="A57" s="41" t="n"/>
      <c r="B57" s="45" t="n"/>
      <c r="C57" s="47" t="n"/>
      <c r="D57" s="47" t="n"/>
      <c r="E57" s="47" t="n"/>
      <c r="F57" s="47" t="n"/>
      <c r="G57" s="62" t="n"/>
      <c r="H57" s="47" t="n"/>
      <c r="I57" s="47" t="n"/>
      <c r="J57" s="47" t="n"/>
      <c r="K57" s="47" t="n"/>
      <c r="L57" s="50" t="n"/>
      <c r="M57" s="47" t="n"/>
    </row>
    <row r="58" ht="15.75" customHeight="1" s="99">
      <c r="A58" s="43" t="n"/>
      <c r="B58" s="53" t="n"/>
      <c r="C58" s="55" t="n"/>
      <c r="D58" s="55" t="n"/>
      <c r="E58" s="55" t="n"/>
      <c r="F58" s="55" t="n"/>
      <c r="G58" s="63" t="n"/>
      <c r="H58" s="55" t="n"/>
      <c r="I58" s="55" t="n"/>
      <c r="J58" s="55" t="n"/>
      <c r="K58" s="55" t="n"/>
      <c r="L58" s="58" t="n"/>
      <c r="M58" s="55" t="n"/>
    </row>
    <row r="59" ht="15.75" customHeight="1" s="99">
      <c r="A59" s="41" t="n"/>
      <c r="B59" s="45" t="n"/>
      <c r="C59" s="47" t="n"/>
      <c r="D59" s="47" t="n"/>
      <c r="E59" s="47" t="n"/>
      <c r="F59" s="47" t="n"/>
      <c r="G59" s="62" t="n"/>
      <c r="H59" s="47" t="n"/>
      <c r="I59" s="47" t="n"/>
      <c r="J59" s="47" t="n"/>
      <c r="K59" s="47" t="n"/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2026-07-21T13:55:47Z</dcterms:modified>
  <cp:lastModifiedBy>Avinash Karn</cp:lastModifiedBy>
  <cp:revision>49</cp:revision>
</cp:coreProperties>
</file>