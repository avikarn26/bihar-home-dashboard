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Tracker'!G5:G100)</f>
        <v/>
      </c>
      <c r="C7" s="113" t="n"/>
      <c r="D7" s="6" t="n"/>
      <c r="E7" s="122" t="n">
        <v>1223597</v>
      </c>
      <c r="F7" s="113" t="n"/>
      <c r="G7" s="6" t="n"/>
      <c r="H7" s="120" t="n">
        <v>216000</v>
      </c>
      <c r="I7" s="113" t="n"/>
      <c r="J7" s="6" t="n"/>
      <c r="K7" s="121" t="n">
        <v>1300</v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Billed value received</t>
        </is>
      </c>
      <c r="F8" s="117" t="n"/>
      <c r="G8" s="6" t="n"/>
      <c r="H8" s="116" t="inlineStr">
        <is>
          <t>Advance with Brick Co.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Self-GPay</t>
        </is>
      </c>
      <c r="C12" s="13">
        <f>SUMIF('Payment Tracker'!C:C,B12,'Payment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Self-Bank Transfer</t>
        </is>
      </c>
      <c r="C13" s="18">
        <f>SUMIF('Payment Tracker'!C:C,B13,'Payment Tracker'!G:G)</f>
        <v/>
      </c>
      <c r="D13" s="6" t="n"/>
      <c r="E13" s="17" t="inlineStr">
        <is>
          <t>Steel/Iron</t>
        </is>
      </c>
      <c r="F13" s="19">
        <f>SUMIFS('All Transactions'!O:O,'All Transactions'!E:E,E13)</f>
        <v/>
      </c>
      <c r="G13" s="6" t="n"/>
      <c r="H13" s="17" t="inlineStr">
        <is>
          <t>Brick Company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Papa</t>
        </is>
      </c>
      <c r="C14" s="13">
        <f>SUMIF('Payment Tracker'!C:C,B14,'Payment Tracker'!G:G)</f>
        <v/>
      </c>
      <c r="D14" s="6" t="n"/>
      <c r="E14" s="12" t="inlineStr">
        <is>
          <t>Professional Fees</t>
        </is>
      </c>
      <c r="F14" s="14">
        <f>SUMIFS('All Transactions'!O:O,'All Transactions'!E:E,E14)</f>
        <v/>
      </c>
      <c r="G14" s="6" t="n"/>
      <c r="H14" s="12" t="inlineStr">
        <is>
          <t>Econ Builder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inlineStr">
        <is>
          <t>Chota Bhai</t>
        </is>
      </c>
      <c r="C15" s="18">
        <f>SUMIF('Payment Tracker'!C:C,B15,'Payment Tracker'!G:G)</f>
        <v/>
      </c>
      <c r="D15" s="6" t="n"/>
      <c r="E15" s="17" t="inlineStr">
        <is>
          <t>Land Development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inlineStr">
        <is>
          <t>Through Sonbhai</t>
        </is>
      </c>
      <c r="C16" s="13">
        <f>SUMIF('Payment Tracker'!C:C,B16,'Payment Tracker'!G:G)</f>
        <v/>
      </c>
      <c r="D16" s="6" t="n"/>
      <c r="E16" s="12" t="inlineStr">
        <is>
          <t>Labour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Transport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Food/Provisions</t>
        </is>
      </c>
      <c r="F18" s="14">
        <f>SUMIFS('All Transactions'!O:O,'All Transactions'!E:E,E18)</f>
        <v/>
      </c>
      <c r="G18" s="6" t="n"/>
      <c r="H18" s="12" t="inlineStr">
        <is>
          <t>Naveen Hardware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inlineStr">
        <is>
          <t>Miscellaneous</t>
        </is>
      </c>
      <c r="F19" s="19">
        <f>SUMIFS('All Transactions'!O:O,'All Transactions'!E:E,E19)</f>
        <v/>
      </c>
      <c r="G19" s="6" t="n"/>
      <c r="H19" s="17" t="inlineStr">
        <is>
          <t>Daily Labour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Sonbhai-Coordinator</t>
        </is>
      </c>
      <c r="I21" s="20">
        <f>SUMIF('All Transactions'!H:H,H21,'All Transactions'!O:O)</f>
        <v/>
      </c>
      <c r="J21" s="20">
        <f>SUMIF('Payment Tracker'!D:D,H21,'Payment Tracker'!G:G)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48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569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1" t="n">
        <v>1</v>
      </c>
      <c r="B5" s="45" t="n">
        <v>46149</v>
      </c>
      <c r="C5" s="46">
        <f>IF(B5="","",TEXT(B5,"MMM-YYYY"))</f>
        <v/>
      </c>
      <c r="D5" s="47" t="inlineStr">
        <is>
          <t>Foundation</t>
        </is>
      </c>
      <c r="E5" s="47" t="inlineStr">
        <is>
          <t>Professional Fees</t>
        </is>
      </c>
      <c r="F5" s="47" t="inlineStr">
        <is>
          <t>Engineer Visit Charge</t>
        </is>
      </c>
      <c r="G5" s="47" t="inlineStr">
        <is>
          <t>Advance to Engineer</t>
        </is>
      </c>
      <c r="H5" s="47" t="inlineStr">
        <is>
          <t>Econ Builder</t>
        </is>
      </c>
      <c r="I5" s="48" t="n">
        <v>1</v>
      </c>
      <c r="J5" s="47" t="inlineStr">
        <is>
          <t>Lumpsum</t>
        </is>
      </c>
      <c r="K5" s="49" t="n">
        <v>5000</v>
      </c>
      <c r="L5" s="50">
        <f>IF(OR(I5="",K5=""),"",I5*K5)</f>
        <v/>
      </c>
      <c r="M5" s="51" t="n"/>
      <c r="N5" s="52">
        <f>M5*L5</f>
        <v/>
      </c>
      <c r="O5" s="50">
        <f>IF(L5="","",IF(M5="",L5,L5*(1-M5)))</f>
        <v/>
      </c>
      <c r="P5" s="47" t="inlineStr">
        <is>
          <t>Papa</t>
        </is>
      </c>
      <c r="Q5" s="47" t="inlineStr">
        <is>
          <t>GPay</t>
        </is>
      </c>
    </row>
    <row r="6" ht="15.75" customHeight="1" s="99">
      <c r="A6" s="43" t="n">
        <v>2</v>
      </c>
      <c r="B6" s="53" t="n">
        <v>46149</v>
      </c>
      <c r="C6" s="54">
        <f>IF(B6="","",TEXT(B6,"MMM-YYYY"))</f>
        <v/>
      </c>
      <c r="D6" s="55" t="inlineStr">
        <is>
          <t>Land Development</t>
        </is>
      </c>
      <c r="E6" s="55" t="inlineStr">
        <is>
          <t>Labour</t>
        </is>
      </c>
      <c r="F6" s="55" t="inlineStr">
        <is>
          <t>Daily Labour-Mitti Bharai</t>
        </is>
      </c>
      <c r="G6" s="55" t="inlineStr">
        <is>
          <t>Site cleaning by Chanarveer (adhoc labour)</t>
        </is>
      </c>
      <c r="H6" s="55" t="inlineStr">
        <is>
          <t>Sonbhai-Coordinator</t>
        </is>
      </c>
      <c r="I6" s="56" t="n">
        <v>1</v>
      </c>
      <c r="J6" s="55" t="inlineStr">
        <is>
          <t>Lumpsum</t>
        </is>
      </c>
      <c r="K6" s="57" t="n">
        <v>1500</v>
      </c>
      <c r="L6" s="58">
        <f>IF(OR(I6="",K6=""),"",I6*K6)</f>
        <v/>
      </c>
      <c r="M6" s="59" t="n"/>
      <c r="N6" s="52">
        <f>M6*L6</f>
        <v/>
      </c>
      <c r="O6" s="58">
        <f>IF(L6="","",IF(M6="",L6,L6*(1-M6)))</f>
        <v/>
      </c>
      <c r="P6" s="55" t="inlineStr">
        <is>
          <t>Self-GPay</t>
        </is>
      </c>
      <c r="Q6" s="55" t="inlineStr">
        <is>
          <t>GPay</t>
        </is>
      </c>
    </row>
    <row r="7" ht="15.75" customHeight="1" s="99">
      <c r="A7" s="41" t="n">
        <v>3</v>
      </c>
      <c r="B7" s="45" t="n">
        <v>46153</v>
      </c>
      <c r="C7" s="46">
        <f>IF(B7="","",TEXT(B7,"MMM-YYYY"))</f>
        <v/>
      </c>
      <c r="D7" s="47" t="inlineStr">
        <is>
          <t>Foundation</t>
        </is>
      </c>
      <c r="E7" s="47" t="inlineStr">
        <is>
          <t>Building Materials</t>
        </is>
      </c>
      <c r="F7" s="47" t="inlineStr">
        <is>
          <t>Cement-Ultratech Super</t>
        </is>
      </c>
      <c r="G7" s="47" t="inlineStr">
        <is>
          <t>Bill 63 - Ultratech Super 40 bags</t>
        </is>
      </c>
      <c r="H7" s="47" t="inlineStr">
        <is>
          <t>Pappu Hardware</t>
        </is>
      </c>
      <c r="I7" s="48" t="n">
        <v>40</v>
      </c>
      <c r="J7" s="47" t="inlineStr">
        <is>
          <t>Bags</t>
        </is>
      </c>
      <c r="K7" s="49" t="n">
        <v>360</v>
      </c>
      <c r="L7" s="50">
        <f>IF(OR(I7="",K7=""),"",I7*K7)</f>
        <v/>
      </c>
      <c r="M7" s="59" t="n"/>
      <c r="N7" s="52">
        <f>M7*L7</f>
        <v/>
      </c>
      <c r="O7" s="50">
        <f>IF(L7="","",IF(M7="",L7,L7*(1-M7)))</f>
        <v/>
      </c>
      <c r="P7" s="47" t="inlineStr">
        <is>
          <t>Self-GPay</t>
        </is>
      </c>
      <c r="Q7" s="47" t="inlineStr">
        <is>
          <t>GPay</t>
        </is>
      </c>
    </row>
    <row r="8" ht="15.75" customHeight="1" s="99">
      <c r="A8" s="43" t="n">
        <v>4</v>
      </c>
      <c r="B8" s="53" t="n">
        <v>46153</v>
      </c>
      <c r="C8" s="54">
        <f>IF(B8="","",TEXT(B8,"MMM-YYYY"))</f>
        <v/>
      </c>
      <c r="D8" s="55" t="inlineStr">
        <is>
          <t>Foundation</t>
        </is>
      </c>
      <c r="E8" s="55" t="inlineStr">
        <is>
          <t>Steel/Iron</t>
        </is>
      </c>
      <c r="F8" s="55" t="inlineStr">
        <is>
          <t>Tiscon 12mm</t>
        </is>
      </c>
      <c r="G8" s="55" t="inlineStr">
        <is>
          <t>Bill 63 - Tiscon 12mm 100pcs</t>
        </is>
      </c>
      <c r="H8" s="55" t="inlineStr">
        <is>
          <t>Pappu Hardware</t>
        </is>
      </c>
      <c r="I8" s="56" t="n">
        <v>100</v>
      </c>
      <c r="J8" s="55" t="inlineStr">
        <is>
          <t>Pcs</t>
        </is>
      </c>
      <c r="K8" s="57" t="n">
        <v>908</v>
      </c>
      <c r="L8" s="58">
        <f>IF(OR(I8="",K8=""),"",I8*K8)</f>
        <v/>
      </c>
      <c r="M8" s="59" t="n">
        <v>0.04</v>
      </c>
      <c r="N8" s="52">
        <f>M8*L8</f>
        <v/>
      </c>
      <c r="O8" s="58">
        <f>IF(L8="","",IF(M8="",L8,L8*(1-M8)))</f>
        <v/>
      </c>
      <c r="P8" s="55" t="inlineStr">
        <is>
          <t>Self-GPay</t>
        </is>
      </c>
      <c r="Q8" s="55" t="inlineStr">
        <is>
          <t>GPay</t>
        </is>
      </c>
    </row>
    <row r="9" ht="15.75" customHeight="1" s="99">
      <c r="A9" s="41" t="n">
        <v>5</v>
      </c>
      <c r="B9" s="45" t="n">
        <v>46153</v>
      </c>
      <c r="C9" s="46">
        <f>IF(B9="","",TEXT(B9,"MMM-YYYY"))</f>
        <v/>
      </c>
      <c r="D9" s="47" t="inlineStr">
        <is>
          <t>Foundation</t>
        </is>
      </c>
      <c r="E9" s="47" t="inlineStr">
        <is>
          <t>Steel/Iron</t>
        </is>
      </c>
      <c r="F9" s="47" t="inlineStr">
        <is>
          <t>Tiscon 10mm</t>
        </is>
      </c>
      <c r="G9" s="47" t="inlineStr">
        <is>
          <t>Bill 63 - Tiscon 10mm 100pcs</t>
        </is>
      </c>
      <c r="H9" s="47" t="inlineStr">
        <is>
          <t>Pappu Hardware</t>
        </is>
      </c>
      <c r="I9" s="48" t="n">
        <v>100</v>
      </c>
      <c r="J9" s="47" t="inlineStr">
        <is>
          <t>Pcs</t>
        </is>
      </c>
      <c r="K9" s="49" t="n">
        <v>642</v>
      </c>
      <c r="L9" s="50">
        <f>IF(OR(I9="",K9=""),"",I9*K9)</f>
        <v/>
      </c>
      <c r="M9" s="51" t="n">
        <v>0.04</v>
      </c>
      <c r="N9" s="52">
        <f>M9*L9</f>
        <v/>
      </c>
      <c r="O9" s="50">
        <f>IF(L9="","",IF(M9="",L9,L9*(1-M9)))</f>
        <v/>
      </c>
      <c r="P9" s="47" t="inlineStr">
        <is>
          <t>Self-GPay</t>
        </is>
      </c>
      <c r="Q9" s="47" t="inlineStr">
        <is>
          <t>GPay</t>
        </is>
      </c>
    </row>
    <row r="10" ht="15.75" customHeight="1" s="99">
      <c r="A10" s="43" t="n">
        <v>6</v>
      </c>
      <c r="B10" s="53" t="n">
        <v>46153</v>
      </c>
      <c r="C10" s="54">
        <f>IF(B10="","",TEXT(B10,"MMM-YYYY"))</f>
        <v/>
      </c>
      <c r="D10" s="55" t="inlineStr">
        <is>
          <t>Foundation</t>
        </is>
      </c>
      <c r="E10" s="55" t="inlineStr">
        <is>
          <t>Steel/Iron</t>
        </is>
      </c>
      <c r="F10" s="55" t="inlineStr">
        <is>
          <t>Tiscon 6mm</t>
        </is>
      </c>
      <c r="G10" s="55" t="inlineStr">
        <is>
          <t>Bill 63 - Tiscon 6mm 50pcs</t>
        </is>
      </c>
      <c r="H10" s="55" t="inlineStr">
        <is>
          <t>Pappu Hardware</t>
        </is>
      </c>
      <c r="I10" s="56" t="n">
        <v>50</v>
      </c>
      <c r="J10" s="55" t="inlineStr">
        <is>
          <t>Pcs</t>
        </is>
      </c>
      <c r="K10" s="57" t="n">
        <v>246</v>
      </c>
      <c r="L10" s="58">
        <f>IF(OR(I10="",K10=""),"",I10*K10)</f>
        <v/>
      </c>
      <c r="M10" s="59" t="n"/>
      <c r="N10" s="52">
        <f>M10*L10</f>
        <v/>
      </c>
      <c r="O10" s="58">
        <f>IF(L10="","",IF(M10="",L10,L10*(1-M10)))</f>
        <v/>
      </c>
      <c r="P10" s="55" t="inlineStr">
        <is>
          <t>Self-GPay</t>
        </is>
      </c>
      <c r="Q10" s="55" t="inlineStr">
        <is>
          <t>GPay</t>
        </is>
      </c>
    </row>
    <row r="11" ht="15.75" customHeight="1" s="99">
      <c r="A11" s="41" t="n">
        <v>7</v>
      </c>
      <c r="B11" s="45" t="n">
        <v>46153</v>
      </c>
      <c r="C11" s="46">
        <f>IF(B11="","",TEXT(B11,"MMM-YYYY"))</f>
        <v/>
      </c>
      <c r="D11" s="47" t="inlineStr">
        <is>
          <t>Foundation</t>
        </is>
      </c>
      <c r="E11" s="47" t="inlineStr">
        <is>
          <t>Building Materials</t>
        </is>
      </c>
      <c r="F11" s="47" t="inlineStr">
        <is>
          <t>Binding Wire</t>
        </is>
      </c>
      <c r="G11" s="47" t="inlineStr">
        <is>
          <t>Bill 63 - Binding Wire 20kg</t>
        </is>
      </c>
      <c r="H11" s="47" t="inlineStr">
        <is>
          <t>Pappu Hardware</t>
        </is>
      </c>
      <c r="I11" s="48" t="n">
        <v>20</v>
      </c>
      <c r="J11" s="47" t="inlineStr">
        <is>
          <t>Kg</t>
        </is>
      </c>
      <c r="K11" s="49" t="n">
        <v>120</v>
      </c>
      <c r="L11" s="50">
        <f>IF(OR(I11="",K11=""),"",I11*K11)</f>
        <v/>
      </c>
      <c r="M11" s="59" t="n"/>
      <c r="N11" s="52">
        <f>M11*L11</f>
        <v/>
      </c>
      <c r="O11" s="50">
        <f>IF(L11="","",IF(M11="",L11,L11*(1-M11)))</f>
        <v/>
      </c>
      <c r="P11" s="47" t="inlineStr">
        <is>
          <t>Self-GPay</t>
        </is>
      </c>
      <c r="Q11" s="47" t="inlineStr">
        <is>
          <t>GPay</t>
        </is>
      </c>
    </row>
    <row r="12" ht="15.75" customHeight="1" s="99">
      <c r="A12" s="43" t="n">
        <v>8</v>
      </c>
      <c r="B12" s="53" t="n">
        <v>46153</v>
      </c>
      <c r="C12" s="54">
        <f>IF(B12="","",TEXT(B12,"MMM-YYYY"))</f>
        <v/>
      </c>
      <c r="D12" s="55" t="inlineStr">
        <is>
          <t>Foundation</t>
        </is>
      </c>
      <c r="E12" s="55" t="inlineStr">
        <is>
          <t>Building Materials</t>
        </is>
      </c>
      <c r="F12" s="55" t="inlineStr">
        <is>
          <t>Dr Fixit</t>
        </is>
      </c>
      <c r="G12" s="55" t="inlineStr">
        <is>
          <t>Bill 63 - Dr Fixit 10L x 2pcs</t>
        </is>
      </c>
      <c r="H12" s="55" t="inlineStr">
        <is>
          <t>Pappu Hardware</t>
        </is>
      </c>
      <c r="I12" s="56" t="n">
        <v>2</v>
      </c>
      <c r="J12" s="55" t="inlineStr">
        <is>
          <t>Litres</t>
        </is>
      </c>
      <c r="K12" s="57" t="n">
        <v>1400</v>
      </c>
      <c r="L12" s="58">
        <f>IF(OR(I12="",K12=""),"",I12*K12)</f>
        <v/>
      </c>
      <c r="M12" s="59" t="n"/>
      <c r="N12" s="52">
        <f>M12*L12</f>
        <v/>
      </c>
      <c r="O12" s="58">
        <f>IF(L12="","",IF(M12="",L12,L12*(1-M12)))</f>
        <v/>
      </c>
      <c r="P12" s="55" t="inlineStr">
        <is>
          <t>Self-GPay</t>
        </is>
      </c>
      <c r="Q12" s="55" t="inlineStr">
        <is>
          <t>GPay</t>
        </is>
      </c>
    </row>
    <row r="13" ht="15.75" customHeight="1" s="99">
      <c r="A13" s="41" t="n">
        <v>9</v>
      </c>
      <c r="B13" s="45" t="n">
        <v>46153</v>
      </c>
      <c r="C13" s="46">
        <f>IF(B13="","",TEXT(B13,"MMM-YYYY"))</f>
        <v/>
      </c>
      <c r="D13" s="47" t="inlineStr">
        <is>
          <t>Foundation</t>
        </is>
      </c>
      <c r="E13" s="47" t="inlineStr">
        <is>
          <t>Transport</t>
        </is>
      </c>
      <c r="F13" s="47" t="inlineStr">
        <is>
          <t>Truck/Tempo Freight</t>
        </is>
      </c>
      <c r="G13" s="47" t="inlineStr">
        <is>
          <t>Bill 63 - Transport from Pappu Hardware</t>
        </is>
      </c>
      <c r="H13" s="47" t="inlineStr">
        <is>
          <t>Pappu Hardware</t>
        </is>
      </c>
      <c r="I13" s="48" t="n">
        <v>1</v>
      </c>
      <c r="J13" s="47" t="inlineStr">
        <is>
          <t>Trips</t>
        </is>
      </c>
      <c r="K13" s="49" t="n">
        <v>250</v>
      </c>
      <c r="L13" s="50">
        <f>IF(OR(I13="",K13=""),"",I13*K13)</f>
        <v/>
      </c>
      <c r="M13" s="59" t="n"/>
      <c r="N13" s="52">
        <f>M13*L13</f>
        <v/>
      </c>
      <c r="O13" s="50">
        <f>IF(L13="","",IF(M13="",L13,L13*(1-M13)))</f>
        <v/>
      </c>
      <c r="P13" s="47" t="inlineStr">
        <is>
          <t>Self-GPay</t>
        </is>
      </c>
      <c r="Q13" s="47" t="inlineStr">
        <is>
          <t>GPay</t>
        </is>
      </c>
    </row>
    <row r="14" ht="15.75" customHeight="1" s="99">
      <c r="A14" s="43" t="n">
        <v>10</v>
      </c>
      <c r="B14" s="53" t="n">
        <v>46153</v>
      </c>
      <c r="C14" s="54">
        <f>IF(B14="","",TEXT(B14,"MMM-YYYY"))</f>
        <v/>
      </c>
      <c r="D14" s="55" t="inlineStr">
        <is>
          <t>Foundation</t>
        </is>
      </c>
      <c r="E14" s="55" t="inlineStr">
        <is>
          <t>Labour</t>
        </is>
      </c>
      <c r="F14" s="55" t="inlineStr">
        <is>
          <t>Skilled Labour</t>
        </is>
      </c>
      <c r="G14" s="55" t="inlineStr">
        <is>
          <t>Bill 63 - Loading labour</t>
        </is>
      </c>
      <c r="H14" s="55" t="inlineStr">
        <is>
          <t>Pappu Hardware</t>
        </is>
      </c>
      <c r="I14" s="56" t="n">
        <v>1</v>
      </c>
      <c r="J14" s="55" t="inlineStr">
        <is>
          <t>Lumpsum</t>
        </is>
      </c>
      <c r="K14" s="57" t="n">
        <v>450</v>
      </c>
      <c r="L14" s="58">
        <f>IF(OR(I14="",K14=""),"",I14*K14)</f>
        <v/>
      </c>
      <c r="M14" s="59" t="n"/>
      <c r="N14" s="52">
        <f>M14*L14</f>
        <v/>
      </c>
      <c r="O14" s="58">
        <f>IF(L14="","",IF(M14="",L14,L14*(1-M14)))</f>
        <v/>
      </c>
      <c r="P14" s="55" t="inlineStr">
        <is>
          <t>Self-GPay</t>
        </is>
      </c>
      <c r="Q14" s="55" t="inlineStr">
        <is>
          <t>GPay</t>
        </is>
      </c>
    </row>
    <row r="15" ht="15.75" customHeight="1" s="99">
      <c r="A15" s="41" t="n">
        <v>11</v>
      </c>
      <c r="B15" s="45" t="n">
        <v>46153</v>
      </c>
      <c r="C15" s="46">
        <f>IF(B15="","",TEXT(B15,"MMM-YYYY"))</f>
        <v/>
      </c>
      <c r="D15" s="47" t="inlineStr">
        <is>
          <t>Foundation</t>
        </is>
      </c>
      <c r="E15" s="47" t="inlineStr">
        <is>
          <t>Building Materials</t>
        </is>
      </c>
      <c r="F15" s="47" t="inlineStr">
        <is>
          <t>Nails</t>
        </is>
      </c>
      <c r="G15" s="47" t="inlineStr">
        <is>
          <t>Bill 63 - Kanti (Nails) 2"x1" 1 bag</t>
        </is>
      </c>
      <c r="H15" s="47" t="inlineStr">
        <is>
          <t>Pappu Hardware</t>
        </is>
      </c>
      <c r="I15" s="48" t="n">
        <v>1</v>
      </c>
      <c r="J15" s="47" t="inlineStr">
        <is>
          <t>Kg/Bags</t>
        </is>
      </c>
      <c r="K15" s="49" t="n">
        <v>2000</v>
      </c>
      <c r="L15" s="50">
        <f>IF(OR(I15="",K15=""),"",I15*K15)</f>
        <v/>
      </c>
      <c r="M15" s="51" t="n"/>
      <c r="N15" s="52">
        <f>M15*L15</f>
        <v/>
      </c>
      <c r="O15" s="50">
        <f>IF(L15="","",IF(M15="",L15,L15*(1-M15)))</f>
        <v/>
      </c>
      <c r="P15" s="47" t="inlineStr">
        <is>
          <t>Self-GPay</t>
        </is>
      </c>
      <c r="Q15" s="47" t="inlineStr">
        <is>
          <t>GPay</t>
        </is>
      </c>
    </row>
    <row r="16" ht="15.75" customHeight="1" s="99">
      <c r="A16" s="43" t="n">
        <v>12</v>
      </c>
      <c r="B16" s="53" t="n">
        <v>46153</v>
      </c>
      <c r="C16" s="54">
        <f>IF(B16="","",TEXT(B16,"MMM-YYYY"))</f>
        <v/>
      </c>
      <c r="D16" s="55" t="inlineStr">
        <is>
          <t>Foundation</t>
        </is>
      </c>
      <c r="E16" s="55" t="inlineStr">
        <is>
          <t>Building Materials</t>
        </is>
      </c>
      <c r="F16" s="55" t="inlineStr">
        <is>
          <t>Nails</t>
        </is>
      </c>
      <c r="G16" s="55" t="inlineStr">
        <is>
          <t>Bill 63 - Additional discount from Pappu Hardware</t>
        </is>
      </c>
      <c r="H16" s="55" t="inlineStr">
        <is>
          <t>Pappu Hardware</t>
        </is>
      </c>
      <c r="I16" s="56" t="n">
        <v>1</v>
      </c>
      <c r="J16" s="55" t="inlineStr">
        <is>
          <t>Lumpsum</t>
        </is>
      </c>
      <c r="K16" s="57" t="n">
        <v>-400</v>
      </c>
      <c r="L16" s="58">
        <f>IF(OR(I16="",K16=""),"",I16*K16)</f>
        <v/>
      </c>
      <c r="M16" s="59" t="n"/>
      <c r="N16" s="52">
        <f>M16*L16</f>
        <v/>
      </c>
      <c r="O16" s="58">
        <f>IF(L16="","",IF(M16="",L16,L16*(1-M16)))</f>
        <v/>
      </c>
      <c r="P16" s="55" t="inlineStr">
        <is>
          <t>Self-GPay</t>
        </is>
      </c>
      <c r="Q16" s="55" t="inlineStr">
        <is>
          <t>GPay</t>
        </is>
      </c>
    </row>
    <row r="17" ht="15.75" customHeight="1" s="99">
      <c r="A17" s="41" t="n">
        <v>13</v>
      </c>
      <c r="B17" s="45" t="n">
        <v>46154</v>
      </c>
      <c r="C17" s="46">
        <f>IF(B17="","",TEXT(B17,"MMM-YYYY"))</f>
        <v/>
      </c>
      <c r="D17" s="47" t="inlineStr">
        <is>
          <t>Land Development</t>
        </is>
      </c>
      <c r="E17" s="47" t="inlineStr">
        <is>
          <t>Land Development</t>
        </is>
      </c>
      <c r="F17" s="47" t="inlineStr">
        <is>
          <t>JCB Work</t>
        </is>
      </c>
      <c r="G17" s="47" t="inlineStr">
        <is>
          <t>JCB work 17.5 hrs @ ₹1,000/hr</t>
        </is>
      </c>
      <c r="H17" s="47" t="inlineStr">
        <is>
          <t>Mukesh Yadav</t>
        </is>
      </c>
      <c r="I17" s="48" t="n">
        <v>17.5</v>
      </c>
      <c r="J17" s="47" t="inlineStr">
        <is>
          <t>Hrs</t>
        </is>
      </c>
      <c r="K17" s="49" t="n">
        <v>1000</v>
      </c>
      <c r="L17" s="50" t="n">
        <v>17500</v>
      </c>
      <c r="M17" s="51" t="n"/>
      <c r="N17" s="52">
        <f>M17*L17</f>
        <v/>
      </c>
      <c r="O17" s="50">
        <f>IF(L17="","",IF(M17="",L17,L17*(1-M17)))</f>
        <v/>
      </c>
      <c r="P17" s="47" t="inlineStr">
        <is>
          <t>Papa</t>
        </is>
      </c>
      <c r="Q17" s="47" t="inlineStr">
        <is>
          <t>GPay</t>
        </is>
      </c>
    </row>
    <row r="18" ht="15.75" customHeight="1" s="99">
      <c r="A18" s="43" t="n">
        <v>14</v>
      </c>
      <c r="B18" s="53" t="n">
        <v>46146</v>
      </c>
      <c r="C18" s="54">
        <f>IF(B18="","",TEXT(B18,"MMM-YYYY"))</f>
        <v/>
      </c>
      <c r="D18" s="55" t="inlineStr">
        <is>
          <t>Foundation</t>
        </is>
      </c>
      <c r="E18" s="55" t="inlineStr">
        <is>
          <t>Building Materials</t>
        </is>
      </c>
      <c r="F18" s="55" t="inlineStr">
        <is>
          <t>Sand</t>
        </is>
      </c>
      <c r="G18" s="55" t="inlineStr">
        <is>
          <t>Sand 1st truck (920 CFT)</t>
        </is>
      </c>
      <c r="H18" s="55" t="inlineStr">
        <is>
          <t>Sand Truck Wala</t>
        </is>
      </c>
      <c r="I18" s="56" t="n">
        <v>920</v>
      </c>
      <c r="J18" s="55" t="inlineStr">
        <is>
          <t>CFT</t>
        </is>
      </c>
      <c r="K18" s="57" t="n">
        <v>55</v>
      </c>
      <c r="L18" s="58" t="n">
        <v>55000</v>
      </c>
      <c r="M18" s="59" t="n"/>
      <c r="N18" s="52">
        <f>M18*L18</f>
        <v/>
      </c>
      <c r="O18" s="58">
        <f>IF(L18="","",IF(M18="",L18,L18*(1-M18)))</f>
        <v/>
      </c>
      <c r="P18" s="55" t="inlineStr">
        <is>
          <t>Papa</t>
        </is>
      </c>
      <c r="Q18" s="55" t="inlineStr">
        <is>
          <t>GPay</t>
        </is>
      </c>
    </row>
    <row r="19" ht="15.75" customHeight="1" s="99">
      <c r="A19" s="41" t="n">
        <v>15</v>
      </c>
      <c r="B19" s="45" t="n">
        <v>46154</v>
      </c>
      <c r="C19" s="46">
        <f>IF(B19="","",TEXT(B19,"MMM-YYYY"))</f>
        <v/>
      </c>
      <c r="D19" s="47" t="inlineStr">
        <is>
          <t>Foundation</t>
        </is>
      </c>
      <c r="E19" s="47" t="inlineStr">
        <is>
          <t>Building Materials</t>
        </is>
      </c>
      <c r="F19" s="47" t="inlineStr">
        <is>
          <t>Sand</t>
        </is>
      </c>
      <c r="G19" s="47" t="inlineStr">
        <is>
          <t>Sand 2nd truck (918 CFT)</t>
        </is>
      </c>
      <c r="H19" s="47" t="inlineStr">
        <is>
          <t>Sand Truck Wala</t>
        </is>
      </c>
      <c r="I19" s="48" t="n">
        <v>918</v>
      </c>
      <c r="J19" s="47" t="inlineStr">
        <is>
          <t>CFT</t>
        </is>
      </c>
      <c r="K19" s="49" t="n">
        <v>55</v>
      </c>
      <c r="L19" s="50" t="n">
        <v>55000</v>
      </c>
      <c r="M19" s="51" t="n"/>
      <c r="N19" s="52">
        <f>M19*L19</f>
        <v/>
      </c>
      <c r="O19" s="50">
        <f>IF(L19="","",IF(M19="",L19,L19*(1-M19)))</f>
        <v/>
      </c>
      <c r="P19" s="47" t="inlineStr">
        <is>
          <t>Papa</t>
        </is>
      </c>
      <c r="Q19" s="47" t="inlineStr">
        <is>
          <t>GPay</t>
        </is>
      </c>
    </row>
    <row r="20" ht="15.75" customHeight="1" s="99">
      <c r="A20" s="43" t="n">
        <v>16</v>
      </c>
      <c r="B20" s="53" t="n">
        <v>46156</v>
      </c>
      <c r="C20" s="54" t="inlineStr">
        <is>
          <t>May-2026</t>
        </is>
      </c>
      <c r="D20" s="55" t="inlineStr">
        <is>
          <t>Foundation</t>
        </is>
      </c>
      <c r="E20" s="55" t="inlineStr">
        <is>
          <t>Building Materials</t>
        </is>
      </c>
      <c r="F20" s="55" t="inlineStr">
        <is>
          <t>Bricks</t>
        </is>
      </c>
      <c r="G20" s="55" t="inlineStr">
        <is>
          <t>Bricks - tractor 1 delivery (1500 pcs)</t>
        </is>
      </c>
      <c r="H20" s="55" t="inlineStr">
        <is>
          <t>Brick Company</t>
        </is>
      </c>
      <c r="I20" s="56" t="n">
        <v>1500</v>
      </c>
      <c r="J20" s="55" t="inlineStr">
        <is>
          <t>Nos</t>
        </is>
      </c>
      <c r="K20" s="57" t="n">
        <v>8.5</v>
      </c>
      <c r="L20" s="58" t="n">
        <v>12750</v>
      </c>
      <c r="M20" s="59" t="n"/>
      <c r="N20" s="59" t="n"/>
      <c r="O20" s="58">
        <f>IF(L20="","",IF(M20="",L20,L20*(1-M20)))</f>
        <v/>
      </c>
      <c r="P20" s="55" t="inlineStr">
        <is>
          <t>Self-GPay</t>
        </is>
      </c>
      <c r="Q20" s="55" t="inlineStr">
        <is>
          <t>GPay</t>
        </is>
      </c>
    </row>
    <row r="21" ht="15.75" customHeight="1" s="99">
      <c r="A21" s="41" t="n">
        <v>17</v>
      </c>
      <c r="B21" s="45" t="n">
        <v>46157</v>
      </c>
      <c r="C21" s="46" t="inlineStr">
        <is>
          <t>May-2026</t>
        </is>
      </c>
      <c r="D21" s="47" t="inlineStr">
        <is>
          <t>Foundation</t>
        </is>
      </c>
      <c r="E21" s="47" t="inlineStr">
        <is>
          <t>Building Materials</t>
        </is>
      </c>
      <c r="F21" s="47" t="inlineStr">
        <is>
          <t>Concrete/Gitti</t>
        </is>
      </c>
      <c r="G21" s="47" t="inlineStr">
        <is>
          <t>Crushed stone / Gitti - 27.5 Ton (600 CFT)</t>
        </is>
      </c>
      <c r="H21" s="47" t="inlineStr">
        <is>
          <t>Concrete Supplier</t>
        </is>
      </c>
      <c r="I21" s="48" t="n">
        <v>27.5</v>
      </c>
      <c r="J21" s="47" t="inlineStr">
        <is>
          <t>Ton</t>
        </is>
      </c>
      <c r="K21" s="49" t="n">
        <v>2400</v>
      </c>
      <c r="L21" s="50" t="n">
        <v>66000</v>
      </c>
      <c r="M21" s="51" t="n"/>
      <c r="N21" s="51" t="n"/>
      <c r="O21" s="50">
        <f>IF(L21="","",IF(M21="",L21,L21*(1-M21)))</f>
        <v/>
      </c>
      <c r="P21" s="47" t="inlineStr">
        <is>
          <t>Papa</t>
        </is>
      </c>
      <c r="Q21" s="47" t="inlineStr">
        <is>
          <t>GPay</t>
        </is>
      </c>
    </row>
    <row r="22" ht="15.75" customHeight="1" s="99">
      <c r="A22" s="43" t="n">
        <v>18</v>
      </c>
      <c r="B22" s="53" t="n">
        <v>46157</v>
      </c>
      <c r="C22" s="54" t="inlineStr">
        <is>
          <t>May-2026</t>
        </is>
      </c>
      <c r="D22" s="55" t="inlineStr">
        <is>
          <t>Foundation</t>
        </is>
      </c>
      <c r="E22" s="55" t="inlineStr">
        <is>
          <t>Professional Fees</t>
        </is>
      </c>
      <c r="F22" s="55" t="inlineStr">
        <is>
          <t>Engineering</t>
        </is>
      </c>
      <c r="G22" s="55" t="inlineStr">
        <is>
          <t>Layout mapping / Naksha by Econ Builder</t>
        </is>
      </c>
      <c r="H22" s="55" t="inlineStr">
        <is>
          <t>Econ Builder</t>
        </is>
      </c>
      <c r="I22" s="56" t="n">
        <v>1</v>
      </c>
      <c r="J22" s="55" t="inlineStr">
        <is>
          <t>Lumpsum</t>
        </is>
      </c>
      <c r="K22" s="57" t="n">
        <v>11000</v>
      </c>
      <c r="L22" s="58" t="n">
        <v>11000</v>
      </c>
      <c r="M22" s="59" t="n"/>
      <c r="N22" s="59" t="n"/>
      <c r="O22" s="58">
        <f>IF(L22="","",IF(M22="",L22,L22*(1-M22)))</f>
        <v/>
      </c>
      <c r="P22" s="55" t="inlineStr">
        <is>
          <t>Papa</t>
        </is>
      </c>
      <c r="Q22" s="55" t="inlineStr">
        <is>
          <t>GPay</t>
        </is>
      </c>
    </row>
    <row r="23" ht="15.75" customHeight="1" s="99">
      <c r="A23" s="41" t="n">
        <v>19</v>
      </c>
      <c r="B23" s="45" t="n">
        <v>46158</v>
      </c>
      <c r="C23" s="46" t="inlineStr">
        <is>
          <t>May-2026</t>
        </is>
      </c>
      <c r="D23" s="47" t="inlineStr">
        <is>
          <t>Foundation</t>
        </is>
      </c>
      <c r="E23" s="47" t="inlineStr">
        <is>
          <t>Professional Fees</t>
        </is>
      </c>
      <c r="F23" s="47" t="inlineStr">
        <is>
          <t>Engineering</t>
        </is>
      </c>
      <c r="G23" s="47" t="inlineStr">
        <is>
          <t>Engineer advance to Econ Builder (construction supervision)</t>
        </is>
      </c>
      <c r="H23" s="47" t="inlineStr">
        <is>
          <t>Econ Builder</t>
        </is>
      </c>
      <c r="I23" s="48" t="n">
        <v>1</v>
      </c>
      <c r="J23" s="47" t="inlineStr">
        <is>
          <t>Lumpsum</t>
        </is>
      </c>
      <c r="K23" s="49" t="n">
        <v>50000</v>
      </c>
      <c r="L23" s="50" t="n">
        <v>50000</v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20</v>
      </c>
      <c r="B24" s="53" t="n">
        <v>46157</v>
      </c>
      <c r="C24" s="54" t="inlineStr">
        <is>
          <t>May-2026</t>
        </is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2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 t="n">
        <v>12750</v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21</v>
      </c>
      <c r="B25" s="45" t="n">
        <v>46157</v>
      </c>
      <c r="C25" s="46" t="inlineStr">
        <is>
          <t>May-2026</t>
        </is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3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 t="n">
        <v>12750</v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22</v>
      </c>
      <c r="B26" s="53" t="n">
        <v>46157</v>
      </c>
      <c r="C26" s="54" t="inlineStr">
        <is>
          <t>May-2026</t>
        </is>
      </c>
      <c r="D26" s="55" t="inlineStr">
        <is>
          <t>Foundation</t>
        </is>
      </c>
      <c r="E26" s="55" t="inlineStr">
        <is>
          <t>Building Materials</t>
        </is>
      </c>
      <c r="F26" s="55" t="inlineStr">
        <is>
          <t>Bricks</t>
        </is>
      </c>
      <c r="G26" s="55" t="inlineStr">
        <is>
          <t>Bricks - tractor 4 delivery (1500 pcs)</t>
        </is>
      </c>
      <c r="H26" s="55" t="inlineStr">
        <is>
          <t>Brick Company</t>
        </is>
      </c>
      <c r="I26" s="56" t="n">
        <v>1500</v>
      </c>
      <c r="J26" s="55" t="inlineStr">
        <is>
          <t>Nos</t>
        </is>
      </c>
      <c r="K26" s="57" t="n">
        <v>8.5</v>
      </c>
      <c r="L26" s="58" t="n">
        <v>12750</v>
      </c>
      <c r="M26" s="59" t="n"/>
      <c r="N26" s="59" t="n"/>
      <c r="O26" s="58">
        <f>IF(L26="","",IF(M26="",L26,L26*(1-M26)))</f>
        <v/>
      </c>
      <c r="P26" s="55" t="inlineStr">
        <is>
          <t>Self-GPay</t>
        </is>
      </c>
      <c r="Q26" s="55" t="inlineStr">
        <is>
          <t>GPay</t>
        </is>
      </c>
    </row>
    <row r="27" ht="15.75" customHeight="1" s="99">
      <c r="A27" s="41" t="n">
        <v>23</v>
      </c>
      <c r="B27" s="45" t="n">
        <v>46157</v>
      </c>
      <c r="C27" s="46" t="inlineStr">
        <is>
          <t>May-2026</t>
        </is>
      </c>
      <c r="D27" s="47" t="inlineStr">
        <is>
          <t>Foundation</t>
        </is>
      </c>
      <c r="E27" s="47" t="inlineStr">
        <is>
          <t>Building Materials</t>
        </is>
      </c>
      <c r="F27" s="47" t="inlineStr">
        <is>
          <t>Bricks</t>
        </is>
      </c>
      <c r="G27" s="47" t="inlineStr">
        <is>
          <t>Bricks - tractor 5 delivery (1500 pcs)</t>
        </is>
      </c>
      <c r="H27" s="47" t="inlineStr">
        <is>
          <t>Brick Company</t>
        </is>
      </c>
      <c r="I27" s="48" t="n">
        <v>1500</v>
      </c>
      <c r="J27" s="47" t="inlineStr">
        <is>
          <t>Nos</t>
        </is>
      </c>
      <c r="K27" s="49" t="n">
        <v>8.5</v>
      </c>
      <c r="L27" s="50" t="n">
        <v>12750</v>
      </c>
      <c r="M27" s="51" t="n"/>
      <c r="N27" s="51" t="n"/>
      <c r="O27" s="50">
        <f>IF(L27="","",IF(M27="",L27,L27*(1-M27)))</f>
        <v/>
      </c>
      <c r="P27" s="47" t="inlineStr">
        <is>
          <t>Self-GPay</t>
        </is>
      </c>
      <c r="Q27" s="47" t="inlineStr">
        <is>
          <t>GPay</t>
        </is>
      </c>
    </row>
    <row r="28" ht="15.75" customHeight="1" s="99">
      <c r="A28" s="43" t="n">
        <v>24</v>
      </c>
      <c r="B28" s="53" t="n">
        <v>46158</v>
      </c>
      <c r="C28" s="54" t="inlineStr">
        <is>
          <t>May-2026</t>
        </is>
      </c>
      <c r="D28" s="55" t="inlineStr">
        <is>
          <t>Foundation</t>
        </is>
      </c>
      <c r="E28" s="55" t="inlineStr">
        <is>
          <t>Miscellaneous</t>
        </is>
      </c>
      <c r="F28" s="55" t="inlineStr">
        <is>
          <t>Kala Panni/Tar</t>
        </is>
      </c>
      <c r="G28" s="55" t="inlineStr">
        <is>
          <t>Polythene / Panni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600</v>
      </c>
      <c r="L28" s="58" t="n">
        <v>600</v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25</v>
      </c>
      <c r="B29" s="45" t="n">
        <v>46158</v>
      </c>
      <c r="C29" s="46" t="inlineStr">
        <is>
          <t>May-2026</t>
        </is>
      </c>
      <c r="D29" s="47" t="inlineStr">
        <is>
          <t>Foundation</t>
        </is>
      </c>
      <c r="E29" s="47" t="inlineStr">
        <is>
          <t>Miscellaneous</t>
        </is>
      </c>
      <c r="F29" s="47" t="inlineStr">
        <is>
          <t>Tools/Equipment</t>
        </is>
      </c>
      <c r="G29" s="47" t="inlineStr">
        <is>
          <t>Construction equipment - Tegadi &amp; Kudal</t>
        </is>
      </c>
      <c r="H29" s="47" t="inlineStr">
        <is>
          <t>Local Purchase</t>
        </is>
      </c>
      <c r="I29" s="48" t="n">
        <v>1</v>
      </c>
      <c r="J29" s="47" t="inlineStr">
        <is>
          <t>Lumpsum</t>
        </is>
      </c>
      <c r="K29" s="49" t="n">
        <v>1175</v>
      </c>
      <c r="L29" s="50" t="n">
        <v>1175</v>
      </c>
      <c r="M29" s="51" t="n"/>
      <c r="N29" s="51" t="n"/>
      <c r="O29" s="50">
        <f>IF(L29="","",IF(M29="",L29,L29*(1-M29)))</f>
        <v/>
      </c>
      <c r="P29" s="47" t="inlineStr">
        <is>
          <t>Papa</t>
        </is>
      </c>
      <c r="Q29" s="47" t="inlineStr">
        <is>
          <t>GPay</t>
        </is>
      </c>
    </row>
    <row r="30" ht="15.75" customHeight="1" s="99">
      <c r="A30" s="43" t="n">
        <v>26</v>
      </c>
      <c r="B30" s="53" t="n">
        <v>46158</v>
      </c>
      <c r="C30" s="54" t="inlineStr">
        <is>
          <t>May-2026</t>
        </is>
      </c>
      <c r="D30" s="55" t="inlineStr">
        <is>
          <t>Foundation</t>
        </is>
      </c>
      <c r="E30" s="55" t="inlineStr">
        <is>
          <t>Food/Provisions</t>
        </is>
      </c>
      <c r="F30" s="55" t="inlineStr">
        <is>
          <t>Food/Ration</t>
        </is>
      </c>
      <c r="G30" s="55" t="inlineStr">
        <is>
          <t>Food ration for labour</t>
        </is>
      </c>
      <c r="H30" s="55" t="inlineStr">
        <is>
          <t>Local Purchase</t>
        </is>
      </c>
      <c r="I30" s="56" t="n">
        <v>1</v>
      </c>
      <c r="J30" s="55" t="inlineStr">
        <is>
          <t>Lumpsum</t>
        </is>
      </c>
      <c r="K30" s="57" t="n">
        <v>3285</v>
      </c>
      <c r="L30" s="58" t="n">
        <v>3285</v>
      </c>
      <c r="M30" s="59" t="n"/>
      <c r="N30" s="59" t="n"/>
      <c r="O30" s="58">
        <f>IF(L30="","",IF(M30="",L30,L30*(1-M30)))</f>
        <v/>
      </c>
      <c r="P30" s="55" t="inlineStr">
        <is>
          <t>Papa</t>
        </is>
      </c>
      <c r="Q30" s="55" t="inlineStr">
        <is>
          <t>GPay</t>
        </is>
      </c>
    </row>
    <row r="31" ht="15.75" customHeight="1" s="99">
      <c r="A31" s="41" t="n">
        <v>27</v>
      </c>
      <c r="B31" s="45" t="n">
        <v>46161</v>
      </c>
      <c r="C31" s="46" t="inlineStr">
        <is>
          <t>May-2026</t>
        </is>
      </c>
      <c r="D31" s="47" t="inlineStr">
        <is>
          <t>Foundation</t>
        </is>
      </c>
      <c r="E31" s="47" t="inlineStr">
        <is>
          <t>Building Materials</t>
        </is>
      </c>
      <c r="F31" s="47" t="inlineStr">
        <is>
          <t>Binding Wire</t>
        </is>
      </c>
      <c r="G31" s="47" t="inlineStr">
        <is>
          <t>Soft wire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1300</v>
      </c>
      <c r="L31" s="50" t="n">
        <v>1300</v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28</v>
      </c>
      <c r="B32" s="53" t="n">
        <v>46161</v>
      </c>
      <c r="C32" s="54" t="inlineStr">
        <is>
          <t>May-2026</t>
        </is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Cover Block</t>
        </is>
      </c>
      <c r="G32" s="55" t="inlineStr">
        <is>
          <t>Cover blocks - 6 packets</t>
        </is>
      </c>
      <c r="H32" s="55" t="inlineStr">
        <is>
          <t>Pappu Hardware</t>
        </is>
      </c>
      <c r="I32" s="56" t="n">
        <v>6</v>
      </c>
      <c r="J32" s="55" t="inlineStr">
        <is>
          <t>Nos</t>
        </is>
      </c>
      <c r="K32" s="57" t="n">
        <v>350</v>
      </c>
      <c r="L32" s="58" t="n">
        <v>2100</v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29</v>
      </c>
      <c r="B33" s="45" t="n">
        <v>46161</v>
      </c>
      <c r="C33" s="46" t="inlineStr">
        <is>
          <t>May-2026</t>
        </is>
      </c>
      <c r="D33" s="47" t="inlineStr">
        <is>
          <t>Foundation</t>
        </is>
      </c>
      <c r="E33" s="47" t="inlineStr">
        <is>
          <t>Labour</t>
        </is>
      </c>
      <c r="F33" s="47" t="inlineStr">
        <is>
          <t>Helper Labour</t>
        </is>
      </c>
      <c r="G33" s="47" t="inlineStr">
        <is>
          <t>Labour charges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100</v>
      </c>
      <c r="L33" s="50" t="n">
        <v>100</v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30</v>
      </c>
      <c r="B34" s="53" t="n">
        <v>46163</v>
      </c>
      <c r="C34" s="54" t="inlineStr">
        <is>
          <t>May-2026</t>
        </is>
      </c>
      <c r="D34" s="55" t="inlineStr">
        <is>
          <t>Foundation</t>
        </is>
      </c>
      <c r="E34" s="55" t="inlineStr">
        <is>
          <t>Building Materials</t>
        </is>
      </c>
      <c r="F34" s="55" t="inlineStr">
        <is>
          <t>Cement-Ultratech Super</t>
        </is>
      </c>
      <c r="G34" s="55" t="inlineStr">
        <is>
          <t>Cement Ultratech Super - 60 bags</t>
        </is>
      </c>
      <c r="H34" s="55" t="inlineStr">
        <is>
          <t>Pappu Hardware</t>
        </is>
      </c>
      <c r="I34" s="56" t="n">
        <v>60</v>
      </c>
      <c r="J34" s="55" t="inlineStr">
        <is>
          <t>Bags</t>
        </is>
      </c>
      <c r="K34" s="57" t="n">
        <v>360</v>
      </c>
      <c r="L34" s="58" t="n">
        <v>21600</v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31</v>
      </c>
      <c r="B35" s="45" t="n">
        <v>46163</v>
      </c>
      <c r="C35" s="46" t="inlineStr">
        <is>
          <t>May-2026</t>
        </is>
      </c>
      <c r="D35" s="47" t="inlineStr">
        <is>
          <t>Foundation</t>
        </is>
      </c>
      <c r="E35" s="47" t="inlineStr">
        <is>
          <t>Transport</t>
        </is>
      </c>
      <c r="F35" s="47" t="inlineStr">
        <is>
          <t>Material Transport</t>
        </is>
      </c>
      <c r="G35" s="47" t="inlineStr">
        <is>
          <t>Cement transportation</t>
        </is>
      </c>
      <c r="H35" s="47" t="inlineStr">
        <is>
          <t>Pappu Hardware</t>
        </is>
      </c>
      <c r="I35" s="48" t="n">
        <v>1</v>
      </c>
      <c r="J35" s="47" t="inlineStr">
        <is>
          <t>Lumpsum</t>
        </is>
      </c>
      <c r="K35" s="49" t="n">
        <v>250</v>
      </c>
      <c r="L35" s="50" t="n">
        <v>250</v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32</v>
      </c>
      <c r="B36" s="53" t="n">
        <v>46163</v>
      </c>
      <c r="C36" s="54" t="inlineStr">
        <is>
          <t>May-2026</t>
        </is>
      </c>
      <c r="D36" s="55" t="inlineStr">
        <is>
          <t>Foundation</t>
        </is>
      </c>
      <c r="E36" s="55" t="inlineStr">
        <is>
          <t>Labour</t>
        </is>
      </c>
      <c r="F36" s="55" t="inlineStr">
        <is>
          <t>Helper Labour</t>
        </is>
      </c>
      <c r="G36" s="55" t="inlineStr">
        <is>
          <t>Labour for cement unloading</t>
        </is>
      </c>
      <c r="H36" s="55" t="inlineStr">
        <is>
          <t>Pappu Hardware</t>
        </is>
      </c>
      <c r="I36" s="56" t="n">
        <v>1</v>
      </c>
      <c r="J36" s="55" t="inlineStr">
        <is>
          <t>Lumpsum</t>
        </is>
      </c>
      <c r="K36" s="57" t="n">
        <v>250</v>
      </c>
      <c r="L36" s="58" t="n">
        <v>250</v>
      </c>
      <c r="M36" s="59" t="n"/>
      <c r="N36" s="59" t="n"/>
      <c r="O36" s="58">
        <f>IF(L36="","",IF(M36="",L36,L36*(1-M36)))</f>
        <v/>
      </c>
      <c r="P36" s="55" t="inlineStr">
        <is>
          <t>Self-GPay</t>
        </is>
      </c>
      <c r="Q36" s="55" t="inlineStr">
        <is>
          <t>GPay</t>
        </is>
      </c>
    </row>
    <row r="37" ht="15.75" customHeight="1" s="99">
      <c r="A37" s="41" t="n">
        <v>33</v>
      </c>
      <c r="B37" s="45" t="n">
        <v>46163</v>
      </c>
      <c r="C37" s="46" t="inlineStr">
        <is>
          <t>May-2026</t>
        </is>
      </c>
      <c r="D37" s="47" t="inlineStr">
        <is>
          <t>Foundation</t>
        </is>
      </c>
      <c r="E37" s="47" t="inlineStr">
        <is>
          <t>Miscellaneous</t>
        </is>
      </c>
      <c r="F37" s="47" t="inlineStr">
        <is>
          <t>Temp Construction</t>
        </is>
      </c>
      <c r="G37" s="47" t="inlineStr">
        <is>
          <t>Color metal sheet for temp toilet roof</t>
        </is>
      </c>
      <c r="H37" s="47" t="inlineStr">
        <is>
          <t>Pappu Hardware</t>
        </is>
      </c>
      <c r="I37" s="48" t="n">
        <v>1</v>
      </c>
      <c r="J37" s="47" t="inlineStr">
        <is>
          <t>Nos</t>
        </is>
      </c>
      <c r="K37" s="49" t="n">
        <v>2700</v>
      </c>
      <c r="L37" s="50" t="n">
        <v>2700</v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34</v>
      </c>
      <c r="B38" s="53" t="n">
        <v>46164</v>
      </c>
      <c r="C38" s="54" t="inlineStr">
        <is>
          <t>May-2026</t>
        </is>
      </c>
      <c r="D38" s="55" t="inlineStr">
        <is>
          <t>Foundation</t>
        </is>
      </c>
      <c r="E38" s="55" t="inlineStr">
        <is>
          <t>Professional Fees</t>
        </is>
      </c>
      <c r="F38" s="55" t="inlineStr">
        <is>
          <t>Engineering</t>
        </is>
      </c>
      <c r="G38" s="55" t="inlineStr">
        <is>
          <t>Engineer advance to Econ Builder</t>
        </is>
      </c>
      <c r="H38" s="55" t="inlineStr">
        <is>
          <t>Econ Builder</t>
        </is>
      </c>
      <c r="I38" s="56" t="n">
        <v>1</v>
      </c>
      <c r="J38" s="55" t="inlineStr">
        <is>
          <t>Lumpsum</t>
        </is>
      </c>
      <c r="K38" s="57" t="n">
        <v>50000</v>
      </c>
      <c r="L38" s="58" t="n">
        <v>50000</v>
      </c>
      <c r="M38" s="59" t="n"/>
      <c r="N38" s="59" t="n"/>
      <c r="O38" s="58">
        <f>IF(L38="","",IF(M38="",L38,L38*(1-M38)))</f>
        <v/>
      </c>
      <c r="P38" s="55" t="inlineStr">
        <is>
          <t>Self-Bank Transfer</t>
        </is>
      </c>
      <c r="Q38" s="55" t="inlineStr">
        <is>
          <t>Bank Transfer</t>
        </is>
      </c>
    </row>
    <row r="39" ht="15.75" customHeight="1" s="99">
      <c r="A39" s="41" t="n">
        <v>35</v>
      </c>
      <c r="B39" s="45" t="n">
        <v>46162</v>
      </c>
      <c r="C39" s="46" t="inlineStr">
        <is>
          <t>May-2026</t>
        </is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6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 t="n">
        <v>12750</v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36</v>
      </c>
      <c r="B40" s="53" t="n">
        <v>46162</v>
      </c>
      <c r="C40" s="54" t="inlineStr">
        <is>
          <t>May-2026</t>
        </is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Bricks</t>
        </is>
      </c>
      <c r="G40" s="55" t="inlineStr">
        <is>
          <t>Bricks - tractor 7 delivery (1500 pcs)</t>
        </is>
      </c>
      <c r="H40" s="55" t="inlineStr">
        <is>
          <t>Brick Company</t>
        </is>
      </c>
      <c r="I40" s="56" t="n">
        <v>1500</v>
      </c>
      <c r="J40" s="55" t="inlineStr">
        <is>
          <t>Nos</t>
        </is>
      </c>
      <c r="K40" s="57" t="n">
        <v>8.5</v>
      </c>
      <c r="L40" s="58" t="n">
        <v>12750</v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37</v>
      </c>
      <c r="B41" s="45" t="n">
        <v>46165</v>
      </c>
      <c r="C41" s="46" t="inlineStr">
        <is>
          <t>May-2026</t>
        </is>
      </c>
      <c r="D41" s="47" t="inlineStr">
        <is>
          <t>Plinth</t>
        </is>
      </c>
      <c r="E41" s="47" t="inlineStr">
        <is>
          <t>Building Materials</t>
        </is>
      </c>
      <c r="F41" s="47" t="inlineStr">
        <is>
          <t>Bricks</t>
        </is>
      </c>
      <c r="G41" s="47" t="inlineStr">
        <is>
          <t>Bricks - tractor 8 delivery (1500 pcs)</t>
        </is>
      </c>
      <c r="H41" s="47" t="inlineStr">
        <is>
          <t>Brick Company</t>
        </is>
      </c>
      <c r="I41" s="48" t="n">
        <v>1500</v>
      </c>
      <c r="J41" s="47" t="inlineStr">
        <is>
          <t>Nos</t>
        </is>
      </c>
      <c r="K41" s="49" t="n">
        <v>8.5</v>
      </c>
      <c r="L41" s="50" t="n">
        <v>12750</v>
      </c>
      <c r="M41" s="51" t="n"/>
      <c r="N41" s="51" t="n"/>
      <c r="O41" s="50">
        <f>IF(L41="","",IF(M41="",L41,L41*(1-M41)))</f>
        <v/>
      </c>
      <c r="P41" s="47" t="inlineStr">
        <is>
          <t>Self-GPay</t>
        </is>
      </c>
      <c r="Q41" s="47" t="inlineStr">
        <is>
          <t>GPay</t>
        </is>
      </c>
    </row>
    <row r="42" ht="15.75" customHeight="1" s="99">
      <c r="A42" s="43" t="n">
        <v>38</v>
      </c>
      <c r="B42" s="53" t="n">
        <v>46165</v>
      </c>
      <c r="C42" s="54" t="inlineStr">
        <is>
          <t>May-2026</t>
        </is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Concrete/Gitti</t>
        </is>
      </c>
      <c r="G42" s="55" t="inlineStr">
        <is>
          <t>Crushed stone / Gitti - 37.64 Ton @ ₹2,550/ton</t>
        </is>
      </c>
      <c r="H42" s="55" t="inlineStr">
        <is>
          <t>Concrete Supplier</t>
        </is>
      </c>
      <c r="I42" s="56" t="n">
        <v>37.64</v>
      </c>
      <c r="J42" s="55" t="inlineStr">
        <is>
          <t>Ton</t>
        </is>
      </c>
      <c r="K42" s="57" t="n">
        <v>2550</v>
      </c>
      <c r="L42" s="58" t="n">
        <v>95982</v>
      </c>
      <c r="M42" s="59" t="n"/>
      <c r="N42" s="59" t="n"/>
      <c r="O42" s="58">
        <f>IF(L42="","",IF(M42="",L42,L42*(1-M42)))</f>
        <v/>
      </c>
      <c r="P42" s="55" t="inlineStr">
        <is>
          <t>Self-GPay</t>
        </is>
      </c>
      <c r="Q42" s="55" t="inlineStr">
        <is>
          <t>GPay</t>
        </is>
      </c>
    </row>
    <row r="43" ht="15.75" customHeight="1" s="99">
      <c r="A43" s="41" t="n">
        <v>39</v>
      </c>
      <c r="B43" s="45" t="n">
        <v>46166</v>
      </c>
      <c r="C43" s="46" t="inlineStr">
        <is>
          <t>May-2026</t>
        </is>
      </c>
      <c r="D43" s="47" t="inlineStr">
        <is>
          <t>Plinth</t>
        </is>
      </c>
      <c r="E43" s="47" t="inlineStr">
        <is>
          <t>Land Development</t>
        </is>
      </c>
      <c r="F43" s="47" t="inlineStr">
        <is>
          <t>Mitti Filling</t>
        </is>
      </c>
      <c r="G43" s="47" t="inlineStr">
        <is>
          <t>Mitti filling - 19 trailers @ ₹600 each</t>
        </is>
      </c>
      <c r="H43" s="47" t="inlineStr">
        <is>
          <t>Mukesh Yadav</t>
        </is>
      </c>
      <c r="I43" s="48" t="n">
        <v>19</v>
      </c>
      <c r="J43" s="47" t="inlineStr">
        <is>
          <t>Nos</t>
        </is>
      </c>
      <c r="K43" s="49" t="n">
        <v>600</v>
      </c>
      <c r="L43" s="50" t="n">
        <v>11400</v>
      </c>
      <c r="M43" s="51" t="n"/>
      <c r="N43" s="51" t="n"/>
      <c r="O43" s="50">
        <f>IF(L43="","",IF(M43="",L43,L43*(1-M43)))</f>
        <v/>
      </c>
      <c r="P43" s="47" t="inlineStr">
        <is>
          <t>Papa</t>
        </is>
      </c>
      <c r="Q43" s="47" t="inlineStr">
        <is>
          <t>GPay</t>
        </is>
      </c>
    </row>
    <row r="44" ht="15.75" customHeight="1" s="99">
      <c r="A44" s="43" t="n">
        <v>40</v>
      </c>
      <c r="B44" s="53" t="n">
        <v>46167</v>
      </c>
      <c r="C44" s="54" t="inlineStr">
        <is>
          <t>May-2026</t>
        </is>
      </c>
      <c r="D44" s="55" t="inlineStr">
        <is>
          <t>Plinth</t>
        </is>
      </c>
      <c r="E44" s="55" t="inlineStr">
        <is>
          <t>Building Materials</t>
        </is>
      </c>
      <c r="F44" s="55" t="inlineStr">
        <is>
          <t>Cement-Ultratech Super</t>
        </is>
      </c>
      <c r="G44" s="55" t="inlineStr">
        <is>
          <t>Cement Ultratech Super - 50 bags (Naveen Hardware)</t>
        </is>
      </c>
      <c r="H44" s="55" t="inlineStr">
        <is>
          <t>Naveen Hardware</t>
        </is>
      </c>
      <c r="I44" s="56" t="n">
        <v>50</v>
      </c>
      <c r="J44" s="55" t="inlineStr">
        <is>
          <t>Bags</t>
        </is>
      </c>
      <c r="K44" s="57" t="n">
        <v>360</v>
      </c>
      <c r="L44" s="58" t="n">
        <v>18000</v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41</v>
      </c>
      <c r="B45" s="45" t="n">
        <v>46167</v>
      </c>
      <c r="C45" s="46" t="inlineStr">
        <is>
          <t>May-2026</t>
        </is>
      </c>
      <c r="D45" s="47" t="inlineStr">
        <is>
          <t>Plinth</t>
        </is>
      </c>
      <c r="E45" s="47" t="inlineStr">
        <is>
          <t>Transport</t>
        </is>
      </c>
      <c r="F45" s="47" t="inlineStr">
        <is>
          <t>Material Transport</t>
        </is>
      </c>
      <c r="G45" s="47" t="inlineStr">
        <is>
          <t>Cement transportation</t>
        </is>
      </c>
      <c r="H45" s="47" t="inlineStr">
        <is>
          <t>Naveen Hardware</t>
        </is>
      </c>
      <c r="I45" s="48" t="n">
        <v>1</v>
      </c>
      <c r="J45" s="47" t="inlineStr">
        <is>
          <t>Lumpsum</t>
        </is>
      </c>
      <c r="K45" s="49" t="n">
        <v>300</v>
      </c>
      <c r="L45" s="50" t="n">
        <v>300</v>
      </c>
      <c r="M45" s="51" t="n"/>
      <c r="N45" s="51" t="n"/>
      <c r="O45" s="50">
        <f>IF(L45="","",IF(M45="",L45,L45*(1-M45)))</f>
        <v/>
      </c>
      <c r="P45" s="47" t="inlineStr">
        <is>
          <t>Self-Bank Transfer</t>
        </is>
      </c>
      <c r="Q45" s="47" t="inlineStr">
        <is>
          <t>Bank Transfer</t>
        </is>
      </c>
    </row>
    <row r="46" ht="15.75" customHeight="1" s="99">
      <c r="A46" s="43" t="n">
        <v>42</v>
      </c>
      <c r="B46" s="53" t="n">
        <v>46167</v>
      </c>
      <c r="C46" s="54" t="inlineStr">
        <is>
          <t>May-2026</t>
        </is>
      </c>
      <c r="D46" s="55" t="inlineStr">
        <is>
          <t>Plinth</t>
        </is>
      </c>
      <c r="E46" s="55" t="inlineStr">
        <is>
          <t>Labour</t>
        </is>
      </c>
      <c r="F46" s="55" t="inlineStr">
        <is>
          <t>Helper Labour</t>
        </is>
      </c>
      <c r="G46" s="55" t="inlineStr">
        <is>
          <t>Loading/unloading labour for cement</t>
        </is>
      </c>
      <c r="H46" s="55" t="inlineStr">
        <is>
          <t>Naveen Hardware</t>
        </is>
      </c>
      <c r="I46" s="56" t="n">
        <v>1</v>
      </c>
      <c r="J46" s="55" t="inlineStr">
        <is>
          <t>Lumpsum</t>
        </is>
      </c>
      <c r="K46" s="57" t="n">
        <v>350</v>
      </c>
      <c r="L46" s="58" t="n">
        <v>350</v>
      </c>
      <c r="M46" s="59" t="n"/>
      <c r="N46" s="59" t="n"/>
      <c r="O46" s="58">
        <f>IF(L46="","",IF(M46="",L46,L46*(1-M46)))</f>
        <v/>
      </c>
      <c r="P46" s="55" t="inlineStr">
        <is>
          <t>Self-Bank Transfer</t>
        </is>
      </c>
      <c r="Q46" s="55" t="inlineStr">
        <is>
          <t>Bank Transfer</t>
        </is>
      </c>
    </row>
    <row r="47" ht="15.75" customHeight="1" s="99">
      <c r="A47" s="41" t="n">
        <v>43</v>
      </c>
      <c r="B47" s="45" t="n">
        <v>46166</v>
      </c>
      <c r="C47" s="46" t="inlineStr">
        <is>
          <t>May-2026</t>
        </is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9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 t="n">
        <v>12750</v>
      </c>
      <c r="M47" s="51" t="n"/>
      <c r="N47" s="51" t="n"/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1" t="n">
        <v>44</v>
      </c>
      <c r="B48" s="45" t="n">
        <v>46167</v>
      </c>
      <c r="C48" s="46" t="inlineStr">
        <is>
          <t>May-2026</t>
        </is>
      </c>
      <c r="D48" s="47" t="inlineStr">
        <is>
          <t>Plinth</t>
        </is>
      </c>
      <c r="E48" s="47" t="inlineStr">
        <is>
          <t>Professional Fees</t>
        </is>
      </c>
      <c r="F48" s="47" t="inlineStr">
        <is>
          <t>Engineering</t>
        </is>
      </c>
      <c r="G48" s="47" t="inlineStr">
        <is>
          <t>Engineer payment to Econ Builder</t>
        </is>
      </c>
      <c r="H48" s="47" t="inlineStr">
        <is>
          <t>Econ Builder</t>
        </is>
      </c>
      <c r="I48" s="48" t="n">
        <v>1</v>
      </c>
      <c r="J48" s="47" t="inlineStr">
        <is>
          <t>Lumpsum</t>
        </is>
      </c>
      <c r="K48" s="49" t="n">
        <v>10000</v>
      </c>
      <c r="L48" s="50" t="n">
        <v>10000</v>
      </c>
      <c r="M48" s="51" t="n"/>
      <c r="N48" s="51">
        <f>IF(L48="","",IF(M48="",0,L48*M48))</f>
        <v/>
      </c>
      <c r="O48" s="50">
        <f>IF(L48="","",IF(M48="",L48,L48*(1-M48)))</f>
        <v/>
      </c>
      <c r="P48" s="47" t="inlineStr">
        <is>
          <t>Papa</t>
        </is>
      </c>
      <c r="Q48" s="47" t="inlineStr">
        <is>
          <t>GPay</t>
        </is>
      </c>
    </row>
    <row r="49" ht="15.75" customHeight="1" s="99">
      <c r="A49" s="43" t="n">
        <v>45</v>
      </c>
      <c r="B49" s="53" t="n">
        <v>46167</v>
      </c>
      <c r="C49" s="54" t="inlineStr">
        <is>
          <t>May-2026</t>
        </is>
      </c>
      <c r="D49" s="55" t="inlineStr">
        <is>
          <t>Plinth</t>
        </is>
      </c>
      <c r="E49" s="55" t="inlineStr">
        <is>
          <t>Building Materials</t>
        </is>
      </c>
      <c r="F49" s="55" t="inlineStr">
        <is>
          <t>Bricks</t>
        </is>
      </c>
      <c r="G49" s="55" t="inlineStr">
        <is>
          <t>Bricks - tractor 10 delivery (1500 pcs)</t>
        </is>
      </c>
      <c r="H49" s="55" t="inlineStr">
        <is>
          <t>Brick Company</t>
        </is>
      </c>
      <c r="I49" s="56" t="n">
        <v>1500</v>
      </c>
      <c r="J49" s="55" t="inlineStr">
        <is>
          <t>Nos</t>
        </is>
      </c>
      <c r="K49" s="57" t="n">
        <v>8.5</v>
      </c>
      <c r="L49" s="58" t="n">
        <v>12750</v>
      </c>
      <c r="M49" s="59" t="n"/>
      <c r="N49" s="59">
        <f>IF(L49="","",IF(M49="",0,L49*M49))</f>
        <v/>
      </c>
      <c r="O49" s="58">
        <f>IF(L49="","",IF(M49="",L49,L49*(1-M49)))</f>
        <v/>
      </c>
      <c r="P49" s="55" t="inlineStr">
        <is>
          <t>Self-GPay</t>
        </is>
      </c>
      <c r="Q49" s="55" t="inlineStr">
        <is>
          <t>GPay</t>
        </is>
      </c>
    </row>
    <row r="50" ht="15.75" customHeight="1" s="99">
      <c r="A50" s="41" t="n">
        <v>46</v>
      </c>
      <c r="B50" s="45" t="n">
        <v>46168</v>
      </c>
      <c r="C50" s="46" t="inlineStr">
        <is>
          <t>May-2026</t>
        </is>
      </c>
      <c r="D50" s="47" t="inlineStr">
        <is>
          <t>Plinth</t>
        </is>
      </c>
      <c r="E50" s="47" t="inlineStr">
        <is>
          <t>Building Materials</t>
        </is>
      </c>
      <c r="F50" s="47" t="inlineStr">
        <is>
          <t>Bricks</t>
        </is>
      </c>
      <c r="G50" s="47" t="inlineStr">
        <is>
          <t>Bricks - tractor 11 delivery (1500 pcs)</t>
        </is>
      </c>
      <c r="H50" s="47" t="inlineStr">
        <is>
          <t>Brick Company</t>
        </is>
      </c>
      <c r="I50" s="48" t="n">
        <v>1500</v>
      </c>
      <c r="J50" s="47" t="inlineStr">
        <is>
          <t>Nos</t>
        </is>
      </c>
      <c r="K50" s="49" t="n">
        <v>8.5</v>
      </c>
      <c r="L50" s="50" t="n">
        <v>12750</v>
      </c>
      <c r="M50" s="51" t="n"/>
      <c r="N50" s="51">
        <f>IF(L50="","",IF(M50="",0,L50*M50))</f>
        <v/>
      </c>
      <c r="O50" s="50">
        <f>IF(L50="","",IF(M50="",L50,L50*(1-M50)))</f>
        <v/>
      </c>
      <c r="P50" s="47" t="inlineStr">
        <is>
          <t>Self-GPay</t>
        </is>
      </c>
      <c r="Q50" s="47" t="inlineStr">
        <is>
          <t>GPay</t>
        </is>
      </c>
    </row>
    <row r="51" ht="15.75" customHeight="1" s="99">
      <c r="A51" s="43" t="n">
        <v>47</v>
      </c>
      <c r="B51" s="53" t="n">
        <v>46168</v>
      </c>
      <c r="C51" s="54" t="inlineStr">
        <is>
          <t>May-2026</t>
        </is>
      </c>
      <c r="D51" s="55" t="inlineStr">
        <is>
          <t>Plinth</t>
        </is>
      </c>
      <c r="E51" s="55" t="inlineStr">
        <is>
          <t>Building Materials</t>
        </is>
      </c>
      <c r="F51" s="55" t="inlineStr">
        <is>
          <t>Bricks</t>
        </is>
      </c>
      <c r="G51" s="55" t="inlineStr">
        <is>
          <t>Bricks - tractor 12 delivery (1500 pcs)</t>
        </is>
      </c>
      <c r="H51" s="55" t="inlineStr">
        <is>
          <t>Brick Company</t>
        </is>
      </c>
      <c r="I51" s="56" t="n">
        <v>1500</v>
      </c>
      <c r="J51" s="55" t="inlineStr">
        <is>
          <t>Nos</t>
        </is>
      </c>
      <c r="K51" s="57" t="n">
        <v>8.5</v>
      </c>
      <c r="L51" s="58" t="n">
        <v>12750</v>
      </c>
      <c r="M51" s="59" t="n"/>
      <c r="N51" s="59">
        <f>IF(L51="","",IF(M51="",0,L51*M51))</f>
        <v/>
      </c>
      <c r="O51" s="58">
        <f>IF(L51="","",IF(M51="",L51,L51*(1-M51)))</f>
        <v/>
      </c>
      <c r="P51" s="55" t="inlineStr">
        <is>
          <t>Self-GPay</t>
        </is>
      </c>
      <c r="Q51" s="55" t="inlineStr">
        <is>
          <t>GPay</t>
        </is>
      </c>
    </row>
    <row r="52" ht="15.75" customHeight="1" s="99">
      <c r="A52" s="41" t="n">
        <v>48</v>
      </c>
      <c r="B52" s="45" t="n">
        <v>46168</v>
      </c>
      <c r="C52" s="46" t="inlineStr">
        <is>
          <t>May-2026</t>
        </is>
      </c>
      <c r="D52" s="47" t="inlineStr">
        <is>
          <t>Plinth</t>
        </is>
      </c>
      <c r="E52" s="47" t="inlineStr">
        <is>
          <t>Land Development</t>
        </is>
      </c>
      <c r="F52" s="47" t="inlineStr">
        <is>
          <t>Mitti Filling</t>
        </is>
      </c>
      <c r="G52" s="47" t="inlineStr">
        <is>
          <t>Mitti filling - 22 trailers @ ₹600 each</t>
        </is>
      </c>
      <c r="H52" s="47" t="inlineStr">
        <is>
          <t>Mukesh Yadav</t>
        </is>
      </c>
      <c r="I52" s="48" t="n">
        <v>22</v>
      </c>
      <c r="J52" s="47" t="inlineStr">
        <is>
          <t>Nos</t>
        </is>
      </c>
      <c r="K52" s="49" t="n">
        <v>600</v>
      </c>
      <c r="L52" s="50" t="n">
        <v>13200</v>
      </c>
      <c r="M52" s="51" t="n"/>
      <c r="N52" s="51">
        <f>IF(L52="","",IF(M52="",0,L52*M52))</f>
        <v/>
      </c>
      <c r="O52" s="50">
        <f>IF(L52="","",IF(M52="",L52,L52*(1-M52)))</f>
        <v/>
      </c>
      <c r="P52" s="47" t="inlineStr">
        <is>
          <t>Papa</t>
        </is>
      </c>
      <c r="Q52" s="47" t="inlineStr">
        <is>
          <t>GPay</t>
        </is>
      </c>
    </row>
    <row r="53" ht="15.75" customHeight="1" s="99">
      <c r="A53" s="43" t="n">
        <v>49</v>
      </c>
      <c r="B53" s="53" t="n">
        <v>46174</v>
      </c>
      <c r="C53" s="54" t="inlineStr">
        <is>
          <t>Jun-2026</t>
        </is>
      </c>
      <c r="D53" s="55" t="inlineStr">
        <is>
          <t>Plinth</t>
        </is>
      </c>
      <c r="E53" s="55" t="inlineStr">
        <is>
          <t>Steel/Iron</t>
        </is>
      </c>
      <c r="F53" s="55" t="inlineStr">
        <is>
          <t>Tiscon 12mm</t>
        </is>
      </c>
      <c r="G53" s="55" t="inlineStr">
        <is>
          <t>Tiscon 12mm TMT - 100 PC @ ₹908 (Bill 2)</t>
        </is>
      </c>
      <c r="H53" s="55" t="inlineStr">
        <is>
          <t>Pappu Hardware</t>
        </is>
      </c>
      <c r="I53" s="56" t="n">
        <v>100</v>
      </c>
      <c r="J53" s="55" t="inlineStr">
        <is>
          <t>Pcs</t>
        </is>
      </c>
      <c r="K53" s="57" t="n">
        <v>908</v>
      </c>
      <c r="L53" s="58" t="n">
        <v>90800</v>
      </c>
      <c r="M53" s="59" t="n">
        <v>0.04</v>
      </c>
      <c r="N53" s="59">
        <f>IF(L53="","",IF(M53="",0,L53*M53))</f>
        <v/>
      </c>
      <c r="O53" s="58">
        <f>IF(L53="","",IF(M53="",L53,L53*(1-M53)))</f>
        <v/>
      </c>
      <c r="P53" s="55" t="inlineStr">
        <is>
          <t>Self-Bank Transfer</t>
        </is>
      </c>
      <c r="Q53" s="55" t="inlineStr">
        <is>
          <t>Bank Transfer</t>
        </is>
      </c>
    </row>
    <row r="54" ht="15.75" customHeight="1" s="99">
      <c r="A54" s="41" t="n">
        <v>50</v>
      </c>
      <c r="B54" s="45" t="n">
        <v>46174</v>
      </c>
      <c r="C54" s="46" t="inlineStr">
        <is>
          <t>Jun-2026</t>
        </is>
      </c>
      <c r="D54" s="47" t="inlineStr">
        <is>
          <t>Plinth</t>
        </is>
      </c>
      <c r="E54" s="47" t="inlineStr">
        <is>
          <t>Steel/Iron</t>
        </is>
      </c>
      <c r="F54" s="47" t="inlineStr">
        <is>
          <t>Tiscon 10mm</t>
        </is>
      </c>
      <c r="G54" s="47" t="inlineStr">
        <is>
          <t>Tiscon 10mm TMT - 100 PC @ ₹642 (Bill 2)</t>
        </is>
      </c>
      <c r="H54" s="47" t="inlineStr">
        <is>
          <t>Pappu Hardware</t>
        </is>
      </c>
      <c r="I54" s="48" t="n">
        <v>100</v>
      </c>
      <c r="J54" s="47" t="inlineStr">
        <is>
          <t>Pcs</t>
        </is>
      </c>
      <c r="K54" s="49" t="n">
        <v>642</v>
      </c>
      <c r="L54" s="50" t="n">
        <v>64200</v>
      </c>
      <c r="M54" s="51" t="n">
        <v>0.04</v>
      </c>
      <c r="N54" s="51">
        <f>IF(L54="","",IF(M54="",0,L54*M54))</f>
        <v/>
      </c>
      <c r="O54" s="50">
        <f>IF(L54="","",IF(M54="",L54,L54*(1-M54)))</f>
        <v/>
      </c>
      <c r="P54" s="47" t="inlineStr">
        <is>
          <t>Self-Bank Transfer</t>
        </is>
      </c>
      <c r="Q54" s="47" t="inlineStr">
        <is>
          <t>Bank Transfer</t>
        </is>
      </c>
    </row>
    <row r="55" ht="15.75" customHeight="1" s="99">
      <c r="A55" s="43" t="n">
        <v>51</v>
      </c>
      <c r="B55" s="53" t="n">
        <v>46174</v>
      </c>
      <c r="C55" s="54" t="inlineStr">
        <is>
          <t>Jun-2026</t>
        </is>
      </c>
      <c r="D55" s="55" t="inlineStr">
        <is>
          <t>Plinth</t>
        </is>
      </c>
      <c r="E55" s="55" t="inlineStr">
        <is>
          <t>Steel/Iron</t>
        </is>
      </c>
      <c r="F55" s="55" t="inlineStr">
        <is>
          <t>Tiscon 8mm</t>
        </is>
      </c>
      <c r="G55" s="55" t="inlineStr">
        <is>
          <t>Tiscon 8mm TMT - 50 PC @ ₹420 (NEW)</t>
        </is>
      </c>
      <c r="H55" s="55" t="inlineStr">
        <is>
          <t>Pappu Hardware</t>
        </is>
      </c>
      <c r="I55" s="56" t="n">
        <v>50</v>
      </c>
      <c r="J55" s="55" t="inlineStr">
        <is>
          <t>Pcs</t>
        </is>
      </c>
      <c r="K55" s="57" t="n">
        <v>420</v>
      </c>
      <c r="L55" s="58" t="n">
        <v>21000</v>
      </c>
      <c r="M55" s="59" t="n">
        <v>0.04</v>
      </c>
      <c r="N55" s="59">
        <f>IF(L55="","",IF(M55="",0,L55*M55))</f>
        <v/>
      </c>
      <c r="O55" s="58">
        <f>IF(L55="","",IF(M55="",L55,L55*(1-M55)))</f>
        <v/>
      </c>
      <c r="P55" s="55" t="inlineStr">
        <is>
          <t>Self-Bank Transfer</t>
        </is>
      </c>
      <c r="Q55" s="55" t="inlineStr">
        <is>
          <t>Bank Transfer</t>
        </is>
      </c>
    </row>
    <row r="56" ht="15.75" customHeight="1" s="99">
      <c r="A56" s="41" t="n">
        <v>52</v>
      </c>
      <c r="B56" s="45" t="n">
        <v>46174</v>
      </c>
      <c r="C56" s="46" t="inlineStr">
        <is>
          <t>Jun-2026</t>
        </is>
      </c>
      <c r="D56" s="47" t="inlineStr">
        <is>
          <t>Plinth</t>
        </is>
      </c>
      <c r="E56" s="47" t="inlineStr">
        <is>
          <t>Steel/Iron</t>
        </is>
      </c>
      <c r="F56" s="47" t="inlineStr">
        <is>
          <t>Tiscon 6mm</t>
        </is>
      </c>
      <c r="G56" s="47" t="inlineStr">
        <is>
          <t>Tiscon 6mm TMT - 50 PC @ ₹246 (Bill 2)</t>
        </is>
      </c>
      <c r="H56" s="47" t="inlineStr">
        <is>
          <t>Pappu Hardware</t>
        </is>
      </c>
      <c r="I56" s="48" t="n">
        <v>50</v>
      </c>
      <c r="J56" s="47" t="inlineStr">
        <is>
          <t>Pcs</t>
        </is>
      </c>
      <c r="K56" s="49" t="n">
        <v>246</v>
      </c>
      <c r="L56" s="50" t="n">
        <v>12300</v>
      </c>
      <c r="M56" s="51" t="n"/>
      <c r="N56" s="51">
        <f>IF(L56="","",IF(M56="",0,L56*M56))</f>
        <v/>
      </c>
      <c r="O56" s="50">
        <f>IF(L56="","",IF(M56="",L56,L56*(1-M56)))</f>
        <v/>
      </c>
      <c r="P56" s="47" t="inlineStr">
        <is>
          <t>Self-Bank Transfer</t>
        </is>
      </c>
      <c r="Q56" s="47" t="inlineStr">
        <is>
          <t>Bank Transfer</t>
        </is>
      </c>
    </row>
    <row r="57" ht="15.75" customHeight="1" s="99">
      <c r="A57" s="43" t="n">
        <v>53</v>
      </c>
      <c r="B57" s="53" t="n">
        <v>46174</v>
      </c>
      <c r="C57" s="54" t="inlineStr">
        <is>
          <t>Jun-2026</t>
        </is>
      </c>
      <c r="D57" s="55" t="inlineStr">
        <is>
          <t>Plinth</t>
        </is>
      </c>
      <c r="E57" s="55" t="inlineStr">
        <is>
          <t>Building Materials</t>
        </is>
      </c>
      <c r="F57" s="55" t="inlineStr">
        <is>
          <t>Cement-Ultratech Super</t>
        </is>
      </c>
      <c r="G57" s="55" t="inlineStr">
        <is>
          <t>Cement Ultratech Super - 50 bags (Bill 2)</t>
        </is>
      </c>
      <c r="H57" s="55" t="inlineStr">
        <is>
          <t>Pappu Hardware</t>
        </is>
      </c>
      <c r="I57" s="56" t="n">
        <v>50</v>
      </c>
      <c r="J57" s="55" t="inlineStr">
        <is>
          <t>Bags</t>
        </is>
      </c>
      <c r="K57" s="57" t="n">
        <v>360</v>
      </c>
      <c r="L57" s="58" t="n">
        <v>18000</v>
      </c>
      <c r="M57" s="59" t="n"/>
      <c r="N57" s="59">
        <f>IF(L57="","",IF(M57="",0,L57*M57))</f>
        <v/>
      </c>
      <c r="O57" s="58">
        <f>IF(L57="","",IF(M57="",L57,L57*(1-M57)))</f>
        <v/>
      </c>
      <c r="P57" s="55" t="inlineStr">
        <is>
          <t>Self-Bank Transfer</t>
        </is>
      </c>
      <c r="Q57" s="55" t="inlineStr">
        <is>
          <t>Bank Transfer</t>
        </is>
      </c>
    </row>
    <row r="58" ht="15.75" customHeight="1" s="99">
      <c r="A58" s="41" t="n">
        <v>54</v>
      </c>
      <c r="B58" s="45" t="n">
        <v>46174</v>
      </c>
      <c r="C58" s="46" t="inlineStr">
        <is>
          <t>Jun-2026</t>
        </is>
      </c>
      <c r="D58" s="47" t="inlineStr">
        <is>
          <t>Plinth</t>
        </is>
      </c>
      <c r="E58" s="47" t="inlineStr">
        <is>
          <t>Building Materials</t>
        </is>
      </c>
      <c r="F58" s="47" t="inlineStr">
        <is>
          <t>Dr Fixit</t>
        </is>
      </c>
      <c r="G58" s="47" t="inlineStr">
        <is>
          <t>Dr Fixit 20 litre - 1 pack</t>
        </is>
      </c>
      <c r="H58" s="47" t="inlineStr">
        <is>
          <t>Pappu Hardware</t>
        </is>
      </c>
      <c r="I58" s="48" t="n">
        <v>20</v>
      </c>
      <c r="J58" s="47" t="inlineStr">
        <is>
          <t>L</t>
        </is>
      </c>
      <c r="K58" s="49" t="n">
        <v>130</v>
      </c>
      <c r="L58" s="50" t="n">
        <v>2600</v>
      </c>
      <c r="M58" s="51" t="n"/>
      <c r="N58" s="51">
        <f>IF(L58="","",IF(M58="",0,L58*M58))</f>
        <v/>
      </c>
      <c r="O58" s="50">
        <f>IF(L58="","",IF(M58="",L58,L58*(1-M58)))</f>
        <v/>
      </c>
      <c r="P58" s="47" t="inlineStr">
        <is>
          <t>Self-Bank Transfer</t>
        </is>
      </c>
      <c r="Q58" s="47" t="inlineStr">
        <is>
          <t>Bank Transfer</t>
        </is>
      </c>
    </row>
    <row r="59" ht="15.75" customHeight="1" s="99">
      <c r="A59" s="43" t="n">
        <v>55</v>
      </c>
      <c r="B59" s="53" t="n">
        <v>46174</v>
      </c>
      <c r="C59" s="54" t="inlineStr">
        <is>
          <t>Jun-2026</t>
        </is>
      </c>
      <c r="D59" s="55" t="inlineStr">
        <is>
          <t>Plinth</t>
        </is>
      </c>
      <c r="E59" s="55" t="inlineStr">
        <is>
          <t>Transport</t>
        </is>
      </c>
      <c r="F59" s="55" t="inlineStr">
        <is>
          <t>Material Transport</t>
        </is>
      </c>
      <c r="G59" s="55" t="inlineStr">
        <is>
          <t>Transport (Gada) for Bill 2 delivery</t>
        </is>
      </c>
      <c r="H59" s="55" t="inlineStr">
        <is>
          <t>Pappu Hardware</t>
        </is>
      </c>
      <c r="I59" s="56" t="n">
        <v>1</v>
      </c>
      <c r="J59" s="55" t="inlineStr">
        <is>
          <t>Lumpsum</t>
        </is>
      </c>
      <c r="K59" s="57" t="n">
        <v>500</v>
      </c>
      <c r="L59" s="58" t="n">
        <v>500</v>
      </c>
      <c r="M59" s="59" t="n"/>
      <c r="N59" s="59">
        <f>IF(L59="","",IF(M59="",0,L59*M59))</f>
        <v/>
      </c>
      <c r="O59" s="58">
        <f>IF(L59="","",IF(M59="",L59,L59*(1-M59)))</f>
        <v/>
      </c>
      <c r="P59" s="55" t="inlineStr">
        <is>
          <t>Self-Bank Transfer</t>
        </is>
      </c>
      <c r="Q59" s="55" t="inlineStr">
        <is>
          <t>Bank Transfer</t>
        </is>
      </c>
    </row>
    <row r="60" ht="15.75" customHeight="1" s="99">
      <c r="A60" s="41" t="n">
        <v>56</v>
      </c>
      <c r="B60" s="45" t="n">
        <v>46174</v>
      </c>
      <c r="C60" s="46" t="inlineStr">
        <is>
          <t>Jun-2026</t>
        </is>
      </c>
      <c r="D60" s="47" t="inlineStr">
        <is>
          <t>Plinth</t>
        </is>
      </c>
      <c r="E60" s="47" t="inlineStr">
        <is>
          <t>Labour</t>
        </is>
      </c>
      <c r="F60" s="47" t="inlineStr">
        <is>
          <t>Helper Labour</t>
        </is>
      </c>
      <c r="G60" s="47" t="inlineStr">
        <is>
          <t>Loading/unloading labour - Bill 2</t>
        </is>
      </c>
      <c r="H60" s="47" t="inlineStr">
        <is>
          <t>Pappu Hardware</t>
        </is>
      </c>
      <c r="I60" s="48" t="n">
        <v>1</v>
      </c>
      <c r="J60" s="47" t="inlineStr">
        <is>
          <t>Lumpsum</t>
        </is>
      </c>
      <c r="K60" s="49" t="n">
        <v>470</v>
      </c>
      <c r="L60" s="50" t="n">
        <v>470</v>
      </c>
      <c r="M60" s="51" t="n"/>
      <c r="N60" s="51">
        <f>IF(L60="","",IF(M60="",0,L60*M60))</f>
        <v/>
      </c>
      <c r="O60" s="50">
        <f>IF(L60="","",IF(M60="",L60,L60*(1-M60)))</f>
        <v/>
      </c>
      <c r="P60" s="47" t="inlineStr">
        <is>
          <t>Self-Bank Transfer</t>
        </is>
      </c>
      <c r="Q60" s="47" t="inlineStr">
        <is>
          <t>Bank Transfer</t>
        </is>
      </c>
    </row>
    <row r="61" ht="15.75" customHeight="1" s="99">
      <c r="A61" s="43" t="n">
        <v>57</v>
      </c>
      <c r="B61" s="53" t="n">
        <v>46174</v>
      </c>
      <c r="C61" s="54" t="inlineStr">
        <is>
          <t>Jun-2026</t>
        </is>
      </c>
      <c r="D61" s="55" t="inlineStr">
        <is>
          <t>Plinth</t>
        </is>
      </c>
      <c r="E61" s="55" t="inlineStr">
        <is>
          <t>Labour</t>
        </is>
      </c>
      <c r="F61" s="55" t="inlineStr">
        <is>
          <t>Earth Filling Labour</t>
        </is>
      </c>
      <c r="G61" s="55" t="inlineStr">
        <is>
          <t>Earth filling (mitti) labour - 66 labourers @ ₹350 each</t>
        </is>
      </c>
      <c r="H61" s="55" t="inlineStr">
        <is>
          <t>Daily Labour</t>
        </is>
      </c>
      <c r="I61" s="56" t="n">
        <v>66</v>
      </c>
      <c r="J61" s="55" t="inlineStr">
        <is>
          <t>Nos</t>
        </is>
      </c>
      <c r="K61" s="57" t="n">
        <v>350</v>
      </c>
      <c r="L61" s="58" t="n">
        <v>23100</v>
      </c>
      <c r="M61" s="59" t="n"/>
      <c r="N61" s="59">
        <f>IF(L61="","",IF(M61="",0,L61*M61))</f>
        <v/>
      </c>
      <c r="O61" s="58">
        <f>IF(L61="","",IF(M61="",L61,L61*(1-M61)))</f>
        <v/>
      </c>
      <c r="P61" s="55" t="inlineStr">
        <is>
          <t>Papa</t>
        </is>
      </c>
      <c r="Q61" s="55" t="inlineStr">
        <is>
          <t>GPay</t>
        </is>
      </c>
    </row>
    <row r="62" ht="15.75" customHeight="1" s="99">
      <c r="A62" s="41" t="n">
        <v>58</v>
      </c>
      <c r="B62" s="45" t="n">
        <v>46174</v>
      </c>
      <c r="C62" s="46" t="inlineStr">
        <is>
          <t>Jun-2026</t>
        </is>
      </c>
      <c r="D62" s="47" t="inlineStr">
        <is>
          <t>Plinth</t>
        </is>
      </c>
      <c r="E62" s="47" t="inlineStr">
        <is>
          <t>Professional Fees</t>
        </is>
      </c>
      <c r="F62" s="47" t="inlineStr">
        <is>
          <t>Engineering</t>
        </is>
      </c>
      <c r="G62" s="47" t="inlineStr">
        <is>
          <t>Engineer payment to Econ Builder</t>
        </is>
      </c>
      <c r="H62" s="47" t="inlineStr">
        <is>
          <t>Econ Builder</t>
        </is>
      </c>
      <c r="I62" s="48" t="n">
        <v>1</v>
      </c>
      <c r="J62" s="47" t="inlineStr">
        <is>
          <t>Lumpsum</t>
        </is>
      </c>
      <c r="K62" s="49" t="n">
        <v>100000</v>
      </c>
      <c r="L62" s="50" t="n">
        <v>100000</v>
      </c>
      <c r="M62" s="51" t="n"/>
      <c r="N62" s="51">
        <f>IF(L62="","",IF(M62="",0,L62*M62))</f>
        <v/>
      </c>
      <c r="O62" s="50">
        <f>IF(L62="","",IF(M62="",L62,L62*(1-M62)))</f>
        <v/>
      </c>
      <c r="P62" s="47" t="inlineStr">
        <is>
          <t>Self-GPay</t>
        </is>
      </c>
      <c r="Q62" s="47" t="inlineStr">
        <is>
          <t>GPay</t>
        </is>
      </c>
    </row>
    <row r="63" ht="15.75" customHeight="1" s="99">
      <c r="A63" s="43" t="n">
        <v>59</v>
      </c>
      <c r="B63" s="53" t="n">
        <v>46179</v>
      </c>
      <c r="C63" s="54" t="inlineStr">
        <is>
          <t>Jun-2026</t>
        </is>
      </c>
      <c r="D63" s="55" t="inlineStr">
        <is>
          <t>Plinth</t>
        </is>
      </c>
      <c r="E63" s="55" t="inlineStr">
        <is>
          <t>Building Materials</t>
        </is>
      </c>
      <c r="F63" s="55" t="inlineStr">
        <is>
          <t>Cement-Ultratech Super</t>
        </is>
      </c>
      <c r="G63" s="55" t="inlineStr">
        <is>
          <t>Cement Ultratech Super 50 bags</t>
        </is>
      </c>
      <c r="H63" s="55" t="inlineStr">
        <is>
          <t>Pappu Hardware</t>
        </is>
      </c>
      <c r="I63" s="56" t="n">
        <v>50</v>
      </c>
      <c r="J63" s="55" t="inlineStr">
        <is>
          <t>Bags</t>
        </is>
      </c>
      <c r="K63" s="57" t="n">
        <v>360</v>
      </c>
      <c r="L63" s="58">
        <f>IF(OR(I63="",K63=""),"",I63*K63)</f>
        <v/>
      </c>
      <c r="M63" s="59" t="n"/>
      <c r="N63" s="59">
        <f>IF(L63="","",IF(M63="",0,L63*M63))</f>
        <v/>
      </c>
      <c r="O63" s="58">
        <f>IF(L63="","",IF(M63="",L63,L63*(1-M63)))</f>
        <v/>
      </c>
      <c r="P63" s="55" t="inlineStr">
        <is>
          <t>Self-Bank Transfer</t>
        </is>
      </c>
      <c r="Q63" s="55" t="inlineStr">
        <is>
          <t>Bank Transfer</t>
        </is>
      </c>
    </row>
    <row r="64" ht="15.75" customHeight="1" s="99">
      <c r="A64" s="41" t="n">
        <v>60</v>
      </c>
      <c r="B64" s="45" t="n">
        <v>46179</v>
      </c>
      <c r="C64" s="46" t="inlineStr">
        <is>
          <t>Jun-2026</t>
        </is>
      </c>
      <c r="D64" s="47" t="inlineStr">
        <is>
          <t>Plinth</t>
        </is>
      </c>
      <c r="E64" s="47" t="inlineStr">
        <is>
          <t>Steel/Iron</t>
        </is>
      </c>
      <c r="F64" s="47" t="inlineStr">
        <is>
          <t>Tiscon 6mm</t>
        </is>
      </c>
      <c r="G64" s="47" t="inlineStr">
        <is>
          <t>Tiscon 6mm - 70 pcs @ ₹246</t>
        </is>
      </c>
      <c r="H64" s="47" t="inlineStr">
        <is>
          <t>Pappu Hardware</t>
        </is>
      </c>
      <c r="I64" s="48" t="n">
        <v>70</v>
      </c>
      <c r="J64" s="47" t="inlineStr">
        <is>
          <t>Pcs</t>
        </is>
      </c>
      <c r="K64" s="49" t="n">
        <v>246</v>
      </c>
      <c r="L64" s="50">
        <f>IF(OR(I64="",K64=""),"",I64*K64)</f>
        <v/>
      </c>
      <c r="M64" s="51" t="n"/>
      <c r="N64" s="51">
        <f>IF(L64="","",IF(M64="",0,L64*M64))</f>
        <v/>
      </c>
      <c r="O64" s="50">
        <f>IF(L64="","",IF(M64="",L64,L64*(1-M64)))</f>
        <v/>
      </c>
      <c r="P64" s="47" t="inlineStr">
        <is>
          <t>Self-Bank Transfer</t>
        </is>
      </c>
      <c r="Q64" s="47" t="inlineStr">
        <is>
          <t>Bank Transfer</t>
        </is>
      </c>
    </row>
    <row r="65" ht="15.75" customHeight="1" s="99">
      <c r="A65" s="43" t="n">
        <v>61</v>
      </c>
      <c r="B65" s="53" t="n">
        <v>46179</v>
      </c>
      <c r="C65" s="54" t="inlineStr">
        <is>
          <t>Jun-2026</t>
        </is>
      </c>
      <c r="D65" s="55" t="inlineStr">
        <is>
          <t>Plinth</t>
        </is>
      </c>
      <c r="E65" s="55" t="inlineStr">
        <is>
          <t>Transport</t>
        </is>
      </c>
      <c r="F65" s="55" t="inlineStr">
        <is>
          <t>Material Transport</t>
        </is>
      </c>
      <c r="G65" s="55" t="inlineStr">
        <is>
          <t>Transport charges - Bill 3</t>
        </is>
      </c>
      <c r="H65" s="55" t="inlineStr">
        <is>
          <t>Pappu Hardware</t>
        </is>
      </c>
      <c r="I65" s="56" t="n">
        <v>1</v>
      </c>
      <c r="J65" s="55" t="inlineStr">
        <is>
          <t>Lumpsum</t>
        </is>
      </c>
      <c r="K65" s="57" t="n">
        <v>250</v>
      </c>
      <c r="L65" s="58">
        <f>IF(OR(I65="",K65=""),"",I65*K65)</f>
        <v/>
      </c>
      <c r="M65" s="59" t="n"/>
      <c r="N65" s="59">
        <f>IF(L65="","",IF(M65="",0,L65*M65))</f>
        <v/>
      </c>
      <c r="O65" s="58">
        <f>IF(L65="","",IF(M65="",L65,L65*(1-M65)))</f>
        <v/>
      </c>
      <c r="P65" s="55" t="inlineStr">
        <is>
          <t>Self-Bank Transfer</t>
        </is>
      </c>
      <c r="Q65" s="55" t="inlineStr">
        <is>
          <t>Bank Transfer</t>
        </is>
      </c>
    </row>
    <row r="66" ht="15.75" customHeight="1" s="99">
      <c r="A66" s="41" t="n">
        <v>62</v>
      </c>
      <c r="B66" s="45" t="n">
        <v>46179</v>
      </c>
      <c r="C66" s="46" t="inlineStr">
        <is>
          <t>Jun-2026</t>
        </is>
      </c>
      <c r="D66" s="47" t="inlineStr">
        <is>
          <t>Plinth</t>
        </is>
      </c>
      <c r="E66" s="47" t="inlineStr">
        <is>
          <t>Labour</t>
        </is>
      </c>
      <c r="F66" s="47" t="inlineStr">
        <is>
          <t>Helper Labour</t>
        </is>
      </c>
      <c r="G66" s="47" t="inlineStr">
        <is>
          <t>Loading/unloading labour - Bill 3</t>
        </is>
      </c>
      <c r="H66" s="47" t="inlineStr">
        <is>
          <t>Pappu Hardware</t>
        </is>
      </c>
      <c r="I66" s="48" t="n">
        <v>1</v>
      </c>
      <c r="J66" s="47" t="inlineStr">
        <is>
          <t>Lumpsum</t>
        </is>
      </c>
      <c r="K66" s="49" t="n">
        <v>230</v>
      </c>
      <c r="L66" s="50">
        <f>IF(OR(I66="",K66=""),"",I66*K66)</f>
        <v/>
      </c>
      <c r="M66" s="51" t="n"/>
      <c r="N66" s="51">
        <f>IF(L66="","",IF(M66="",0,L66*M66))</f>
        <v/>
      </c>
      <c r="O66" s="50">
        <f>IF(L66="","",IF(M66="",L66,L66*(1-M66)))</f>
        <v/>
      </c>
      <c r="P66" s="47" t="inlineStr">
        <is>
          <t>Self-Bank Transfer</t>
        </is>
      </c>
      <c r="Q66" s="47" t="inlineStr">
        <is>
          <t>Bank Transfer</t>
        </is>
      </c>
    </row>
    <row r="67" ht="15.75" customHeight="1" s="99">
      <c r="A67" s="43" t="n">
        <v>63</v>
      </c>
      <c r="B67" s="53" t="n">
        <v>46182</v>
      </c>
      <c r="C67" s="54" t="inlineStr">
        <is>
          <t>Jun-2026</t>
        </is>
      </c>
      <c r="D67" s="55" t="inlineStr">
        <is>
          <t>Plinth</t>
        </is>
      </c>
      <c r="E67" s="55" t="inlineStr">
        <is>
          <t>Building Materials</t>
        </is>
      </c>
      <c r="F67" s="55" t="inlineStr">
        <is>
          <t>Binding Wire</t>
        </is>
      </c>
      <c r="G67" s="55" t="inlineStr">
        <is>
          <t>Soft wire 10 Kg - Bill 4 (unpaid)</t>
        </is>
      </c>
      <c r="H67" s="55" t="inlineStr">
        <is>
          <t>Pappu Hardware</t>
        </is>
      </c>
      <c r="I67" s="56" t="n">
        <v>10</v>
      </c>
      <c r="J67" s="55" t="inlineStr">
        <is>
          <t>Kg</t>
        </is>
      </c>
      <c r="K67" s="57" t="n">
        <v>130</v>
      </c>
      <c r="L67" s="58">
        <f>IF(OR(I67="",K67=""),"",I67*K67)</f>
        <v/>
      </c>
      <c r="M67" s="59" t="n"/>
      <c r="N67" s="59">
        <f>IF(L67="","",IF(M67="",0,L67*M67))</f>
        <v/>
      </c>
      <c r="O67" s="58">
        <f>IF(L67="","",IF(M67="",L67,L67*(1-M67)))</f>
        <v/>
      </c>
      <c r="P67" s="55" t="inlineStr">
        <is>
          <t>Unpaid</t>
        </is>
      </c>
      <c r="Q67" s="55" t="inlineStr">
        <is>
          <t>-</t>
        </is>
      </c>
    </row>
    <row r="68" ht="15.75" customHeight="1" s="99">
      <c r="A68" s="41" t="n">
        <v>64</v>
      </c>
      <c r="B68" s="45" t="n">
        <v>46182</v>
      </c>
      <c r="C68" s="46" t="inlineStr">
        <is>
          <t>Jun-2026</t>
        </is>
      </c>
      <c r="D68" s="47" t="inlineStr">
        <is>
          <t>Plinth</t>
        </is>
      </c>
      <c r="E68" s="47" t="inlineStr">
        <is>
          <t>Land Development</t>
        </is>
      </c>
      <c r="F68" s="47" t="inlineStr">
        <is>
          <t>Mitti Filling</t>
        </is>
      </c>
      <c r="G68" s="47" t="inlineStr">
        <is>
          <t>Mitti filling 19 trailers @ ₹600</t>
        </is>
      </c>
      <c r="H68" s="47" t="inlineStr">
        <is>
          <t>Mukesh Yadav</t>
        </is>
      </c>
      <c r="I68" s="48" t="n">
        <v>19</v>
      </c>
      <c r="J68" s="47" t="inlineStr">
        <is>
          <t>Nos</t>
        </is>
      </c>
      <c r="K68" s="49" t="n">
        <v>600</v>
      </c>
      <c r="L68" s="50">
        <f>IF(OR(I68="",K68=""),"",I68*K68)</f>
        <v/>
      </c>
      <c r="M68" s="51" t="n"/>
      <c r="N68" s="51">
        <f>IF(L68="","",IF(M68="",0,L68*M68))</f>
        <v/>
      </c>
      <c r="O68" s="50">
        <f>IF(L68="","",IF(M68="",L68,L68*(1-M68)))</f>
        <v/>
      </c>
      <c r="P68" s="47" t="inlineStr">
        <is>
          <t>Papa</t>
        </is>
      </c>
      <c r="Q68" s="47" t="inlineStr">
        <is>
          <t>GPay</t>
        </is>
      </c>
    </row>
    <row r="69" ht="15.75" customHeight="1" s="99">
      <c r="A69" s="43" t="n">
        <v>65</v>
      </c>
      <c r="B69" s="53" t="n">
        <v>46182</v>
      </c>
      <c r="C69" s="54" t="inlineStr">
        <is>
          <t>Jun-2026</t>
        </is>
      </c>
      <c r="D69" s="55" t="inlineStr">
        <is>
          <t>Plinth</t>
        </is>
      </c>
      <c r="E69" s="55" t="inlineStr">
        <is>
          <t>Labour</t>
        </is>
      </c>
      <c r="F69" s="55" t="inlineStr">
        <is>
          <t>Earth Filling Labour</t>
        </is>
      </c>
      <c r="G69" s="55" t="inlineStr">
        <is>
          <t>Mitti bharai labour 28.5 Nos @ ₹350</t>
        </is>
      </c>
      <c r="H69" s="55" t="inlineStr">
        <is>
          <t>Daily Labour</t>
        </is>
      </c>
      <c r="I69" s="56" t="n">
        <v>28.5</v>
      </c>
      <c r="J69" s="55" t="inlineStr">
        <is>
          <t>Nos</t>
        </is>
      </c>
      <c r="K69" s="57" t="n">
        <v>350</v>
      </c>
      <c r="L69" s="58">
        <f>IF(OR(I69="",K69=""),"",I69*K69)</f>
        <v/>
      </c>
      <c r="M69" s="59" t="n"/>
      <c r="N69" s="59">
        <f>IF(L69="","",IF(M69="",0,L69*M69))</f>
        <v/>
      </c>
      <c r="O69" s="58">
        <f>IF(L69="","",IF(M69="",L69,L69*(1-M69)))</f>
        <v/>
      </c>
      <c r="P69" s="55" t="inlineStr">
        <is>
          <t>Papa</t>
        </is>
      </c>
      <c r="Q69" s="55" t="inlineStr">
        <is>
          <t>GPay</t>
        </is>
      </c>
    </row>
    <row r="70" ht="15.75" customHeight="1" s="99">
      <c r="A70" s="41" t="n">
        <v>66</v>
      </c>
      <c r="B70" s="45" t="n">
        <v>46183</v>
      </c>
      <c r="C70" s="46" t="inlineStr">
        <is>
          <t>Jun-2026</t>
        </is>
      </c>
      <c r="D70" s="47" t="inlineStr">
        <is>
          <t>Plinth</t>
        </is>
      </c>
      <c r="E70" s="47" t="inlineStr">
        <is>
          <t>Labour</t>
        </is>
      </c>
      <c r="F70" s="47" t="inlineStr">
        <is>
          <t>Sand Movement</t>
        </is>
      </c>
      <c r="G70" s="47" t="inlineStr">
        <is>
          <t>Sand movement 26 trailers @ ₹200</t>
        </is>
      </c>
      <c r="H70" s="47" t="inlineStr">
        <is>
          <t>Mukesh Yadav</t>
        </is>
      </c>
      <c r="I70" s="48" t="n">
        <v>26</v>
      </c>
      <c r="J70" s="47" t="inlineStr">
        <is>
          <t>Nos</t>
        </is>
      </c>
      <c r="K70" s="49" t="n">
        <v>200</v>
      </c>
      <c r="L70" s="50">
        <f>IF(OR(I70="",K70=""),"",I70*K70)</f>
        <v/>
      </c>
      <c r="M70" s="51" t="n"/>
      <c r="N70" s="51">
        <f>IF(L70="","",IF(M70="",0,L70*M70))</f>
        <v/>
      </c>
      <c r="O70" s="50">
        <f>IF(L70="","",IF(M70="",L70,L70*(1-M70)))</f>
        <v/>
      </c>
      <c r="P70" s="47" t="inlineStr">
        <is>
          <t>Unpaid</t>
        </is>
      </c>
      <c r="Q70" s="47" t="inlineStr">
        <is>
          <t>-</t>
        </is>
      </c>
    </row>
    <row r="71" ht="15.75" customHeight="1" s="99">
      <c r="A71" s="43" t="n">
        <v>67</v>
      </c>
      <c r="B71" s="53" t="n">
        <v>46183</v>
      </c>
      <c r="C71" s="54" t="inlineStr">
        <is>
          <t>Jun-2026</t>
        </is>
      </c>
      <c r="D71" s="55" t="inlineStr">
        <is>
          <t>Plinth</t>
        </is>
      </c>
      <c r="E71" s="55" t="inlineStr">
        <is>
          <t>Labour</t>
        </is>
      </c>
      <c r="F71" s="55" t="inlineStr">
        <is>
          <t>Gitti Movement</t>
        </is>
      </c>
      <c r="G71" s="55" t="inlineStr">
        <is>
          <t>Gitti movement 20 trailers @ ₹200</t>
        </is>
      </c>
      <c r="H71" s="55" t="inlineStr">
        <is>
          <t>Mukesh Yadav</t>
        </is>
      </c>
      <c r="I71" s="56" t="n">
        <v>20</v>
      </c>
      <c r="J71" s="55" t="inlineStr">
        <is>
          <t>Nos</t>
        </is>
      </c>
      <c r="K71" s="57" t="n">
        <v>200</v>
      </c>
      <c r="L71" s="58">
        <f>IF(OR(I71="",K71=""),"",I71*K71)</f>
        <v/>
      </c>
      <c r="M71" s="59" t="n"/>
      <c r="N71" s="59">
        <f>IF(L71="","",IF(M71="",0,L71*M71))</f>
        <v/>
      </c>
      <c r="O71" s="58">
        <f>IF(L71="","",IF(M71="",L71,L71*(1-M71)))</f>
        <v/>
      </c>
      <c r="P71" s="55" t="inlineStr">
        <is>
          <t>Unpaid</t>
        </is>
      </c>
      <c r="Q71" s="55" t="inlineStr">
        <is>
          <t>-</t>
        </is>
      </c>
    </row>
    <row r="72" ht="15.75" customHeight="1" s="99">
      <c r="A72" s="41" t="n">
        <v>69</v>
      </c>
      <c r="B72" s="45" t="n"/>
      <c r="C72" s="46" t="n"/>
      <c r="D72" s="47" t="n"/>
      <c r="E72" s="47" t="n"/>
      <c r="F72" s="47" t="n"/>
      <c r="G72" s="47" t="n"/>
      <c r="H72" s="47" t="n"/>
      <c r="I72" s="48" t="n"/>
      <c r="J72" s="47" t="n"/>
      <c r="K72" s="49" t="n"/>
      <c r="L72" s="50" t="n"/>
      <c r="M72" s="51" t="n"/>
      <c r="N72" s="51" t="n"/>
      <c r="O72" s="50" t="n"/>
      <c r="P72" s="47" t="n"/>
      <c r="Q72" s="47" t="n"/>
    </row>
    <row r="73" ht="15.75" customHeight="1" s="99">
      <c r="A73" s="43" t="n">
        <v>70</v>
      </c>
      <c r="B73" s="53" t="n"/>
      <c r="C73" s="54" t="n"/>
      <c r="D73" s="55" t="n"/>
      <c r="E73" s="55" t="n"/>
      <c r="F73" s="55" t="n"/>
      <c r="G73" s="55" t="n"/>
      <c r="H73" s="55" t="n"/>
      <c r="I73" s="56" t="n"/>
      <c r="J73" s="55" t="n"/>
      <c r="K73" s="57" t="n"/>
      <c r="L73" s="58" t="n"/>
      <c r="M73" s="59" t="n"/>
      <c r="N73" s="59" t="n"/>
      <c r="O73" s="58" t="n"/>
      <c r="P73" s="55" t="n"/>
      <c r="Q73" s="55" t="n"/>
    </row>
    <row r="74" ht="15.75" customHeight="1" s="99">
      <c r="A74" s="41" t="n">
        <v>71</v>
      </c>
      <c r="B74" s="45" t="n"/>
      <c r="C74" s="46" t="n"/>
      <c r="D74" s="47" t="n"/>
      <c r="E74" s="47" t="n"/>
      <c r="F74" s="47" t="n"/>
      <c r="G74" s="47" t="n"/>
      <c r="H74" s="47" t="n"/>
      <c r="I74" s="48" t="n"/>
      <c r="J74" s="47" t="n"/>
      <c r="K74" s="49" t="n"/>
      <c r="L74" s="50" t="n"/>
      <c r="M74" s="51" t="n"/>
      <c r="N74" s="51" t="n"/>
      <c r="O74" s="50" t="n"/>
      <c r="P74" s="47" t="n"/>
      <c r="Q74" s="47" t="n"/>
    </row>
    <row r="75" ht="15.75" customHeight="1" s="99">
      <c r="A75" s="43" t="n">
        <v>72</v>
      </c>
      <c r="B75" s="53" t="n"/>
      <c r="C75" s="54" t="n"/>
      <c r="D75" s="55" t="n"/>
      <c r="E75" s="55" t="n"/>
      <c r="F75" s="55" t="n"/>
      <c r="G75" s="55" t="n"/>
      <c r="H75" s="55" t="n"/>
      <c r="I75" s="56" t="n"/>
      <c r="J75" s="55" t="n"/>
      <c r="K75" s="57" t="n"/>
      <c r="L75" s="58" t="n"/>
      <c r="M75" s="59" t="n"/>
      <c r="N75" s="59" t="n"/>
      <c r="O75" s="58" t="n"/>
      <c r="P75" s="55" t="n"/>
      <c r="Q75" s="55" t="n"/>
    </row>
    <row r="76" ht="15.75" customHeight="1" s="99">
      <c r="A76" s="41" t="n">
        <v>73</v>
      </c>
      <c r="B76" s="45" t="n"/>
      <c r="C76" s="46" t="n"/>
      <c r="D76" s="47" t="n"/>
      <c r="E76" s="47" t="n"/>
      <c r="F76" s="47" t="n"/>
      <c r="G76" s="47" t="n"/>
      <c r="H76" s="47" t="n"/>
      <c r="I76" s="48" t="n"/>
      <c r="J76" s="47" t="n"/>
      <c r="K76" s="49" t="n"/>
      <c r="L76" s="50" t="n"/>
      <c r="M76" s="51" t="n"/>
      <c r="N76" s="51" t="n"/>
      <c r="O76" s="50" t="n"/>
      <c r="P76" s="47" t="n"/>
      <c r="Q76" s="47" t="n"/>
    </row>
    <row r="77" ht="15.75" customHeight="1" s="99">
      <c r="A77" s="43" t="n">
        <v>74</v>
      </c>
      <c r="B77" s="53" t="n"/>
      <c r="C77" s="54" t="n"/>
      <c r="D77" s="55" t="n"/>
      <c r="E77" s="55" t="n"/>
      <c r="F77" s="55" t="n"/>
      <c r="G77" s="55" t="n"/>
      <c r="H77" s="55" t="n"/>
      <c r="I77" s="56" t="n"/>
      <c r="J77" s="55" t="n"/>
      <c r="K77" s="57" t="n"/>
      <c r="L77" s="58" t="n"/>
      <c r="M77" s="59" t="n"/>
      <c r="N77" s="59" t="n"/>
      <c r="O77" s="58" t="n"/>
      <c r="P77" s="55" t="n"/>
      <c r="Q77" s="55" t="n"/>
    </row>
    <row r="78" ht="15.75" customHeight="1" s="99">
      <c r="A78" s="41" t="n">
        <v>75</v>
      </c>
      <c r="B78" s="45" t="n"/>
      <c r="C78" s="46" t="n"/>
      <c r="D78" s="47" t="n"/>
      <c r="E78" s="47" t="n"/>
      <c r="F78" s="47" t="n"/>
      <c r="G78" s="47" t="n"/>
      <c r="H78" s="47" t="n"/>
      <c r="I78" s="48" t="n"/>
      <c r="J78" s="47" t="n"/>
      <c r="K78" s="49" t="n"/>
      <c r="L78" s="50" t="n"/>
      <c r="M78" s="51" t="n"/>
      <c r="N78" s="51" t="n"/>
      <c r="O78" s="50" t="n"/>
      <c r="P78" s="47" t="n"/>
      <c r="Q78" s="47" t="n"/>
    </row>
    <row r="79" ht="15.75" customHeight="1" s="99">
      <c r="A79" s="43" t="n">
        <v>76</v>
      </c>
      <c r="B79" s="53" t="n"/>
      <c r="C79" s="54" t="n"/>
      <c r="D79" s="55" t="n"/>
      <c r="E79" s="55" t="n"/>
      <c r="F79" s="55" t="n"/>
      <c r="G79" s="55" t="n"/>
      <c r="H79" s="55" t="n"/>
      <c r="I79" s="56" t="n"/>
      <c r="J79" s="55" t="n"/>
      <c r="K79" s="57" t="n"/>
      <c r="L79" s="58" t="n"/>
      <c r="M79" s="59" t="n"/>
      <c r="N79" s="59" t="n"/>
      <c r="O79" s="58" t="n"/>
      <c r="P79" s="55" t="n"/>
      <c r="Q79" s="55" t="n"/>
    </row>
    <row r="80" ht="15.75" customHeight="1" s="99">
      <c r="A80" s="41" t="n">
        <v>77</v>
      </c>
      <c r="B80" s="45" t="n"/>
      <c r="C80" s="46" t="n"/>
      <c r="D80" s="47" t="n"/>
      <c r="E80" s="47" t="n"/>
      <c r="F80" s="47" t="n"/>
      <c r="G80" s="47" t="n"/>
      <c r="H80" s="47" t="n"/>
      <c r="I80" s="48" t="n"/>
      <c r="J80" s="47" t="n"/>
      <c r="K80" s="49" t="n"/>
      <c r="L80" s="50" t="n"/>
      <c r="M80" s="51" t="n"/>
      <c r="N80" s="51" t="n"/>
      <c r="O80" s="50" t="n"/>
      <c r="P80" s="47" t="n"/>
      <c r="Q80" s="47" t="n"/>
    </row>
    <row r="81" ht="15.75" customHeight="1" s="99">
      <c r="A81" s="43" t="n">
        <v>78</v>
      </c>
      <c r="B81" s="53" t="n"/>
      <c r="C81" s="54" t="n"/>
      <c r="D81" s="55" t="n"/>
      <c r="E81" s="55" t="n"/>
      <c r="F81" s="55" t="n"/>
      <c r="G81" s="55" t="n"/>
      <c r="H81" s="55" t="n"/>
      <c r="I81" s="56" t="n"/>
      <c r="J81" s="55" t="n"/>
      <c r="K81" s="57" t="n"/>
      <c r="L81" s="58" t="n"/>
      <c r="M81" s="59" t="n"/>
      <c r="N81" s="59" t="n"/>
      <c r="O81" s="58" t="n"/>
      <c r="P81" s="55" t="n"/>
      <c r="Q81" s="55" t="n"/>
    </row>
    <row r="82" ht="15.75" customHeight="1" s="99">
      <c r="A82" s="41" t="n">
        <v>79</v>
      </c>
      <c r="B82" s="45" t="n"/>
      <c r="C82" s="46" t="n"/>
      <c r="D82" s="47" t="n"/>
      <c r="E82" s="47" t="n"/>
      <c r="F82" s="47" t="n"/>
      <c r="G82" s="47" t="n"/>
      <c r="H82" s="47" t="n"/>
      <c r="I82" s="48" t="n"/>
      <c r="J82" s="47" t="n"/>
      <c r="K82" s="49" t="n"/>
      <c r="L82" s="50" t="n"/>
      <c r="M82" s="51" t="n"/>
      <c r="N82" s="51" t="n"/>
      <c r="O82" s="50" t="n"/>
      <c r="P82" s="47" t="n"/>
      <c r="Q82" s="47" t="n"/>
    </row>
    <row r="83" ht="15.75" customHeight="1" s="99">
      <c r="A83" s="43" t="n">
        <v>80</v>
      </c>
      <c r="B83" s="53" t="n"/>
      <c r="C83" s="54" t="n"/>
      <c r="D83" s="55" t="n"/>
      <c r="E83" s="55" t="n"/>
      <c r="F83" s="55" t="n"/>
      <c r="G83" s="55" t="n"/>
      <c r="H83" s="55" t="n"/>
      <c r="I83" s="56" t="n"/>
      <c r="J83" s="55" t="n"/>
      <c r="K83" s="57" t="n"/>
      <c r="L83" s="58" t="n"/>
      <c r="M83" s="59" t="n"/>
      <c r="N83" s="59" t="n"/>
      <c r="O83" s="58" t="n"/>
      <c r="P83" s="55" t="n"/>
      <c r="Q83" s="55" t="n"/>
    </row>
    <row r="84" ht="15.75" customHeight="1" s="99">
      <c r="A84" s="41" t="n">
        <v>81</v>
      </c>
      <c r="B84" s="45" t="n"/>
      <c r="C84" s="46" t="n"/>
      <c r="D84" s="47" t="n"/>
      <c r="E84" s="47" t="n"/>
      <c r="F84" s="47" t="n"/>
      <c r="G84" s="47" t="n"/>
      <c r="H84" s="47" t="n"/>
      <c r="I84" s="48" t="n"/>
      <c r="J84" s="47" t="n"/>
      <c r="K84" s="49" t="n"/>
      <c r="L84" s="50" t="n"/>
      <c r="M84" s="51" t="n"/>
      <c r="N84" s="51" t="n"/>
      <c r="O84" s="50" t="n"/>
      <c r="P84" s="47" t="n"/>
      <c r="Q84" s="47" t="n"/>
    </row>
    <row r="85" ht="15.75" customHeight="1" s="99">
      <c r="A85" s="43" t="n">
        <v>82</v>
      </c>
      <c r="B85" s="53" t="n"/>
      <c r="C85" s="54" t="n"/>
      <c r="D85" s="55" t="n"/>
      <c r="E85" s="55" t="n"/>
      <c r="F85" s="55" t="n"/>
      <c r="G85" s="55" t="n"/>
      <c r="H85" s="55" t="n"/>
      <c r="I85" s="56" t="n"/>
      <c r="J85" s="55" t="n"/>
      <c r="K85" s="57" t="n"/>
      <c r="L85" s="58" t="n"/>
      <c r="M85" s="59" t="n"/>
      <c r="N85" s="59" t="n"/>
      <c r="O85" s="58" t="n"/>
      <c r="P85" s="55" t="n"/>
      <c r="Q85" s="55" t="n"/>
    </row>
    <row r="86" ht="15.75" customHeight="1" s="99">
      <c r="A86" s="41" t="n">
        <v>83</v>
      </c>
      <c r="B86" s="45" t="n"/>
      <c r="C86" s="46" t="n"/>
      <c r="D86" s="47" t="n"/>
      <c r="E86" s="47" t="n"/>
      <c r="F86" s="47" t="n"/>
      <c r="G86" s="47" t="n"/>
      <c r="H86" s="47" t="n"/>
      <c r="I86" s="48" t="n"/>
      <c r="J86" s="47" t="n"/>
      <c r="K86" s="49" t="n"/>
      <c r="L86" s="50" t="n"/>
      <c r="M86" s="51" t="n"/>
      <c r="N86" s="51" t="n"/>
      <c r="O86" s="50" t="n"/>
      <c r="P86" s="47" t="n"/>
      <c r="Q86" s="47" t="n"/>
    </row>
    <row r="87" ht="15.75" customHeight="1" s="99">
      <c r="A87" s="43" t="n">
        <v>84</v>
      </c>
      <c r="B87" s="53" t="n"/>
      <c r="C87" s="54" t="n"/>
      <c r="D87" s="55" t="n"/>
      <c r="E87" s="55" t="n"/>
      <c r="F87" s="55" t="n"/>
      <c r="G87" s="55" t="n"/>
      <c r="H87" s="55" t="n"/>
      <c r="I87" s="56" t="n"/>
      <c r="J87" s="55" t="n"/>
      <c r="K87" s="57" t="n"/>
      <c r="L87" s="58" t="n"/>
      <c r="M87" s="59" t="n"/>
      <c r="N87" s="59" t="n"/>
      <c r="O87" s="58" t="n"/>
      <c r="P87" s="55" t="n"/>
      <c r="Q87" s="55" t="n"/>
    </row>
    <row r="88" ht="15.75" customHeight="1" s="99">
      <c r="A88" s="41" t="n">
        <v>85</v>
      </c>
      <c r="B88" s="45" t="n"/>
      <c r="C88" s="46" t="n"/>
      <c r="D88" s="47" t="n"/>
      <c r="E88" s="47" t="n"/>
      <c r="F88" s="47" t="n"/>
      <c r="G88" s="47" t="n"/>
      <c r="H88" s="47" t="n"/>
      <c r="I88" s="48" t="n"/>
      <c r="J88" s="47" t="n"/>
      <c r="K88" s="49" t="n"/>
      <c r="L88" s="50" t="n"/>
      <c r="M88" s="51" t="n"/>
      <c r="N88" s="51" t="n"/>
      <c r="O88" s="50" t="n"/>
      <c r="P88" s="47" t="n"/>
      <c r="Q88" s="47" t="n"/>
    </row>
    <row r="89" ht="15.75" customHeight="1" s="99">
      <c r="A89" s="43" t="n">
        <v>86</v>
      </c>
      <c r="B89" s="53" t="n"/>
      <c r="C89" s="54" t="n"/>
      <c r="D89" s="55" t="n"/>
      <c r="E89" s="55" t="n"/>
      <c r="F89" s="55" t="n"/>
      <c r="G89" s="55" t="n"/>
      <c r="H89" s="55" t="n"/>
      <c r="I89" s="56" t="n"/>
      <c r="J89" s="55" t="n"/>
      <c r="K89" s="57" t="n"/>
      <c r="L89" s="58" t="n"/>
      <c r="M89" s="59" t="n"/>
      <c r="N89" s="59" t="n"/>
      <c r="O89" s="58" t="n"/>
      <c r="P89" s="55" t="n"/>
      <c r="Q89" s="55" t="n"/>
    </row>
    <row r="90" ht="15.75" customHeight="1" s="99">
      <c r="A90" s="41" t="n">
        <v>87</v>
      </c>
      <c r="B90" s="45" t="n"/>
      <c r="C90" s="46" t="n"/>
      <c r="D90" s="47" t="n"/>
      <c r="E90" s="47" t="n"/>
      <c r="F90" s="47" t="n"/>
      <c r="G90" s="47" t="n"/>
      <c r="H90" s="47" t="n"/>
      <c r="I90" s="48" t="n"/>
      <c r="J90" s="47" t="n"/>
      <c r="K90" s="49" t="n"/>
      <c r="L90" s="50" t="n"/>
      <c r="M90" s="51" t="n"/>
      <c r="N90" s="51" t="n"/>
      <c r="O90" s="50" t="n"/>
      <c r="P90" s="47" t="n"/>
      <c r="Q90" s="47" t="n"/>
    </row>
    <row r="91" ht="15.75" customHeight="1" s="99">
      <c r="A91" s="43" t="n">
        <v>88</v>
      </c>
      <c r="B91" s="53" t="n"/>
      <c r="C91" s="54" t="n"/>
      <c r="D91" s="55" t="n"/>
      <c r="E91" s="55" t="n"/>
      <c r="F91" s="55" t="n"/>
      <c r="G91" s="55" t="n"/>
      <c r="H91" s="55" t="n"/>
      <c r="I91" s="56" t="n"/>
      <c r="J91" s="55" t="n"/>
      <c r="K91" s="57" t="n"/>
      <c r="L91" s="58" t="n"/>
      <c r="M91" s="59" t="n"/>
      <c r="N91" s="59" t="n"/>
      <c r="O91" s="58" t="n"/>
      <c r="P91" s="55" t="n"/>
      <c r="Q91" s="55" t="n"/>
    </row>
    <row r="92" ht="15.75" customHeight="1" s="99">
      <c r="A92" s="41" t="n">
        <v>89</v>
      </c>
      <c r="B92" s="45" t="n"/>
      <c r="C92" s="46" t="n"/>
      <c r="D92" s="47" t="n"/>
      <c r="E92" s="47" t="n"/>
      <c r="F92" s="47" t="n"/>
      <c r="G92" s="47" t="n"/>
      <c r="H92" s="47" t="n"/>
      <c r="I92" s="48" t="n"/>
      <c r="J92" s="47" t="n"/>
      <c r="K92" s="49" t="n"/>
      <c r="L92" s="50" t="n"/>
      <c r="M92" s="51" t="n"/>
      <c r="N92" s="51" t="n"/>
      <c r="O92" s="50" t="n"/>
      <c r="P92" s="47" t="n"/>
      <c r="Q92" s="47" t="n"/>
    </row>
    <row r="93" ht="15.75" customHeight="1" s="99">
      <c r="A93" s="43" t="n">
        <v>90</v>
      </c>
      <c r="B93" s="53" t="n"/>
      <c r="C93" s="54" t="n"/>
      <c r="D93" s="55" t="n"/>
      <c r="E93" s="55" t="n"/>
      <c r="F93" s="55" t="n"/>
      <c r="G93" s="55" t="n"/>
      <c r="H93" s="55" t="n"/>
      <c r="I93" s="56" t="n"/>
      <c r="J93" s="55" t="n"/>
      <c r="K93" s="57" t="n"/>
      <c r="L93" s="58" t="n"/>
      <c r="M93" s="59" t="n"/>
      <c r="N93" s="59" t="n"/>
      <c r="O93" s="58" t="n"/>
      <c r="P93" s="55" t="n"/>
      <c r="Q93" s="55" t="n"/>
    </row>
    <row r="94" ht="15.75" customHeight="1" s="99">
      <c r="A94" s="41" t="n">
        <v>91</v>
      </c>
      <c r="B94" s="45" t="n"/>
      <c r="C94" s="46" t="n"/>
      <c r="D94" s="47" t="n"/>
      <c r="E94" s="47" t="n"/>
      <c r="F94" s="47" t="n"/>
      <c r="G94" s="47" t="n"/>
      <c r="H94" s="47" t="n"/>
      <c r="I94" s="48" t="n"/>
      <c r="J94" s="47" t="n"/>
      <c r="K94" s="49" t="n"/>
      <c r="L94" s="50" t="n"/>
      <c r="M94" s="51" t="n"/>
      <c r="N94" s="51" t="n"/>
      <c r="O94" s="50" t="n"/>
      <c r="P94" s="47" t="n"/>
      <c r="Q94" s="47" t="n"/>
    </row>
    <row r="95" ht="15.75" customHeight="1" s="99">
      <c r="A95" s="43" t="n">
        <v>92</v>
      </c>
      <c r="B95" s="53" t="n"/>
      <c r="C95" s="54" t="n"/>
      <c r="D95" s="55" t="n"/>
      <c r="E95" s="55" t="n"/>
      <c r="F95" s="55" t="n"/>
      <c r="G95" s="55" t="n"/>
      <c r="H95" s="55" t="n"/>
      <c r="I95" s="56" t="n"/>
      <c r="J95" s="55" t="n"/>
      <c r="K95" s="57" t="n"/>
      <c r="L95" s="58" t="n"/>
      <c r="M95" s="59" t="n"/>
      <c r="N95" s="59" t="n"/>
      <c r="O95" s="58" t="n"/>
      <c r="P95" s="55" t="n"/>
      <c r="Q95" s="55" t="n"/>
    </row>
    <row r="96" ht="15.75" customHeight="1" s="99">
      <c r="A96" s="41" t="n">
        <v>93</v>
      </c>
      <c r="B96" s="45" t="n"/>
      <c r="C96" s="46" t="n"/>
      <c r="D96" s="47" t="n"/>
      <c r="E96" s="47" t="n"/>
      <c r="F96" s="47" t="n"/>
      <c r="G96" s="47" t="n"/>
      <c r="H96" s="47" t="n"/>
      <c r="I96" s="48" t="n"/>
      <c r="J96" s="47" t="n"/>
      <c r="K96" s="49" t="n"/>
      <c r="L96" s="50" t="n"/>
      <c r="M96" s="51" t="n"/>
      <c r="N96" s="51" t="n"/>
      <c r="O96" s="50" t="n"/>
      <c r="P96" s="47" t="n"/>
      <c r="Q96" s="47" t="n"/>
    </row>
    <row r="97" ht="15.75" customHeight="1" s="99">
      <c r="A97" s="43" t="n">
        <v>94</v>
      </c>
      <c r="B97" s="53" t="n"/>
      <c r="C97" s="54" t="n"/>
      <c r="D97" s="55" t="n"/>
      <c r="E97" s="55" t="n"/>
      <c r="F97" s="55" t="n"/>
      <c r="G97" s="55" t="n"/>
      <c r="H97" s="55" t="n"/>
      <c r="I97" s="56" t="n"/>
      <c r="J97" s="55" t="n"/>
      <c r="K97" s="57" t="n"/>
      <c r="L97" s="58" t="n"/>
      <c r="M97" s="59" t="n"/>
      <c r="N97" s="59" t="n"/>
      <c r="O97" s="58" t="n"/>
      <c r="P97" s="55" t="n"/>
      <c r="Q97" s="55" t="n"/>
    </row>
    <row r="98" ht="15.75" customHeight="1" s="99">
      <c r="A98" s="41" t="n">
        <v>95</v>
      </c>
      <c r="B98" s="45" t="n"/>
      <c r="C98" s="46" t="n"/>
      <c r="D98" s="47" t="n"/>
      <c r="E98" s="47" t="n"/>
      <c r="F98" s="47" t="n"/>
      <c r="G98" s="47" t="n"/>
      <c r="H98" s="47" t="n"/>
      <c r="I98" s="48" t="n"/>
      <c r="J98" s="47" t="n"/>
      <c r="K98" s="49" t="n"/>
      <c r="L98" s="50" t="n"/>
      <c r="M98" s="51" t="n"/>
      <c r="N98" s="51" t="n"/>
      <c r="O98" s="50" t="n"/>
      <c r="P98" s="47" t="n"/>
      <c r="Q98" s="47" t="n"/>
    </row>
    <row r="99" ht="15.75" customHeight="1" s="99">
      <c r="A99" s="43" t="n">
        <v>96</v>
      </c>
      <c r="B99" s="53" t="n"/>
      <c r="C99" s="54" t="n"/>
      <c r="D99" s="55" t="n"/>
      <c r="E99" s="55" t="n"/>
      <c r="F99" s="55" t="n"/>
      <c r="G99" s="55" t="n"/>
      <c r="H99" s="55" t="n"/>
      <c r="I99" s="56" t="n"/>
      <c r="J99" s="55" t="n"/>
      <c r="K99" s="57" t="n"/>
      <c r="L99" s="58" t="n"/>
      <c r="M99" s="59" t="n"/>
      <c r="N99" s="59" t="n"/>
      <c r="O99" s="58" t="n"/>
      <c r="P99" s="55" t="n"/>
      <c r="Q99" s="55" t="n"/>
    </row>
    <row r="100" ht="15.75" customHeight="1" s="99">
      <c r="A100" s="41" t="n">
        <v>97</v>
      </c>
      <c r="B100" s="45" t="n"/>
      <c r="C100" s="46" t="n"/>
      <c r="D100" s="47" t="n"/>
      <c r="E100" s="47" t="n"/>
      <c r="F100" s="47" t="n"/>
      <c r="G100" s="47" t="n"/>
      <c r="H100" s="47" t="n"/>
      <c r="I100" s="48" t="n"/>
      <c r="J100" s="47" t="n"/>
      <c r="K100" s="49" t="n"/>
      <c r="L100" s="50" t="n"/>
      <c r="M100" s="51" t="n"/>
      <c r="N100" s="51" t="n"/>
      <c r="O100" s="50" t="n"/>
      <c r="P100" s="47" t="n"/>
      <c r="Q100" s="47" t="n"/>
    </row>
    <row r="101" ht="15.75" customHeight="1" s="99">
      <c r="A101" s="43" t="n">
        <v>98</v>
      </c>
      <c r="B101" s="53" t="n"/>
      <c r="C101" s="54" t="n"/>
      <c r="D101" s="55" t="n"/>
      <c r="E101" s="55" t="n"/>
      <c r="F101" s="55" t="n"/>
      <c r="G101" s="55" t="n"/>
      <c r="H101" s="55" t="n"/>
      <c r="I101" s="56" t="n"/>
      <c r="J101" s="55" t="n"/>
      <c r="K101" s="57" t="n"/>
      <c r="L101" s="58" t="n"/>
      <c r="M101" s="59" t="n"/>
      <c r="N101" s="59" t="n"/>
      <c r="O101" s="58" t="n"/>
      <c r="P101" s="55" t="n"/>
      <c r="Q101" s="55" t="n"/>
    </row>
    <row r="102" ht="15.75" customHeight="1" s="99">
      <c r="A102" s="41" t="n">
        <v>99</v>
      </c>
      <c r="B102" s="45" t="n"/>
      <c r="C102" s="46" t="n"/>
      <c r="D102" s="47" t="n"/>
      <c r="E102" s="47" t="n"/>
      <c r="F102" s="47" t="n"/>
      <c r="G102" s="47" t="n"/>
      <c r="H102" s="47" t="n"/>
      <c r="I102" s="48" t="n"/>
      <c r="J102" s="47" t="n"/>
      <c r="K102" s="49" t="n"/>
      <c r="L102" s="50" t="n"/>
      <c r="M102" s="51" t="n"/>
      <c r="N102" s="51" t="n"/>
      <c r="O102" s="50" t="n"/>
      <c r="P102" s="47" t="n"/>
      <c r="Q102" s="47" t="n"/>
    </row>
    <row r="103" ht="15.75" customHeight="1" s="99">
      <c r="A103" s="43" t="n">
        <v>100</v>
      </c>
      <c r="B103" s="53" t="n"/>
      <c r="C103" s="54" t="n"/>
      <c r="D103" s="55" t="n"/>
      <c r="E103" s="55" t="n"/>
      <c r="F103" s="55" t="n"/>
      <c r="G103" s="55" t="n"/>
      <c r="H103" s="55" t="n"/>
      <c r="I103" s="56" t="n"/>
      <c r="J103" s="55" t="n"/>
      <c r="K103" s="57" t="n"/>
      <c r="L103" s="58" t="n"/>
      <c r="M103" s="59" t="n"/>
      <c r="N103" s="59" t="n"/>
      <c r="O103" s="58" t="n"/>
      <c r="P103" s="55" t="n"/>
      <c r="Q103" s="55" t="n"/>
    </row>
    <row r="104" ht="15.75" customHeight="1" s="99">
      <c r="A104" s="41" t="n">
        <v>101</v>
      </c>
      <c r="B104" s="45" t="n"/>
      <c r="C104" s="46" t="n"/>
      <c r="D104" s="47" t="n"/>
      <c r="E104" s="47" t="n"/>
      <c r="F104" s="47" t="n"/>
      <c r="G104" s="47" t="n"/>
      <c r="H104" s="47" t="n"/>
      <c r="I104" s="48" t="n"/>
      <c r="J104" s="47" t="n"/>
      <c r="K104" s="49" t="n"/>
      <c r="L104" s="50" t="n"/>
      <c r="M104" s="51" t="n"/>
      <c r="N104" s="51" t="n"/>
      <c r="O104" s="50" t="n"/>
      <c r="P104" s="47" t="n"/>
      <c r="Q104" s="47" t="n"/>
    </row>
    <row r="105" ht="15.75" customHeight="1" s="99">
      <c r="A105" s="43" t="n">
        <v>102</v>
      </c>
      <c r="B105" s="53" t="n"/>
      <c r="C105" s="54" t="n"/>
      <c r="D105" s="55" t="n"/>
      <c r="E105" s="55" t="n"/>
      <c r="F105" s="55" t="n"/>
      <c r="G105" s="55" t="n"/>
      <c r="H105" s="55" t="n"/>
      <c r="I105" s="56" t="n"/>
      <c r="J105" s="55" t="n"/>
      <c r="K105" s="57" t="n"/>
      <c r="L105" s="58" t="n"/>
      <c r="M105" s="59" t="n"/>
      <c r="N105" s="59" t="n"/>
      <c r="O105" s="58" t="n"/>
      <c r="P105" s="55" t="n"/>
      <c r="Q105" s="55" t="n"/>
    </row>
    <row r="106" ht="15.75" customHeight="1" s="99">
      <c r="A106" s="41" t="n">
        <v>103</v>
      </c>
      <c r="B106" s="45" t="n"/>
      <c r="C106" s="46" t="n"/>
      <c r="D106" s="47" t="n"/>
      <c r="E106" s="47" t="n"/>
      <c r="F106" s="47" t="n"/>
      <c r="G106" s="47" t="n"/>
      <c r="H106" s="47" t="n"/>
      <c r="I106" s="48" t="n"/>
      <c r="J106" s="47" t="n"/>
      <c r="K106" s="49" t="n"/>
      <c r="L106" s="50" t="n"/>
      <c r="M106" s="51" t="n"/>
      <c r="N106" s="51" t="n"/>
      <c r="O106" s="50" t="n"/>
      <c r="P106" s="47" t="n"/>
      <c r="Q106" s="47" t="n"/>
    </row>
    <row r="107" ht="15.75" customHeight="1" s="99">
      <c r="A107" s="43" t="n">
        <v>104</v>
      </c>
      <c r="B107" s="53" t="n"/>
      <c r="C107" s="54" t="n"/>
      <c r="D107" s="55" t="n"/>
      <c r="E107" s="55" t="n"/>
      <c r="F107" s="55" t="n"/>
      <c r="G107" s="55" t="n"/>
      <c r="H107" s="55" t="n"/>
      <c r="I107" s="56" t="n"/>
      <c r="J107" s="55" t="n"/>
      <c r="K107" s="57" t="n"/>
      <c r="L107" s="58" t="n"/>
      <c r="M107" s="59" t="n"/>
      <c r="N107" s="59" t="n"/>
      <c r="O107" s="58" t="n"/>
      <c r="P107" s="55" t="n"/>
      <c r="Q107" s="55" t="n"/>
    </row>
    <row r="108" ht="15.75" customHeight="1" s="99">
      <c r="A108" s="41" t="n">
        <v>105</v>
      </c>
      <c r="B108" s="45" t="n"/>
      <c r="C108" s="46" t="n"/>
      <c r="D108" s="47" t="n"/>
      <c r="E108" s="47" t="n"/>
      <c r="F108" s="47" t="n"/>
      <c r="G108" s="47" t="n"/>
      <c r="H108" s="47" t="n"/>
      <c r="I108" s="48" t="n"/>
      <c r="J108" s="47" t="n"/>
      <c r="K108" s="49" t="n"/>
      <c r="L108" s="50" t="n"/>
      <c r="M108" s="51" t="n"/>
      <c r="N108" s="51" t="n"/>
      <c r="O108" s="50" t="n"/>
      <c r="P108" s="47" t="n"/>
      <c r="Q108" s="47" t="n"/>
    </row>
    <row r="109" ht="15.75" customHeight="1" s="99">
      <c r="A109" s="43" t="n">
        <v>106</v>
      </c>
      <c r="B109" s="53" t="n"/>
      <c r="C109" s="54" t="n"/>
      <c r="D109" s="55" t="n"/>
      <c r="E109" s="55" t="n"/>
      <c r="F109" s="55" t="n"/>
      <c r="G109" s="55" t="n"/>
      <c r="H109" s="55" t="n"/>
      <c r="I109" s="56" t="n"/>
      <c r="J109" s="55" t="n"/>
      <c r="K109" s="57" t="n"/>
      <c r="L109" s="58" t="n"/>
      <c r="M109" s="59" t="n"/>
      <c r="N109" s="59" t="n"/>
      <c r="O109" s="58" t="n"/>
      <c r="P109" s="55" t="n"/>
      <c r="Q109" s="55" t="n"/>
    </row>
    <row r="110" ht="15.75" customHeight="1" s="99">
      <c r="A110" s="41" t="n">
        <v>107</v>
      </c>
      <c r="B110" s="45" t="n"/>
      <c r="C110" s="46" t="n"/>
      <c r="D110" s="47" t="n"/>
      <c r="E110" s="47" t="n"/>
      <c r="F110" s="47" t="n"/>
      <c r="G110" s="47" t="n"/>
      <c r="H110" s="47" t="n"/>
      <c r="I110" s="48" t="n"/>
      <c r="J110" s="47" t="n"/>
      <c r="K110" s="49" t="n"/>
      <c r="L110" s="50" t="n"/>
      <c r="M110" s="51" t="n"/>
      <c r="N110" s="51" t="n"/>
      <c r="O110" s="50" t="n"/>
      <c r="P110" s="47" t="n"/>
      <c r="Q110" s="47" t="n"/>
    </row>
    <row r="111" ht="15.75" customHeight="1" s="99">
      <c r="A111" s="43" t="n">
        <v>108</v>
      </c>
      <c r="B111" s="53" t="n"/>
      <c r="C111" s="54" t="n"/>
      <c r="D111" s="55" t="n"/>
      <c r="E111" s="55" t="n"/>
      <c r="F111" s="55" t="n"/>
      <c r="G111" s="55" t="n"/>
      <c r="H111" s="55" t="n"/>
      <c r="I111" s="56" t="n"/>
      <c r="J111" s="55" t="n"/>
      <c r="K111" s="57" t="n"/>
      <c r="L111" s="58" t="n"/>
      <c r="M111" s="59" t="n"/>
      <c r="N111" s="59" t="n"/>
      <c r="O111" s="58" t="n"/>
      <c r="P111" s="55" t="n"/>
      <c r="Q111" s="55" t="n"/>
    </row>
    <row r="112" ht="15.75" customHeight="1" s="99">
      <c r="A112" s="41" t="n">
        <v>109</v>
      </c>
      <c r="B112" s="45" t="n"/>
      <c r="C112" s="46" t="n"/>
      <c r="D112" s="47" t="n"/>
      <c r="E112" s="47" t="n"/>
      <c r="F112" s="47" t="n"/>
      <c r="G112" s="47" t="n"/>
      <c r="H112" s="47" t="n"/>
      <c r="I112" s="48" t="n"/>
      <c r="J112" s="47" t="n"/>
      <c r="K112" s="49" t="n"/>
      <c r="L112" s="50" t="n"/>
      <c r="M112" s="51" t="n"/>
      <c r="N112" s="51" t="n"/>
      <c r="O112" s="50" t="n"/>
      <c r="P112" s="47" t="n"/>
      <c r="Q112" s="47" t="n"/>
    </row>
    <row r="113" ht="15.75" customHeight="1" s="99">
      <c r="A113" s="43" t="n">
        <v>110</v>
      </c>
      <c r="B113" s="53" t="n"/>
      <c r="C113" s="54" t="n"/>
      <c r="D113" s="55" t="n"/>
      <c r="E113" s="55" t="n"/>
      <c r="F113" s="55" t="n"/>
      <c r="G113" s="55" t="n"/>
      <c r="H113" s="55" t="n"/>
      <c r="I113" s="56" t="n"/>
      <c r="J113" s="55" t="n"/>
      <c r="K113" s="57" t="n"/>
      <c r="L113" s="58" t="n"/>
      <c r="M113" s="59" t="n"/>
      <c r="N113" s="59" t="n"/>
      <c r="O113" s="58" t="n"/>
      <c r="P113" s="55" t="n"/>
      <c r="Q113" s="55" t="n"/>
    </row>
    <row r="114" ht="15.75" customHeight="1" s="99">
      <c r="A114" s="41" t="n">
        <v>111</v>
      </c>
      <c r="B114" s="45" t="n"/>
      <c r="C114" s="46" t="n"/>
      <c r="D114" s="47" t="n"/>
      <c r="E114" s="47" t="n"/>
      <c r="F114" s="47" t="n"/>
      <c r="G114" s="47" t="n"/>
      <c r="H114" s="47" t="n"/>
      <c r="I114" s="48" t="n"/>
      <c r="J114" s="47" t="n"/>
      <c r="K114" s="49" t="n"/>
      <c r="L114" s="50" t="n"/>
      <c r="M114" s="51" t="n"/>
      <c r="N114" s="51" t="n"/>
      <c r="O114" s="50" t="n"/>
      <c r="P114" s="47" t="n"/>
      <c r="Q114" s="47" t="n"/>
    </row>
    <row r="115" ht="15.75" customHeight="1" s="99">
      <c r="A115" s="43" t="n">
        <v>112</v>
      </c>
      <c r="B115" s="53" t="n"/>
      <c r="C115" s="54" t="n"/>
      <c r="D115" s="55" t="n"/>
      <c r="E115" s="55" t="n"/>
      <c r="F115" s="55" t="n"/>
      <c r="G115" s="55" t="n"/>
      <c r="H115" s="55" t="n"/>
      <c r="I115" s="56" t="n"/>
      <c r="J115" s="55" t="n"/>
      <c r="K115" s="57" t="n"/>
      <c r="L115" s="58" t="n"/>
      <c r="M115" s="59" t="n"/>
      <c r="N115" s="59" t="n"/>
      <c r="O115" s="58" t="n"/>
      <c r="P115" s="55" t="n"/>
      <c r="Q115" s="55" t="n"/>
    </row>
    <row r="116" ht="15.75" customHeight="1" s="99">
      <c r="A116" s="41" t="n">
        <v>113</v>
      </c>
      <c r="B116" s="45" t="n"/>
      <c r="C116" s="46" t="n"/>
      <c r="D116" s="47" t="n"/>
      <c r="E116" s="47" t="n"/>
      <c r="F116" s="47" t="n"/>
      <c r="G116" s="47" t="n"/>
      <c r="H116" s="47" t="n"/>
      <c r="I116" s="48" t="n"/>
      <c r="J116" s="47" t="n"/>
      <c r="K116" s="49" t="n"/>
      <c r="L116" s="50" t="n"/>
      <c r="M116" s="51" t="n"/>
      <c r="N116" s="51" t="n"/>
      <c r="O116" s="50" t="n"/>
      <c r="P116" s="47" t="n"/>
      <c r="Q116" s="47" t="n"/>
    </row>
    <row r="117" ht="15.75" customHeight="1" s="99">
      <c r="A117" s="43" t="n">
        <v>114</v>
      </c>
      <c r="B117" s="53" t="n"/>
      <c r="C117" s="54" t="n"/>
      <c r="D117" s="55" t="n"/>
      <c r="E117" s="55" t="n"/>
      <c r="F117" s="55" t="n"/>
      <c r="G117" s="55" t="n"/>
      <c r="H117" s="55" t="n"/>
      <c r="I117" s="56" t="n"/>
      <c r="J117" s="55" t="n"/>
      <c r="K117" s="57" t="n"/>
      <c r="L117" s="58" t="n"/>
      <c r="M117" s="59" t="n"/>
      <c r="N117" s="59" t="n"/>
      <c r="O117" s="58" t="n"/>
      <c r="P117" s="55" t="n"/>
      <c r="Q117" s="55" t="n"/>
    </row>
    <row r="118" ht="15.75" customHeight="1" s="99">
      <c r="A118" s="41" t="n">
        <v>115</v>
      </c>
      <c r="B118" s="45" t="n"/>
      <c r="C118" s="46" t="n"/>
      <c r="D118" s="47" t="n"/>
      <c r="E118" s="47" t="n"/>
      <c r="F118" s="47" t="n"/>
      <c r="G118" s="47" t="n"/>
      <c r="H118" s="47" t="n"/>
      <c r="I118" s="48" t="n"/>
      <c r="J118" s="47" t="n"/>
      <c r="K118" s="49" t="n"/>
      <c r="L118" s="50" t="n"/>
      <c r="M118" s="51" t="n"/>
      <c r="N118" s="51" t="n"/>
      <c r="O118" s="50" t="n"/>
      <c r="P118" s="47" t="n"/>
      <c r="Q118" s="47" t="n"/>
    </row>
    <row r="119" ht="15.75" customHeight="1" s="99">
      <c r="A119" s="43" t="n">
        <v>116</v>
      </c>
      <c r="B119" s="53" t="n"/>
      <c r="C119" s="54" t="n"/>
      <c r="D119" s="55" t="n"/>
      <c r="E119" s="55" t="n"/>
      <c r="F119" s="55" t="n"/>
      <c r="G119" s="55" t="n"/>
      <c r="H119" s="55" t="n"/>
      <c r="I119" s="56" t="n"/>
      <c r="J119" s="55" t="n"/>
      <c r="K119" s="57" t="n"/>
      <c r="L119" s="58" t="n"/>
      <c r="M119" s="59" t="n"/>
      <c r="N119" s="59" t="n"/>
      <c r="O119" s="58" t="n"/>
      <c r="P119" s="55" t="n"/>
      <c r="Q119" s="55" t="n"/>
    </row>
    <row r="120" ht="15.75" customHeight="1" s="99">
      <c r="A120" s="41" t="n">
        <v>117</v>
      </c>
      <c r="B120" s="45" t="n"/>
      <c r="C120" s="46" t="n"/>
      <c r="D120" s="47" t="n"/>
      <c r="E120" s="47" t="n"/>
      <c r="F120" s="47" t="n"/>
      <c r="G120" s="47" t="n"/>
      <c r="H120" s="47" t="n"/>
      <c r="I120" s="48" t="n"/>
      <c r="J120" s="47" t="n"/>
      <c r="K120" s="49" t="n"/>
      <c r="L120" s="50" t="n"/>
      <c r="M120" s="51" t="n"/>
      <c r="N120" s="51" t="n"/>
      <c r="O120" s="50" t="n"/>
      <c r="P120" s="47" t="n"/>
      <c r="Q120" s="47" t="n"/>
    </row>
    <row r="121" ht="15.75" customHeight="1" s="99">
      <c r="A121" s="43" t="n">
        <v>118</v>
      </c>
      <c r="B121" s="53" t="n"/>
      <c r="C121" s="54" t="n"/>
      <c r="D121" s="55" t="n"/>
      <c r="E121" s="55" t="n"/>
      <c r="F121" s="55" t="n"/>
      <c r="G121" s="55" t="n"/>
      <c r="H121" s="55" t="n"/>
      <c r="I121" s="56" t="n"/>
      <c r="J121" s="55" t="n"/>
      <c r="K121" s="57" t="n"/>
      <c r="L121" s="58" t="n"/>
      <c r="M121" s="59" t="n"/>
      <c r="N121" s="59" t="n"/>
      <c r="O121" s="58" t="n"/>
      <c r="P121" s="55" t="n"/>
      <c r="Q121" s="55" t="n"/>
    </row>
    <row r="122" ht="15.75" customHeight="1" s="99">
      <c r="A122" s="41" t="n">
        <v>119</v>
      </c>
      <c r="B122" s="45" t="n"/>
      <c r="C122" s="46" t="n"/>
      <c r="D122" s="47" t="n"/>
      <c r="E122" s="47" t="n"/>
      <c r="F122" s="47" t="n"/>
      <c r="G122" s="47" t="n"/>
      <c r="H122" s="47" t="n"/>
      <c r="I122" s="48" t="n"/>
      <c r="J122" s="47" t="n"/>
      <c r="K122" s="49" t="n"/>
      <c r="L122" s="50" t="n"/>
      <c r="M122" s="51" t="n"/>
      <c r="N122" s="51" t="n"/>
      <c r="O122" s="50" t="n"/>
      <c r="P122" s="47" t="n"/>
      <c r="Q122" s="47" t="n"/>
    </row>
    <row r="123" ht="15.75" customHeight="1" s="99">
      <c r="A123" s="43" t="n">
        <v>120</v>
      </c>
      <c r="B123" s="53" t="n"/>
      <c r="C123" s="54" t="n"/>
      <c r="D123" s="55" t="n"/>
      <c r="E123" s="55" t="n"/>
      <c r="F123" s="55" t="n"/>
      <c r="G123" s="55" t="n"/>
      <c r="H123" s="55" t="n"/>
      <c r="I123" s="56" t="n"/>
      <c r="J123" s="55" t="n"/>
      <c r="K123" s="57" t="n"/>
      <c r="L123" s="58" t="n"/>
      <c r="M123" s="59" t="n"/>
      <c r="N123" s="59" t="n"/>
      <c r="O123" s="58" t="n"/>
      <c r="P123" s="55" t="n"/>
      <c r="Q123" s="55" t="n"/>
    </row>
    <row r="124" ht="15.75" customHeight="1" s="99">
      <c r="A124" s="41" t="n">
        <v>121</v>
      </c>
      <c r="B124" s="45" t="n"/>
      <c r="C124" s="46" t="n"/>
      <c r="D124" s="47" t="n"/>
      <c r="E124" s="47" t="n"/>
      <c r="F124" s="47" t="n"/>
      <c r="G124" s="47" t="n"/>
      <c r="H124" s="47" t="n"/>
      <c r="I124" s="48" t="n"/>
      <c r="J124" s="47" t="n"/>
      <c r="K124" s="49" t="n"/>
      <c r="L124" s="50" t="n"/>
      <c r="M124" s="51" t="n"/>
      <c r="N124" s="51" t="n"/>
      <c r="O124" s="50" t="n"/>
      <c r="P124" s="47" t="n"/>
      <c r="Q124" s="47" t="n"/>
    </row>
    <row r="125" ht="15.75" customHeight="1" s="99">
      <c r="A125" s="43" t="n">
        <v>122</v>
      </c>
      <c r="B125" s="53" t="n"/>
      <c r="C125" s="54" t="n"/>
      <c r="D125" s="55" t="n"/>
      <c r="E125" s="55" t="n"/>
      <c r="F125" s="55" t="n"/>
      <c r="G125" s="55" t="n"/>
      <c r="H125" s="55" t="n"/>
      <c r="I125" s="56" t="n"/>
      <c r="J125" s="55" t="n"/>
      <c r="K125" s="57" t="n"/>
      <c r="L125" s="58" t="n"/>
      <c r="M125" s="59" t="n"/>
      <c r="N125" s="59" t="n"/>
      <c r="O125" s="58" t="n"/>
      <c r="P125" s="55" t="n"/>
      <c r="Q125" s="55" t="n"/>
    </row>
    <row r="126" ht="15.75" customHeight="1" s="99">
      <c r="A126" s="41" t="n">
        <v>123</v>
      </c>
      <c r="B126" s="45" t="n"/>
      <c r="C126" s="46" t="n"/>
      <c r="D126" s="47" t="n"/>
      <c r="E126" s="47" t="n"/>
      <c r="F126" s="47" t="n"/>
      <c r="G126" s="47" t="n"/>
      <c r="H126" s="47" t="n"/>
      <c r="I126" s="48" t="n"/>
      <c r="J126" s="47" t="n"/>
      <c r="K126" s="49" t="n"/>
      <c r="L126" s="50" t="n"/>
      <c r="M126" s="51" t="n"/>
      <c r="N126" s="51" t="n"/>
      <c r="O126" s="50" t="n"/>
      <c r="P126" s="47" t="n"/>
      <c r="Q126" s="47" t="n"/>
    </row>
    <row r="127" ht="15.75" customHeight="1" s="99">
      <c r="A127" s="43" t="n">
        <v>124</v>
      </c>
      <c r="B127" s="53" t="n"/>
      <c r="C127" s="54" t="n"/>
      <c r="D127" s="55" t="n"/>
      <c r="E127" s="55" t="n"/>
      <c r="F127" s="55" t="n"/>
      <c r="G127" s="55" t="n"/>
      <c r="H127" s="55" t="n"/>
      <c r="I127" s="56" t="n"/>
      <c r="J127" s="55" t="n"/>
      <c r="K127" s="57" t="n"/>
      <c r="L127" s="58" t="n"/>
      <c r="M127" s="59" t="n"/>
      <c r="N127" s="59" t="n"/>
      <c r="O127" s="58" t="n"/>
      <c r="P127" s="55" t="n"/>
      <c r="Q127" s="55" t="n"/>
    </row>
    <row r="128" ht="15.75" customHeight="1" s="99">
      <c r="A128" s="41" t="n">
        <v>125</v>
      </c>
      <c r="B128" s="45" t="n"/>
      <c r="C128" s="46" t="n"/>
      <c r="D128" s="47" t="n"/>
      <c r="E128" s="47" t="n"/>
      <c r="F128" s="47" t="n"/>
      <c r="G128" s="47" t="n"/>
      <c r="H128" s="47" t="n"/>
      <c r="I128" s="48" t="n"/>
      <c r="J128" s="47" t="n"/>
      <c r="K128" s="49" t="n"/>
      <c r="L128" s="50" t="n"/>
      <c r="M128" s="51" t="n"/>
      <c r="N128" s="51" t="n"/>
      <c r="O128" s="50" t="n"/>
      <c r="P128" s="47" t="n"/>
      <c r="Q128" s="47" t="n"/>
    </row>
    <row r="129" ht="15.75" customHeight="1" s="99">
      <c r="A129" s="43" t="n">
        <v>126</v>
      </c>
      <c r="B129" s="53" t="n"/>
      <c r="C129" s="54" t="n"/>
      <c r="D129" s="55" t="n"/>
      <c r="E129" s="55" t="n"/>
      <c r="F129" s="55" t="n"/>
      <c r="G129" s="55" t="n"/>
      <c r="H129" s="55" t="n"/>
      <c r="I129" s="56" t="n"/>
      <c r="J129" s="55" t="n"/>
      <c r="K129" s="57" t="n"/>
      <c r="L129" s="58" t="n"/>
      <c r="M129" s="59" t="n"/>
      <c r="N129" s="59" t="n"/>
      <c r="O129" s="58" t="n"/>
      <c r="P129" s="55" t="n"/>
      <c r="Q129" s="55" t="n"/>
    </row>
    <row r="130" ht="15.75" customHeight="1" s="99">
      <c r="A130" s="41" t="n">
        <v>127</v>
      </c>
      <c r="B130" s="45" t="n"/>
      <c r="C130" s="46" t="n"/>
      <c r="D130" s="47" t="n"/>
      <c r="E130" s="47" t="n"/>
      <c r="F130" s="47" t="n"/>
      <c r="G130" s="47" t="n"/>
      <c r="H130" s="47" t="n"/>
      <c r="I130" s="48" t="n"/>
      <c r="J130" s="47" t="n"/>
      <c r="K130" s="49" t="n"/>
      <c r="L130" s="50" t="n"/>
      <c r="M130" s="51" t="n"/>
      <c r="N130" s="51" t="n"/>
      <c r="O130" s="50" t="n"/>
      <c r="P130" s="47" t="n"/>
      <c r="Q130" s="47" t="n"/>
    </row>
    <row r="131" ht="15.75" customHeight="1" s="99">
      <c r="A131" s="43" t="n">
        <v>128</v>
      </c>
      <c r="B131" s="53" t="n"/>
      <c r="C131" s="54" t="n"/>
      <c r="D131" s="55" t="n"/>
      <c r="E131" s="55" t="n"/>
      <c r="F131" s="55" t="n"/>
      <c r="G131" s="55" t="n"/>
      <c r="H131" s="55" t="n"/>
      <c r="I131" s="56" t="n"/>
      <c r="J131" s="55" t="n"/>
      <c r="K131" s="57" t="n"/>
      <c r="L131" s="58" t="n"/>
      <c r="M131" s="59" t="n"/>
      <c r="N131" s="59" t="n"/>
      <c r="O131" s="58" t="n"/>
      <c r="P131" s="55" t="n"/>
      <c r="Q131" s="55" t="n"/>
    </row>
    <row r="132" ht="15.75" customHeight="1" s="99">
      <c r="A132" s="41" t="n">
        <v>129</v>
      </c>
      <c r="B132" s="45" t="n"/>
      <c r="C132" s="46" t="n"/>
      <c r="D132" s="47" t="n"/>
      <c r="E132" s="47" t="n"/>
      <c r="F132" s="47" t="n"/>
      <c r="G132" s="47" t="n"/>
      <c r="H132" s="47" t="n"/>
      <c r="I132" s="48" t="n"/>
      <c r="J132" s="47" t="n"/>
      <c r="K132" s="49" t="n"/>
      <c r="L132" s="50" t="n"/>
      <c r="M132" s="51" t="n"/>
      <c r="N132" s="51" t="n"/>
      <c r="O132" s="50" t="n"/>
      <c r="P132" s="47" t="n"/>
      <c r="Q132" s="47" t="n"/>
    </row>
    <row r="133" ht="15.75" customHeight="1" s="99">
      <c r="A133" s="43" t="n">
        <v>130</v>
      </c>
      <c r="B133" s="53" t="n"/>
      <c r="C133" s="54" t="n"/>
      <c r="D133" s="55" t="n"/>
      <c r="E133" s="55" t="n"/>
      <c r="F133" s="55" t="n"/>
      <c r="G133" s="55" t="n"/>
      <c r="H133" s="55" t="n"/>
      <c r="I133" s="56" t="n"/>
      <c r="J133" s="55" t="n"/>
      <c r="K133" s="57" t="n"/>
      <c r="L133" s="58" t="n"/>
      <c r="M133" s="59" t="n"/>
      <c r="N133" s="59" t="n"/>
      <c r="O133" s="58" t="n"/>
      <c r="P133" s="55" t="n"/>
      <c r="Q133" s="55" t="n"/>
    </row>
    <row r="134" ht="15.75" customHeight="1" s="99">
      <c r="A134" s="41" t="n">
        <v>131</v>
      </c>
      <c r="B134" s="45" t="n"/>
      <c r="C134" s="46" t="n"/>
      <c r="D134" s="47" t="n"/>
      <c r="E134" s="47" t="n"/>
      <c r="F134" s="47" t="n"/>
      <c r="G134" s="47" t="n"/>
      <c r="H134" s="47" t="n"/>
      <c r="I134" s="48" t="n"/>
      <c r="J134" s="47" t="n"/>
      <c r="K134" s="49" t="n"/>
      <c r="L134" s="50" t="n"/>
      <c r="M134" s="51" t="n"/>
      <c r="N134" s="51" t="n"/>
      <c r="O134" s="50" t="n"/>
      <c r="P134" s="47" t="n"/>
      <c r="Q134" s="47" t="n"/>
    </row>
    <row r="135" ht="15.75" customHeight="1" s="99">
      <c r="A135" s="43" t="n">
        <v>132</v>
      </c>
      <c r="B135" s="53" t="n"/>
      <c r="C135" s="54" t="n"/>
      <c r="D135" s="55" t="n"/>
      <c r="E135" s="55" t="n"/>
      <c r="F135" s="55" t="n"/>
      <c r="G135" s="55" t="n"/>
      <c r="H135" s="55" t="n"/>
      <c r="I135" s="56" t="n"/>
      <c r="J135" s="55" t="n"/>
      <c r="K135" s="57" t="n"/>
      <c r="L135" s="58" t="n"/>
      <c r="M135" s="59" t="n"/>
      <c r="N135" s="59" t="n"/>
      <c r="O135" s="58" t="n"/>
      <c r="P135" s="55" t="n"/>
      <c r="Q135" s="55" t="n"/>
    </row>
    <row r="136" ht="15.75" customHeight="1" s="99">
      <c r="A136" s="41" t="n">
        <v>133</v>
      </c>
      <c r="B136" s="45" t="n"/>
      <c r="C136" s="46" t="n"/>
      <c r="D136" s="47" t="n"/>
      <c r="E136" s="47" t="n"/>
      <c r="F136" s="47" t="n"/>
      <c r="G136" s="47" t="n"/>
      <c r="H136" s="47" t="n"/>
      <c r="I136" s="48" t="n"/>
      <c r="J136" s="47" t="n"/>
      <c r="K136" s="49" t="n"/>
      <c r="L136" s="50" t="n"/>
      <c r="M136" s="51" t="n"/>
      <c r="N136" s="51" t="n"/>
      <c r="O136" s="50" t="n"/>
      <c r="P136" s="47" t="n"/>
      <c r="Q136" s="47" t="n"/>
    </row>
    <row r="137" ht="15.75" customHeight="1" s="99">
      <c r="A137" s="43" t="n">
        <v>134</v>
      </c>
      <c r="B137" s="53" t="n"/>
      <c r="C137" s="54" t="n"/>
      <c r="D137" s="55" t="n"/>
      <c r="E137" s="55" t="n"/>
      <c r="F137" s="55" t="n"/>
      <c r="G137" s="55" t="n"/>
      <c r="H137" s="55" t="n"/>
      <c r="I137" s="56" t="n"/>
      <c r="J137" s="55" t="n"/>
      <c r="K137" s="57" t="n"/>
      <c r="L137" s="58" t="n"/>
      <c r="M137" s="59" t="n"/>
      <c r="N137" s="59" t="n"/>
      <c r="O137" s="58" t="n"/>
      <c r="P137" s="55" t="n"/>
      <c r="Q137" s="55" t="n"/>
    </row>
    <row r="138" ht="15.75" customHeight="1" s="99">
      <c r="A138" s="41" t="n">
        <v>135</v>
      </c>
      <c r="B138" s="45" t="n"/>
      <c r="C138" s="46" t="n"/>
      <c r="D138" s="47" t="n"/>
      <c r="E138" s="47" t="n"/>
      <c r="F138" s="47" t="n"/>
      <c r="G138" s="47" t="n"/>
      <c r="H138" s="47" t="n"/>
      <c r="I138" s="48" t="n"/>
      <c r="J138" s="47" t="n"/>
      <c r="K138" s="49" t="n"/>
      <c r="L138" s="50" t="n"/>
      <c r="M138" s="51" t="n"/>
      <c r="N138" s="51" t="n"/>
      <c r="O138" s="50" t="n"/>
      <c r="P138" s="47" t="n"/>
      <c r="Q138" s="47" t="n"/>
    </row>
    <row r="139" ht="15.75" customHeight="1" s="99">
      <c r="A139" s="43" t="n">
        <v>136</v>
      </c>
      <c r="B139" s="53" t="n"/>
      <c r="C139" s="54" t="n"/>
      <c r="D139" s="55" t="n"/>
      <c r="E139" s="55" t="n"/>
      <c r="F139" s="55" t="n"/>
      <c r="G139" s="55" t="n"/>
      <c r="H139" s="55" t="n"/>
      <c r="I139" s="56" t="n"/>
      <c r="J139" s="55" t="n"/>
      <c r="K139" s="57" t="n"/>
      <c r="L139" s="58" t="n"/>
      <c r="M139" s="59" t="n"/>
      <c r="N139" s="59" t="n"/>
      <c r="O139" s="58" t="n"/>
      <c r="P139" s="55" t="n"/>
      <c r="Q139" s="55" t="n"/>
    </row>
    <row r="140" ht="15.75" customHeight="1" s="99">
      <c r="A140" s="41" t="n">
        <v>137</v>
      </c>
      <c r="B140" s="45" t="n"/>
      <c r="C140" s="46" t="n"/>
      <c r="D140" s="47" t="n"/>
      <c r="E140" s="47" t="n"/>
      <c r="F140" s="47" t="n"/>
      <c r="G140" s="47" t="n"/>
      <c r="H140" s="47" t="n"/>
      <c r="I140" s="48" t="n"/>
      <c r="J140" s="47" t="n"/>
      <c r="K140" s="49" t="n"/>
      <c r="L140" s="50" t="n"/>
      <c r="M140" s="51" t="n"/>
      <c r="N140" s="51" t="n"/>
      <c r="O140" s="50" t="n"/>
      <c r="P140" s="47" t="n"/>
      <c r="Q140" s="47" t="n"/>
    </row>
    <row r="141" ht="15.75" customHeight="1" s="99">
      <c r="A141" s="43" t="n">
        <v>138</v>
      </c>
      <c r="B141" s="53" t="n"/>
      <c r="C141" s="54" t="n"/>
      <c r="D141" s="55" t="n"/>
      <c r="E141" s="55" t="n"/>
      <c r="F141" s="55" t="n"/>
      <c r="G141" s="55" t="n"/>
      <c r="H141" s="55" t="n"/>
      <c r="I141" s="56" t="n"/>
      <c r="J141" s="55" t="n"/>
      <c r="K141" s="57" t="n"/>
      <c r="L141" s="58" t="n"/>
      <c r="M141" s="59" t="n"/>
      <c r="N141" s="59" t="n"/>
      <c r="O141" s="58" t="n"/>
      <c r="P141" s="55" t="n"/>
      <c r="Q141" s="55" t="n"/>
    </row>
    <row r="142" ht="15.75" customHeight="1" s="99">
      <c r="A142" s="41" t="n">
        <v>139</v>
      </c>
      <c r="B142" s="45" t="n"/>
      <c r="C142" s="46" t="n"/>
      <c r="D142" s="47" t="n"/>
      <c r="E142" s="47" t="n"/>
      <c r="F142" s="47" t="n"/>
      <c r="G142" s="47" t="n"/>
      <c r="H142" s="47" t="n"/>
      <c r="I142" s="48" t="n"/>
      <c r="J142" s="47" t="n"/>
      <c r="K142" s="49" t="n"/>
      <c r="L142" s="50" t="n"/>
      <c r="M142" s="51" t="n"/>
      <c r="N142" s="51" t="n"/>
      <c r="O142" s="50" t="n"/>
      <c r="P142" s="47" t="n"/>
      <c r="Q142" s="47" t="n"/>
    </row>
    <row r="143" ht="15.75" customHeight="1" s="99">
      <c r="A143" s="43" t="n">
        <v>140</v>
      </c>
      <c r="B143" s="53" t="n"/>
      <c r="C143" s="54" t="n"/>
      <c r="D143" s="55" t="n"/>
      <c r="E143" s="55" t="n"/>
      <c r="F143" s="55" t="n"/>
      <c r="G143" s="55" t="n"/>
      <c r="H143" s="55" t="n"/>
      <c r="I143" s="56" t="n"/>
      <c r="J143" s="55" t="n"/>
      <c r="K143" s="57" t="n"/>
      <c r="L143" s="58" t="n"/>
      <c r="M143" s="59" t="n"/>
      <c r="N143" s="59" t="n"/>
      <c r="O143" s="58" t="n"/>
      <c r="P143" s="55" t="n"/>
      <c r="Q143" s="55" t="n"/>
    </row>
    <row r="144" ht="15.75" customHeight="1" s="99">
      <c r="A144" s="41" t="n">
        <v>141</v>
      </c>
      <c r="B144" s="45" t="n"/>
      <c r="C144" s="46" t="n"/>
      <c r="D144" s="47" t="n"/>
      <c r="E144" s="47" t="n"/>
      <c r="F144" s="47" t="n"/>
      <c r="G144" s="47" t="n"/>
      <c r="H144" s="47" t="n"/>
      <c r="I144" s="48" t="n"/>
      <c r="J144" s="47" t="n"/>
      <c r="K144" s="49" t="n"/>
      <c r="L144" s="50" t="n"/>
      <c r="M144" s="51" t="n"/>
      <c r="N144" s="51" t="n"/>
      <c r="O144" s="50" t="n"/>
      <c r="P144" s="47" t="n"/>
      <c r="Q144" s="47" t="n"/>
    </row>
    <row r="145" ht="15.75" customHeight="1" s="99">
      <c r="A145" s="43" t="n">
        <v>142</v>
      </c>
      <c r="B145" s="53" t="n"/>
      <c r="C145" s="54" t="n"/>
      <c r="D145" s="55" t="n"/>
      <c r="E145" s="55" t="n"/>
      <c r="F145" s="55" t="n"/>
      <c r="G145" s="55" t="n"/>
      <c r="H145" s="55" t="n"/>
      <c r="I145" s="56" t="n"/>
      <c r="J145" s="55" t="n"/>
      <c r="K145" s="57" t="n"/>
      <c r="L145" s="58" t="n"/>
      <c r="M145" s="59" t="n"/>
      <c r="N145" s="59" t="n"/>
      <c r="O145" s="58" t="n"/>
      <c r="P145" s="55" t="n"/>
      <c r="Q145" s="55" t="n"/>
    </row>
    <row r="146" ht="15.75" customHeight="1" s="99">
      <c r="A146" s="41" t="n">
        <v>143</v>
      </c>
      <c r="B146" s="45" t="n"/>
      <c r="C146" s="46" t="n"/>
      <c r="D146" s="47" t="n"/>
      <c r="E146" s="47" t="n"/>
      <c r="F146" s="47" t="n"/>
      <c r="G146" s="47" t="n"/>
      <c r="H146" s="47" t="n"/>
      <c r="I146" s="48" t="n"/>
      <c r="J146" s="47" t="n"/>
      <c r="K146" s="49" t="n"/>
      <c r="L146" s="50" t="n"/>
      <c r="M146" s="51" t="n"/>
      <c r="N146" s="51" t="n"/>
      <c r="O146" s="50" t="n"/>
      <c r="P146" s="47" t="n"/>
      <c r="Q146" s="47" t="n"/>
    </row>
    <row r="147" ht="15.75" customHeight="1" s="99">
      <c r="A147" s="43" t="n">
        <v>144</v>
      </c>
      <c r="B147" s="53" t="n"/>
      <c r="C147" s="54" t="n"/>
      <c r="D147" s="55" t="n"/>
      <c r="E147" s="55" t="n"/>
      <c r="F147" s="55" t="n"/>
      <c r="G147" s="55" t="n"/>
      <c r="H147" s="55" t="n"/>
      <c r="I147" s="56" t="n"/>
      <c r="J147" s="55" t="n"/>
      <c r="K147" s="57" t="n"/>
      <c r="L147" s="58" t="n"/>
      <c r="M147" s="59" t="n"/>
      <c r="N147" s="59" t="n"/>
      <c r="O147" s="58" t="n"/>
      <c r="P147" s="55" t="n"/>
      <c r="Q147" s="55" t="n"/>
    </row>
    <row r="148" ht="15.75" customHeight="1" s="99">
      <c r="A148" s="41" t="n">
        <v>145</v>
      </c>
      <c r="B148" s="45" t="n"/>
      <c r="C148" s="46" t="n"/>
      <c r="D148" s="47" t="n"/>
      <c r="E148" s="47" t="n"/>
      <c r="F148" s="47" t="n"/>
      <c r="G148" s="47" t="n"/>
      <c r="H148" s="47" t="n"/>
      <c r="I148" s="48" t="n"/>
      <c r="J148" s="47" t="n"/>
      <c r="K148" s="49" t="n"/>
      <c r="L148" s="50" t="n"/>
      <c r="M148" s="51" t="n"/>
      <c r="N148" s="51" t="n"/>
      <c r="O148" s="50" t="n"/>
      <c r="P148" s="47" t="n"/>
      <c r="Q148" s="47" t="n"/>
    </row>
    <row r="149" ht="15.75" customHeight="1" s="99">
      <c r="A149" s="43" t="n">
        <v>146</v>
      </c>
      <c r="B149" s="53" t="n"/>
      <c r="C149" s="54" t="n"/>
      <c r="D149" s="55" t="n"/>
      <c r="E149" s="55" t="n"/>
      <c r="F149" s="55" t="n"/>
      <c r="G149" s="55" t="n"/>
      <c r="H149" s="55" t="n"/>
      <c r="I149" s="56" t="n"/>
      <c r="J149" s="55" t="n"/>
      <c r="K149" s="57" t="n"/>
      <c r="L149" s="58" t="n"/>
      <c r="M149" s="59" t="n"/>
      <c r="N149" s="59" t="n"/>
      <c r="O149" s="58" t="n"/>
      <c r="P149" s="55" t="n"/>
      <c r="Q149" s="55" t="n"/>
    </row>
    <row r="150" ht="15.75" customHeight="1" s="99">
      <c r="A150" s="41" t="n">
        <v>147</v>
      </c>
      <c r="B150" s="45" t="n"/>
      <c r="C150" s="46" t="n"/>
      <c r="D150" s="47" t="n"/>
      <c r="E150" s="47" t="n"/>
      <c r="F150" s="47" t="n"/>
      <c r="G150" s="47" t="n"/>
      <c r="H150" s="47" t="n"/>
      <c r="I150" s="48" t="n"/>
      <c r="J150" s="47" t="n"/>
      <c r="K150" s="49" t="n"/>
      <c r="L150" s="50" t="n"/>
      <c r="M150" s="51" t="n"/>
      <c r="N150" s="51" t="n"/>
      <c r="O150" s="50" t="n"/>
      <c r="P150" s="47" t="n"/>
      <c r="Q150" s="47" t="n"/>
    </row>
    <row r="151" ht="15.75" customHeight="1" s="99">
      <c r="A151" s="43" t="n">
        <v>148</v>
      </c>
      <c r="B151" s="53" t="n"/>
      <c r="C151" s="54" t="n"/>
      <c r="D151" s="55" t="n"/>
      <c r="E151" s="55" t="n"/>
      <c r="F151" s="55" t="n"/>
      <c r="G151" s="55" t="n"/>
      <c r="H151" s="55" t="n"/>
      <c r="I151" s="56" t="n"/>
      <c r="J151" s="55" t="n"/>
      <c r="K151" s="57" t="n"/>
      <c r="L151" s="58" t="n"/>
      <c r="M151" s="59" t="n"/>
      <c r="N151" s="59" t="n"/>
      <c r="O151" s="58" t="n"/>
      <c r="P151" s="55" t="n"/>
      <c r="Q151" s="55" t="n"/>
    </row>
    <row r="152" ht="15.75" customHeight="1" s="99">
      <c r="A152" s="41" t="n">
        <v>149</v>
      </c>
      <c r="B152" s="45" t="n"/>
      <c r="C152" s="46" t="n"/>
      <c r="D152" s="47" t="n"/>
      <c r="E152" s="47" t="n"/>
      <c r="F152" s="47" t="n"/>
      <c r="G152" s="47" t="n"/>
      <c r="H152" s="47" t="n"/>
      <c r="I152" s="48" t="n"/>
      <c r="J152" s="47" t="n"/>
      <c r="K152" s="49" t="n"/>
      <c r="L152" s="50" t="n"/>
      <c r="M152" s="51" t="n"/>
      <c r="N152" s="51" t="n"/>
      <c r="O152" s="50" t="n"/>
      <c r="P152" s="47" t="n"/>
      <c r="Q152" s="47" t="n"/>
    </row>
    <row r="153" ht="15.75" customHeight="1" s="99">
      <c r="A153" s="43" t="n">
        <v>150</v>
      </c>
      <c r="B153" s="53" t="n"/>
      <c r="C153" s="54" t="n"/>
      <c r="D153" s="55" t="n"/>
      <c r="E153" s="55" t="n"/>
      <c r="F153" s="55" t="n"/>
      <c r="G153" s="55" t="n"/>
      <c r="H153" s="55" t="n"/>
      <c r="I153" s="56" t="n"/>
      <c r="J153" s="55" t="n"/>
      <c r="K153" s="57" t="n"/>
      <c r="L153" s="58" t="n"/>
      <c r="M153" s="59" t="n"/>
      <c r="N153" s="59" t="n"/>
      <c r="O153" s="58" t="n"/>
      <c r="P153" s="55" t="n"/>
      <c r="Q153" s="55" t="n"/>
    </row>
    <row r="154" ht="15.75" customHeight="1" s="99">
      <c r="A154" s="41" t="n">
        <v>151</v>
      </c>
      <c r="B154" s="45" t="n"/>
      <c r="C154" s="46" t="n"/>
      <c r="D154" s="47" t="n"/>
      <c r="E154" s="47" t="n"/>
      <c r="F154" s="47" t="n"/>
      <c r="G154" s="47" t="n"/>
      <c r="H154" s="47" t="n"/>
      <c r="I154" s="48" t="n"/>
      <c r="J154" s="47" t="n"/>
      <c r="K154" s="49" t="n"/>
      <c r="L154" s="50" t="n"/>
      <c r="M154" s="51" t="n"/>
      <c r="N154" s="51" t="n"/>
      <c r="O154" s="50" t="n"/>
      <c r="P154" s="47" t="n"/>
      <c r="Q154" s="47" t="n"/>
    </row>
    <row r="155" ht="15.75" customHeight="1" s="99">
      <c r="A155" s="43" t="n">
        <v>152</v>
      </c>
      <c r="B155" s="53" t="n"/>
      <c r="C155" s="54" t="n"/>
      <c r="D155" s="55" t="n"/>
      <c r="E155" s="55" t="n"/>
      <c r="F155" s="55" t="n"/>
      <c r="G155" s="55" t="n"/>
      <c r="H155" s="55" t="n"/>
      <c r="I155" s="56" t="n"/>
      <c r="J155" s="55" t="n"/>
      <c r="K155" s="57" t="n"/>
      <c r="L155" s="58" t="n"/>
      <c r="M155" s="59" t="n"/>
      <c r="N155" s="59" t="n"/>
      <c r="O155" s="58" t="n"/>
      <c r="P155" s="55" t="n"/>
      <c r="Q155" s="55" t="n"/>
    </row>
    <row r="156" ht="15.75" customHeight="1" s="99">
      <c r="A156" s="41" t="n">
        <v>153</v>
      </c>
      <c r="B156" s="45" t="n"/>
      <c r="C156" s="46" t="n"/>
      <c r="D156" s="47" t="n"/>
      <c r="E156" s="47" t="n"/>
      <c r="F156" s="47" t="n"/>
      <c r="G156" s="47" t="n"/>
      <c r="H156" s="47" t="n"/>
      <c r="I156" s="48" t="n"/>
      <c r="J156" s="47" t="n"/>
      <c r="K156" s="49" t="n"/>
      <c r="L156" s="50" t="n"/>
      <c r="M156" s="51" t="n"/>
      <c r="N156" s="51" t="n"/>
      <c r="O156" s="50" t="n"/>
      <c r="P156" s="47" t="n"/>
      <c r="Q156" s="47" t="n"/>
    </row>
    <row r="157" ht="15.75" customHeight="1" s="99">
      <c r="A157" s="43" t="n">
        <v>154</v>
      </c>
      <c r="B157" s="53" t="n"/>
      <c r="C157" s="54" t="n"/>
      <c r="D157" s="55" t="n"/>
      <c r="E157" s="55" t="n"/>
      <c r="F157" s="55" t="n"/>
      <c r="G157" s="55" t="n"/>
      <c r="H157" s="55" t="n"/>
      <c r="I157" s="56" t="n"/>
      <c r="J157" s="55" t="n"/>
      <c r="K157" s="57" t="n"/>
      <c r="L157" s="58" t="n"/>
      <c r="M157" s="59" t="n"/>
      <c r="N157" s="59" t="n"/>
      <c r="O157" s="58" t="n"/>
      <c r="P157" s="55" t="n"/>
      <c r="Q157" s="55" t="n"/>
    </row>
    <row r="158" ht="15.75" customHeight="1" s="99">
      <c r="A158" s="41" t="n">
        <v>155</v>
      </c>
      <c r="B158" s="45" t="n"/>
      <c r="C158" s="46" t="n"/>
      <c r="D158" s="47" t="n"/>
      <c r="E158" s="47" t="n"/>
      <c r="F158" s="47" t="n"/>
      <c r="G158" s="47" t="n"/>
      <c r="H158" s="47" t="n"/>
      <c r="I158" s="48" t="n"/>
      <c r="J158" s="47" t="n"/>
      <c r="K158" s="49" t="n"/>
      <c r="L158" s="50" t="n"/>
      <c r="M158" s="51" t="n"/>
      <c r="N158" s="51" t="n"/>
      <c r="O158" s="50" t="n"/>
      <c r="P158" s="47" t="n"/>
      <c r="Q158" s="47" t="n"/>
    </row>
    <row r="159" ht="15.75" customHeight="1" s="99">
      <c r="A159" s="43" t="n">
        <v>156</v>
      </c>
      <c r="B159" s="53" t="n"/>
      <c r="C159" s="54" t="n"/>
      <c r="D159" s="55" t="n"/>
      <c r="E159" s="55" t="n"/>
      <c r="F159" s="55" t="n"/>
      <c r="G159" s="55" t="n"/>
      <c r="H159" s="55" t="n"/>
      <c r="I159" s="56" t="n"/>
      <c r="J159" s="55" t="n"/>
      <c r="K159" s="57" t="n"/>
      <c r="L159" s="58" t="n"/>
      <c r="M159" s="59" t="n"/>
      <c r="N159" s="59" t="n"/>
      <c r="O159" s="58" t="n"/>
      <c r="P159" s="55" t="n"/>
      <c r="Q159" s="55" t="n"/>
    </row>
    <row r="160" ht="15.75" customHeight="1" s="99">
      <c r="A160" s="41" t="n">
        <v>157</v>
      </c>
      <c r="B160" s="45" t="n"/>
      <c r="C160" s="46" t="n"/>
      <c r="D160" s="47" t="n"/>
      <c r="E160" s="47" t="n"/>
      <c r="F160" s="47" t="n"/>
      <c r="G160" s="47" t="n"/>
      <c r="H160" s="47" t="n"/>
      <c r="I160" s="48" t="n"/>
      <c r="J160" s="47" t="n"/>
      <c r="K160" s="49" t="n"/>
      <c r="L160" s="50" t="n"/>
      <c r="M160" s="51" t="n"/>
      <c r="N160" s="51" t="n"/>
      <c r="O160" s="50" t="n"/>
      <c r="P160" s="47" t="n"/>
      <c r="Q160" s="47" t="n"/>
    </row>
    <row r="161" ht="15.75" customHeight="1" s="99">
      <c r="A161" s="43" t="n">
        <v>158</v>
      </c>
      <c r="B161" s="53" t="n"/>
      <c r="C161" s="54" t="n"/>
      <c r="D161" s="55" t="n"/>
      <c r="E161" s="55" t="n"/>
      <c r="F161" s="55" t="n"/>
      <c r="G161" s="55" t="n"/>
      <c r="H161" s="55" t="n"/>
      <c r="I161" s="56" t="n"/>
      <c r="J161" s="55" t="n"/>
      <c r="K161" s="57" t="n"/>
      <c r="L161" s="58" t="n"/>
      <c r="M161" s="59" t="n"/>
      <c r="N161" s="59" t="n"/>
      <c r="O161" s="58" t="n"/>
      <c r="P161" s="55" t="n"/>
      <c r="Q161" s="55" t="n"/>
    </row>
    <row r="162" ht="15.75" customHeight="1" s="99">
      <c r="A162" s="41" t="n">
        <v>159</v>
      </c>
      <c r="B162" s="45" t="n"/>
      <c r="C162" s="46" t="n"/>
      <c r="D162" s="47" t="n"/>
      <c r="E162" s="47" t="n"/>
      <c r="F162" s="47" t="n"/>
      <c r="G162" s="47" t="n"/>
      <c r="H162" s="47" t="n"/>
      <c r="I162" s="48" t="n"/>
      <c r="J162" s="47" t="n"/>
      <c r="K162" s="49" t="n"/>
      <c r="L162" s="50" t="n"/>
      <c r="M162" s="51" t="n"/>
      <c r="N162" s="51" t="n"/>
      <c r="O162" s="50" t="n"/>
      <c r="P162" s="47" t="n"/>
      <c r="Q162" s="47" t="n"/>
    </row>
    <row r="163" ht="15.75" customHeight="1" s="99">
      <c r="A163" s="43" t="n">
        <v>160</v>
      </c>
      <c r="B163" s="53" t="n"/>
      <c r="C163" s="54" t="n"/>
      <c r="D163" s="55" t="n"/>
      <c r="E163" s="55" t="n"/>
      <c r="F163" s="55" t="n"/>
      <c r="G163" s="55" t="n"/>
      <c r="H163" s="55" t="n"/>
      <c r="I163" s="56" t="n"/>
      <c r="J163" s="55" t="n"/>
      <c r="K163" s="57" t="n"/>
      <c r="L163" s="58" t="n"/>
      <c r="M163" s="59" t="n"/>
      <c r="N163" s="59" t="n"/>
      <c r="O163" s="58" t="n"/>
      <c r="P163" s="55" t="n"/>
      <c r="Q163" s="55" t="n"/>
    </row>
    <row r="164" ht="15.75" customHeight="1" s="99">
      <c r="A164" s="41" t="n">
        <v>161</v>
      </c>
      <c r="B164" s="45" t="n"/>
      <c r="C164" s="46" t="n"/>
      <c r="D164" s="47" t="n"/>
      <c r="E164" s="47" t="n"/>
      <c r="F164" s="47" t="n"/>
      <c r="G164" s="47" t="n"/>
      <c r="H164" s="47" t="n"/>
      <c r="I164" s="48" t="n"/>
      <c r="J164" s="47" t="n"/>
      <c r="K164" s="49" t="n"/>
      <c r="L164" s="50" t="n"/>
      <c r="M164" s="51" t="n"/>
      <c r="N164" s="51" t="n"/>
      <c r="O164" s="50" t="n"/>
      <c r="P164" s="47" t="n"/>
      <c r="Q164" s="47" t="n"/>
    </row>
    <row r="165" ht="15.75" customHeight="1" s="99">
      <c r="A165" s="43" t="n">
        <v>162</v>
      </c>
      <c r="B165" s="53" t="n"/>
      <c r="C165" s="54" t="n"/>
      <c r="D165" s="55" t="n"/>
      <c r="E165" s="55" t="n"/>
      <c r="F165" s="55" t="n"/>
      <c r="G165" s="55" t="n"/>
      <c r="H165" s="55" t="n"/>
      <c r="I165" s="56" t="n"/>
      <c r="J165" s="55" t="n"/>
      <c r="K165" s="57" t="n"/>
      <c r="L165" s="58" t="n"/>
      <c r="M165" s="59" t="n"/>
      <c r="N165" s="59" t="n"/>
      <c r="O165" s="58" t="n"/>
      <c r="P165" s="55" t="n"/>
      <c r="Q165" s="55" t="n"/>
    </row>
    <row r="166" ht="15.75" customHeight="1" s="99">
      <c r="A166" s="41" t="n">
        <v>163</v>
      </c>
      <c r="B166" s="45" t="n"/>
      <c r="C166" s="46" t="n"/>
      <c r="D166" s="47" t="n"/>
      <c r="E166" s="47" t="n"/>
      <c r="F166" s="47" t="n"/>
      <c r="G166" s="47" t="n"/>
      <c r="H166" s="47" t="n"/>
      <c r="I166" s="48" t="n"/>
      <c r="J166" s="47" t="n"/>
      <c r="K166" s="49" t="n"/>
      <c r="L166" s="50" t="n"/>
      <c r="M166" s="51" t="n"/>
      <c r="N166" s="51" t="n"/>
      <c r="O166" s="50" t="n"/>
      <c r="P166" s="47" t="n"/>
      <c r="Q166" s="47" t="n"/>
    </row>
    <row r="167" ht="15.75" customHeight="1" s="99">
      <c r="A167" s="43" t="n">
        <v>164</v>
      </c>
      <c r="B167" s="53" t="n"/>
      <c r="C167" s="54" t="n"/>
      <c r="D167" s="55" t="n"/>
      <c r="E167" s="55" t="n"/>
      <c r="F167" s="55" t="n"/>
      <c r="G167" s="55" t="n"/>
      <c r="H167" s="55" t="n"/>
      <c r="I167" s="56" t="n"/>
      <c r="J167" s="55" t="n"/>
      <c r="K167" s="57" t="n"/>
      <c r="L167" s="58" t="n"/>
      <c r="M167" s="59" t="n"/>
      <c r="N167" s="59" t="n"/>
      <c r="O167" s="58" t="n"/>
      <c r="P167" s="55" t="n"/>
      <c r="Q167" s="55" t="n"/>
    </row>
    <row r="168" ht="15.75" customHeight="1" s="99">
      <c r="A168" s="41" t="n">
        <v>165</v>
      </c>
      <c r="B168" s="45" t="n"/>
      <c r="C168" s="46" t="n"/>
      <c r="D168" s="47" t="n"/>
      <c r="E168" s="47" t="n"/>
      <c r="F168" s="47" t="n"/>
      <c r="G168" s="47" t="n"/>
      <c r="H168" s="47" t="n"/>
      <c r="I168" s="48" t="n"/>
      <c r="J168" s="47" t="n"/>
      <c r="K168" s="49" t="n"/>
      <c r="L168" s="50" t="n"/>
      <c r="M168" s="51" t="n"/>
      <c r="N168" s="51" t="n"/>
      <c r="O168" s="50" t="n"/>
      <c r="P168" s="47" t="n"/>
      <c r="Q168" s="47" t="n"/>
    </row>
    <row r="169" ht="15.75" customHeight="1" s="99">
      <c r="A169" s="43" t="n">
        <v>166</v>
      </c>
      <c r="B169" s="53" t="n"/>
      <c r="C169" s="54" t="n"/>
      <c r="D169" s="55" t="n"/>
      <c r="E169" s="55" t="n"/>
      <c r="F169" s="55" t="n"/>
      <c r="G169" s="55" t="n"/>
      <c r="H169" s="55" t="n"/>
      <c r="I169" s="56" t="n"/>
      <c r="J169" s="55" t="n"/>
      <c r="K169" s="57" t="n"/>
      <c r="L169" s="58" t="n"/>
      <c r="M169" s="59" t="n"/>
      <c r="N169" s="59" t="n"/>
      <c r="O169" s="58" t="n"/>
      <c r="P169" s="55" t="n"/>
      <c r="Q169" s="55" t="n"/>
    </row>
    <row r="170" ht="15.75" customHeight="1" s="99">
      <c r="A170" s="41" t="n">
        <v>167</v>
      </c>
      <c r="B170" s="45" t="n"/>
      <c r="C170" s="46" t="n"/>
      <c r="D170" s="47" t="n"/>
      <c r="E170" s="47" t="n"/>
      <c r="F170" s="47" t="n"/>
      <c r="G170" s="47" t="n"/>
      <c r="H170" s="47" t="n"/>
      <c r="I170" s="48" t="n"/>
      <c r="J170" s="47" t="n"/>
      <c r="K170" s="49" t="n"/>
      <c r="L170" s="50" t="n"/>
      <c r="M170" s="51" t="n"/>
      <c r="N170" s="51" t="n"/>
      <c r="O170" s="50" t="n"/>
      <c r="P170" s="47" t="n"/>
      <c r="Q170" s="47" t="n"/>
    </row>
    <row r="171" ht="15.75" customHeight="1" s="99">
      <c r="A171" s="43" t="n">
        <v>168</v>
      </c>
      <c r="B171" s="53" t="n"/>
      <c r="C171" s="54" t="n"/>
      <c r="D171" s="55" t="n"/>
      <c r="E171" s="55" t="n"/>
      <c r="F171" s="55" t="n"/>
      <c r="G171" s="55" t="n"/>
      <c r="H171" s="55" t="n"/>
      <c r="I171" s="56" t="n"/>
      <c r="J171" s="55" t="n"/>
      <c r="K171" s="57" t="n"/>
      <c r="L171" s="58" t="n"/>
      <c r="M171" s="59" t="n"/>
      <c r="N171" s="59" t="n"/>
      <c r="O171" s="58" t="n"/>
      <c r="P171" s="55" t="n"/>
      <c r="Q171" s="55" t="n"/>
    </row>
    <row r="172" ht="15.75" customHeight="1" s="99">
      <c r="A172" s="41" t="n">
        <v>169</v>
      </c>
      <c r="B172" s="45" t="n"/>
      <c r="C172" s="46" t="n"/>
      <c r="D172" s="47" t="n"/>
      <c r="E172" s="47" t="n"/>
      <c r="F172" s="47" t="n"/>
      <c r="G172" s="47" t="n"/>
      <c r="H172" s="47" t="n"/>
      <c r="I172" s="48" t="n"/>
      <c r="J172" s="47" t="n"/>
      <c r="K172" s="49" t="n"/>
      <c r="L172" s="50" t="n"/>
      <c r="M172" s="51" t="n"/>
      <c r="N172" s="51" t="n"/>
      <c r="O172" s="50" t="n"/>
      <c r="P172" s="47" t="n"/>
      <c r="Q172" s="47" t="n"/>
    </row>
    <row r="173" ht="15.75" customHeight="1" s="99">
      <c r="A173" s="43" t="n">
        <v>170</v>
      </c>
      <c r="B173" s="53" t="n"/>
      <c r="C173" s="54" t="n"/>
      <c r="D173" s="55" t="n"/>
      <c r="E173" s="55" t="n"/>
      <c r="F173" s="55" t="n"/>
      <c r="G173" s="55" t="n"/>
      <c r="H173" s="55" t="n"/>
      <c r="I173" s="56" t="n"/>
      <c r="J173" s="55" t="n"/>
      <c r="K173" s="57" t="n"/>
      <c r="L173" s="58" t="n"/>
      <c r="M173" s="59" t="n"/>
      <c r="N173" s="59" t="n"/>
      <c r="O173" s="58" t="n"/>
      <c r="P173" s="55" t="n"/>
      <c r="Q173" s="55" t="n"/>
    </row>
    <row r="174" ht="15.75" customHeight="1" s="99">
      <c r="A174" s="41" t="n">
        <v>171</v>
      </c>
      <c r="B174" s="45" t="n"/>
      <c r="C174" s="46" t="n"/>
      <c r="D174" s="47" t="n"/>
      <c r="E174" s="47" t="n"/>
      <c r="F174" s="47" t="n"/>
      <c r="G174" s="47" t="n"/>
      <c r="H174" s="47" t="n"/>
      <c r="I174" s="48" t="n"/>
      <c r="J174" s="47" t="n"/>
      <c r="K174" s="49" t="n"/>
      <c r="L174" s="50" t="n"/>
      <c r="M174" s="51" t="n"/>
      <c r="N174" s="51" t="n"/>
      <c r="O174" s="50" t="n"/>
      <c r="P174" s="47" t="n"/>
      <c r="Q174" s="47" t="n"/>
    </row>
    <row r="175" ht="15.75" customHeight="1" s="99">
      <c r="A175" s="43" t="n">
        <v>172</v>
      </c>
      <c r="B175" s="53" t="n"/>
      <c r="C175" s="54" t="n"/>
      <c r="D175" s="55" t="n"/>
      <c r="E175" s="55" t="n"/>
      <c r="F175" s="55" t="n"/>
      <c r="G175" s="55" t="n"/>
      <c r="H175" s="55" t="n"/>
      <c r="I175" s="56" t="n"/>
      <c r="J175" s="55" t="n"/>
      <c r="K175" s="57" t="n"/>
      <c r="L175" s="58" t="n"/>
      <c r="M175" s="59" t="n"/>
      <c r="N175" s="59" t="n"/>
      <c r="O175" s="58" t="n"/>
      <c r="P175" s="55" t="n"/>
      <c r="Q175" s="55" t="n"/>
    </row>
    <row r="176" ht="15.75" customHeight="1" s="99">
      <c r="A176" s="41" t="n">
        <v>173</v>
      </c>
      <c r="B176" s="45" t="n"/>
      <c r="C176" s="46" t="n"/>
      <c r="D176" s="47" t="n"/>
      <c r="E176" s="47" t="n"/>
      <c r="F176" s="47" t="n"/>
      <c r="G176" s="47" t="n"/>
      <c r="H176" s="47" t="n"/>
      <c r="I176" s="48" t="n"/>
      <c r="J176" s="47" t="n"/>
      <c r="K176" s="49" t="n"/>
      <c r="L176" s="50" t="n"/>
      <c r="M176" s="51" t="n"/>
      <c r="N176" s="51" t="n"/>
      <c r="O176" s="50" t="n"/>
      <c r="P176" s="47" t="n"/>
      <c r="Q176" s="47" t="n"/>
    </row>
    <row r="177" ht="15.75" customHeight="1" s="99">
      <c r="A177" s="43" t="n">
        <v>174</v>
      </c>
      <c r="B177" s="53" t="n"/>
      <c r="C177" s="54" t="n"/>
      <c r="D177" s="55" t="n"/>
      <c r="E177" s="55" t="n"/>
      <c r="F177" s="55" t="n"/>
      <c r="G177" s="55" t="n"/>
      <c r="H177" s="55" t="n"/>
      <c r="I177" s="56" t="n"/>
      <c r="J177" s="55" t="n"/>
      <c r="K177" s="57" t="n"/>
      <c r="L177" s="58" t="n"/>
      <c r="M177" s="59" t="n"/>
      <c r="N177" s="59" t="n"/>
      <c r="O177" s="58" t="n"/>
      <c r="P177" s="55" t="n"/>
      <c r="Q177" s="55" t="n"/>
    </row>
    <row r="178" ht="15.75" customHeight="1" s="99">
      <c r="A178" s="41" t="n">
        <v>175</v>
      </c>
      <c r="B178" s="45" t="n"/>
      <c r="C178" s="46" t="n"/>
      <c r="D178" s="47" t="n"/>
      <c r="E178" s="47" t="n"/>
      <c r="F178" s="47" t="n"/>
      <c r="G178" s="47" t="n"/>
      <c r="H178" s="47" t="n"/>
      <c r="I178" s="48" t="n"/>
      <c r="J178" s="47" t="n"/>
      <c r="K178" s="49" t="n"/>
      <c r="L178" s="50" t="n"/>
      <c r="M178" s="51" t="n"/>
      <c r="N178" s="51" t="n"/>
      <c r="O178" s="50" t="n"/>
      <c r="P178" s="47" t="n"/>
      <c r="Q178" s="47" t="n"/>
    </row>
    <row r="179" ht="15.75" customHeight="1" s="99">
      <c r="A179" s="43" t="n">
        <v>176</v>
      </c>
      <c r="B179" s="53" t="n"/>
      <c r="C179" s="54" t="n"/>
      <c r="D179" s="55" t="n"/>
      <c r="E179" s="55" t="n"/>
      <c r="F179" s="55" t="n"/>
      <c r="G179" s="55" t="n"/>
      <c r="H179" s="55" t="n"/>
      <c r="I179" s="56" t="n"/>
      <c r="J179" s="55" t="n"/>
      <c r="K179" s="57" t="n"/>
      <c r="L179" s="58" t="n"/>
      <c r="M179" s="59" t="n"/>
      <c r="N179" s="59" t="n"/>
      <c r="O179" s="58" t="n"/>
      <c r="P179" s="55" t="n"/>
      <c r="Q179" s="55" t="n"/>
    </row>
    <row r="180" ht="15.75" customHeight="1" s="99">
      <c r="A180" s="41" t="n">
        <v>177</v>
      </c>
      <c r="B180" s="45" t="n"/>
      <c r="C180" s="46" t="n"/>
      <c r="D180" s="47" t="n"/>
      <c r="E180" s="47" t="n"/>
      <c r="F180" s="47" t="n"/>
      <c r="G180" s="47" t="n"/>
      <c r="H180" s="47" t="n"/>
      <c r="I180" s="48" t="n"/>
      <c r="J180" s="47" t="n"/>
      <c r="K180" s="49" t="n"/>
      <c r="L180" s="50" t="n"/>
      <c r="M180" s="51" t="n"/>
      <c r="N180" s="51" t="n"/>
      <c r="O180" s="50" t="n"/>
      <c r="P180" s="47" t="n"/>
      <c r="Q180" s="47" t="n"/>
    </row>
    <row r="181" ht="15.75" customHeight="1" s="99">
      <c r="A181" s="43" t="n">
        <v>178</v>
      </c>
      <c r="B181" s="53" t="n"/>
      <c r="C181" s="54" t="n"/>
      <c r="D181" s="55" t="n"/>
      <c r="E181" s="55" t="n"/>
      <c r="F181" s="55" t="n"/>
      <c r="G181" s="55" t="n"/>
      <c r="H181" s="55" t="n"/>
      <c r="I181" s="56" t="n"/>
      <c r="J181" s="55" t="n"/>
      <c r="K181" s="57" t="n"/>
      <c r="L181" s="58" t="n"/>
      <c r="M181" s="59" t="n"/>
      <c r="N181" s="59" t="n"/>
      <c r="O181" s="58" t="n"/>
      <c r="P181" s="55" t="n"/>
      <c r="Q181" s="55" t="n"/>
    </row>
    <row r="182" ht="15.75" customHeight="1" s="99">
      <c r="A182" s="41" t="n">
        <v>179</v>
      </c>
      <c r="B182" s="45" t="n"/>
      <c r="C182" s="46" t="n"/>
      <c r="D182" s="47" t="n"/>
      <c r="E182" s="47" t="n"/>
      <c r="F182" s="47" t="n"/>
      <c r="G182" s="47" t="n"/>
      <c r="H182" s="47" t="n"/>
      <c r="I182" s="48" t="n"/>
      <c r="J182" s="47" t="n"/>
      <c r="K182" s="49" t="n"/>
      <c r="L182" s="50" t="n"/>
      <c r="M182" s="51" t="n"/>
      <c r="N182" s="51" t="n"/>
      <c r="O182" s="50" t="n"/>
      <c r="P182" s="47" t="n"/>
      <c r="Q182" s="47" t="n"/>
    </row>
    <row r="183" ht="15.75" customHeight="1" s="99">
      <c r="A183" s="43" t="n">
        <v>180</v>
      </c>
      <c r="B183" s="53" t="n"/>
      <c r="C183" s="54" t="n"/>
      <c r="D183" s="55" t="n"/>
      <c r="E183" s="55" t="n"/>
      <c r="F183" s="55" t="n"/>
      <c r="G183" s="55" t="n"/>
      <c r="H183" s="55" t="n"/>
      <c r="I183" s="56" t="n"/>
      <c r="J183" s="55" t="n"/>
      <c r="K183" s="57" t="n"/>
      <c r="L183" s="58" t="n"/>
      <c r="M183" s="59" t="n"/>
      <c r="N183" s="59" t="n"/>
      <c r="O183" s="58" t="n"/>
      <c r="P183" s="55" t="n"/>
      <c r="Q183" s="55" t="n"/>
    </row>
    <row r="184" ht="15.75" customHeight="1" s="99">
      <c r="A184" s="41" t="n">
        <v>181</v>
      </c>
      <c r="B184" s="45" t="n"/>
      <c r="C184" s="46" t="n"/>
      <c r="D184" s="47" t="n"/>
      <c r="E184" s="47" t="n"/>
      <c r="F184" s="47" t="n"/>
      <c r="G184" s="47" t="n"/>
      <c r="H184" s="47" t="n"/>
      <c r="I184" s="48" t="n"/>
      <c r="J184" s="47" t="n"/>
      <c r="K184" s="49" t="n"/>
      <c r="L184" s="50" t="n"/>
      <c r="M184" s="51" t="n"/>
      <c r="N184" s="51" t="n"/>
      <c r="O184" s="50" t="n"/>
      <c r="P184" s="47" t="n"/>
      <c r="Q184" s="47" t="n"/>
    </row>
    <row r="185" ht="15.75" customHeight="1" s="99">
      <c r="A185" s="43" t="n">
        <v>182</v>
      </c>
      <c r="B185" s="53" t="n"/>
      <c r="C185" s="54" t="n"/>
      <c r="D185" s="55" t="n"/>
      <c r="E185" s="55" t="n"/>
      <c r="F185" s="55" t="n"/>
      <c r="G185" s="55" t="n"/>
      <c r="H185" s="55" t="n"/>
      <c r="I185" s="56" t="n"/>
      <c r="J185" s="55" t="n"/>
      <c r="K185" s="57" t="n"/>
      <c r="L185" s="58" t="n"/>
      <c r="M185" s="59" t="n"/>
      <c r="N185" s="59" t="n"/>
      <c r="O185" s="58" t="n"/>
      <c r="P185" s="55" t="n"/>
      <c r="Q185" s="55" t="n"/>
    </row>
    <row r="186" ht="15.75" customHeight="1" s="99">
      <c r="A186" s="41" t="n">
        <v>183</v>
      </c>
      <c r="B186" s="45" t="n"/>
      <c r="C186" s="46" t="n"/>
      <c r="D186" s="47" t="n"/>
      <c r="E186" s="47" t="n"/>
      <c r="F186" s="47" t="n"/>
      <c r="G186" s="47" t="n"/>
      <c r="H186" s="47" t="n"/>
      <c r="I186" s="48" t="n"/>
      <c r="J186" s="47" t="n"/>
      <c r="K186" s="49" t="n"/>
      <c r="L186" s="50" t="n"/>
      <c r="M186" s="51" t="n"/>
      <c r="N186" s="51" t="n"/>
      <c r="O186" s="50" t="n"/>
      <c r="P186" s="47" t="n"/>
      <c r="Q186" s="47" t="n"/>
    </row>
    <row r="187" ht="15.75" customHeight="1" s="99">
      <c r="A187" s="43" t="n">
        <v>184</v>
      </c>
      <c r="B187" s="53" t="n"/>
      <c r="C187" s="54" t="n"/>
      <c r="D187" s="55" t="n"/>
      <c r="E187" s="55" t="n"/>
      <c r="F187" s="55" t="n"/>
      <c r="G187" s="55" t="n"/>
      <c r="H187" s="55" t="n"/>
      <c r="I187" s="56" t="n"/>
      <c r="J187" s="55" t="n"/>
      <c r="K187" s="57" t="n"/>
      <c r="L187" s="58" t="n"/>
      <c r="M187" s="59" t="n"/>
      <c r="N187" s="59" t="n"/>
      <c r="O187" s="58" t="n"/>
      <c r="P187" s="55" t="n"/>
      <c r="Q187" s="55" t="n"/>
    </row>
    <row r="188" ht="15.75" customHeight="1" s="99">
      <c r="A188" s="41" t="n">
        <v>185</v>
      </c>
      <c r="B188" s="45" t="n"/>
      <c r="C188" s="46" t="n"/>
      <c r="D188" s="47" t="n"/>
      <c r="E188" s="47" t="n"/>
      <c r="F188" s="47" t="n"/>
      <c r="G188" s="47" t="n"/>
      <c r="H188" s="47" t="n"/>
      <c r="I188" s="48" t="n"/>
      <c r="J188" s="47" t="n"/>
      <c r="K188" s="49" t="n"/>
      <c r="L188" s="50" t="n"/>
      <c r="M188" s="51" t="n"/>
      <c r="N188" s="51" t="n"/>
      <c r="O188" s="50" t="n"/>
      <c r="P188" s="47" t="n"/>
      <c r="Q188" s="47" t="n"/>
    </row>
    <row r="189" ht="15.75" customHeight="1" s="99">
      <c r="A189" s="43" t="n">
        <v>186</v>
      </c>
      <c r="B189" s="53" t="n"/>
      <c r="C189" s="54" t="n"/>
      <c r="D189" s="55" t="n"/>
      <c r="E189" s="55" t="n"/>
      <c r="F189" s="55" t="n"/>
      <c r="G189" s="55" t="n"/>
      <c r="H189" s="55" t="n"/>
      <c r="I189" s="56" t="n"/>
      <c r="J189" s="55" t="n"/>
      <c r="K189" s="57" t="n"/>
      <c r="L189" s="58" t="n"/>
      <c r="M189" s="59" t="n"/>
      <c r="N189" s="59" t="n"/>
      <c r="O189" s="58" t="n"/>
      <c r="P189" s="55" t="n"/>
      <c r="Q189" s="55" t="n"/>
    </row>
    <row r="190" ht="15.75" customHeight="1" s="99">
      <c r="A190" s="41" t="n">
        <v>187</v>
      </c>
      <c r="B190" s="45" t="n"/>
      <c r="C190" s="46" t="n"/>
      <c r="D190" s="47" t="n"/>
      <c r="E190" s="47" t="n"/>
      <c r="F190" s="47" t="n"/>
      <c r="G190" s="47" t="n"/>
      <c r="H190" s="47" t="n"/>
      <c r="I190" s="48" t="n"/>
      <c r="J190" s="47" t="n"/>
      <c r="K190" s="49" t="n"/>
      <c r="L190" s="50" t="n"/>
      <c r="M190" s="51" t="n"/>
      <c r="N190" s="51" t="n"/>
      <c r="O190" s="50" t="n"/>
      <c r="P190" s="47" t="n"/>
      <c r="Q190" s="47" t="n"/>
    </row>
    <row r="191" ht="15.75" customHeight="1" s="99">
      <c r="A191" s="43" t="n">
        <v>188</v>
      </c>
      <c r="B191" s="53" t="n"/>
      <c r="C191" s="54" t="n"/>
      <c r="D191" s="55" t="n"/>
      <c r="E191" s="55" t="n"/>
      <c r="F191" s="55" t="n"/>
      <c r="G191" s="55" t="n"/>
      <c r="H191" s="55" t="n"/>
      <c r="I191" s="56" t="n"/>
      <c r="J191" s="55" t="n"/>
      <c r="K191" s="57" t="n"/>
      <c r="L191" s="58" t="n"/>
      <c r="M191" s="59" t="n"/>
      <c r="N191" s="59" t="n"/>
      <c r="O191" s="58" t="n"/>
      <c r="P191" s="55" t="n"/>
      <c r="Q191" s="55" t="n"/>
    </row>
    <row r="192" ht="15.75" customHeight="1" s="99">
      <c r="A192" s="41" t="n">
        <v>189</v>
      </c>
      <c r="B192" s="45" t="n"/>
      <c r="C192" s="46" t="n"/>
      <c r="D192" s="47" t="n"/>
      <c r="E192" s="47" t="n"/>
      <c r="F192" s="47" t="n"/>
      <c r="G192" s="47" t="n"/>
      <c r="H192" s="47" t="n"/>
      <c r="I192" s="48" t="n"/>
      <c r="J192" s="47" t="n"/>
      <c r="K192" s="49" t="n"/>
      <c r="L192" s="50" t="n"/>
      <c r="M192" s="51" t="n"/>
      <c r="N192" s="51" t="n"/>
      <c r="O192" s="50" t="n"/>
      <c r="P192" s="47" t="n"/>
      <c r="Q192" s="47" t="n"/>
    </row>
    <row r="193" ht="15.75" customHeight="1" s="99">
      <c r="A193" s="43" t="n">
        <v>190</v>
      </c>
      <c r="B193" s="53" t="n"/>
      <c r="C193" s="54" t="n"/>
      <c r="D193" s="55" t="n"/>
      <c r="E193" s="55" t="n"/>
      <c r="F193" s="55" t="n"/>
      <c r="G193" s="55" t="n"/>
      <c r="H193" s="55" t="n"/>
      <c r="I193" s="56" t="n"/>
      <c r="J193" s="55" t="n"/>
      <c r="K193" s="57" t="n"/>
      <c r="L193" s="58" t="n"/>
      <c r="M193" s="59" t="n"/>
      <c r="N193" s="59" t="n"/>
      <c r="O193" s="58" t="n"/>
      <c r="P193" s="55" t="n"/>
      <c r="Q193" s="55" t="n"/>
    </row>
    <row r="194" ht="15.75" customHeight="1" s="99">
      <c r="A194" s="41" t="n">
        <v>191</v>
      </c>
      <c r="B194" s="45" t="n"/>
      <c r="C194" s="46" t="n"/>
      <c r="D194" s="47" t="n"/>
      <c r="E194" s="47" t="n"/>
      <c r="F194" s="47" t="n"/>
      <c r="G194" s="47" t="n"/>
      <c r="H194" s="47" t="n"/>
      <c r="I194" s="48" t="n"/>
      <c r="J194" s="47" t="n"/>
      <c r="K194" s="49" t="n"/>
      <c r="L194" s="50" t="n"/>
      <c r="M194" s="51" t="n"/>
      <c r="N194" s="51" t="n"/>
      <c r="O194" s="50" t="n"/>
      <c r="P194" s="47" t="n"/>
      <c r="Q194" s="47" t="n"/>
    </row>
    <row r="195" ht="15.75" customHeight="1" s="99">
      <c r="A195" s="43" t="n">
        <v>192</v>
      </c>
      <c r="B195" s="53" t="n"/>
      <c r="C195" s="54" t="n"/>
      <c r="D195" s="55" t="n"/>
      <c r="E195" s="55" t="n"/>
      <c r="F195" s="55" t="n"/>
      <c r="G195" s="55" t="n"/>
      <c r="H195" s="55" t="n"/>
      <c r="I195" s="56" t="n"/>
      <c r="J195" s="55" t="n"/>
      <c r="K195" s="57" t="n"/>
      <c r="L195" s="58" t="n"/>
      <c r="M195" s="59" t="n"/>
      <c r="N195" s="59" t="n"/>
      <c r="O195" s="58" t="n"/>
      <c r="P195" s="55" t="n"/>
      <c r="Q195" s="55" t="n"/>
    </row>
    <row r="196" ht="15.75" customHeight="1" s="99">
      <c r="A196" s="41" t="n">
        <v>193</v>
      </c>
      <c r="B196" s="45" t="n"/>
      <c r="C196" s="46" t="n"/>
      <c r="D196" s="47" t="n"/>
      <c r="E196" s="47" t="n"/>
      <c r="F196" s="47" t="n"/>
      <c r="G196" s="47" t="n"/>
      <c r="H196" s="47" t="n"/>
      <c r="I196" s="48" t="n"/>
      <c r="J196" s="47" t="n"/>
      <c r="K196" s="49" t="n"/>
      <c r="L196" s="50" t="n"/>
      <c r="M196" s="51" t="n"/>
      <c r="N196" s="51" t="n"/>
      <c r="O196" s="50" t="n"/>
      <c r="P196" s="47" t="n"/>
      <c r="Q196" s="47" t="n"/>
    </row>
    <row r="197" ht="15.75" customHeight="1" s="99">
      <c r="A197" s="43" t="n">
        <v>194</v>
      </c>
      <c r="B197" s="53" t="n"/>
      <c r="C197" s="54" t="n"/>
      <c r="D197" s="55" t="n"/>
      <c r="E197" s="55" t="n"/>
      <c r="F197" s="55" t="n"/>
      <c r="G197" s="55" t="n"/>
      <c r="H197" s="55" t="n"/>
      <c r="I197" s="56" t="n"/>
      <c r="J197" s="55" t="n"/>
      <c r="K197" s="57" t="n"/>
      <c r="L197" s="58" t="n"/>
      <c r="M197" s="59" t="n"/>
      <c r="N197" s="59" t="n"/>
      <c r="O197" s="58" t="n"/>
      <c r="P197" s="55" t="n"/>
      <c r="Q197" s="55" t="n"/>
    </row>
    <row r="198" ht="15.75" customHeight="1" s="99">
      <c r="A198" s="41" t="n">
        <v>195</v>
      </c>
      <c r="B198" s="45" t="n"/>
      <c r="C198" s="46" t="n"/>
      <c r="D198" s="47" t="n"/>
      <c r="E198" s="47" t="n"/>
      <c r="F198" s="47" t="n"/>
      <c r="G198" s="47" t="n"/>
      <c r="H198" s="47" t="n"/>
      <c r="I198" s="48" t="n"/>
      <c r="J198" s="47" t="n"/>
      <c r="K198" s="49" t="n"/>
      <c r="L198" s="50" t="n"/>
      <c r="M198" s="51" t="n"/>
      <c r="N198" s="51" t="n"/>
      <c r="O198" s="50" t="n"/>
      <c r="P198" s="47" t="n"/>
      <c r="Q198" s="47" t="n"/>
    </row>
    <row r="199" ht="15.75" customHeight="1" s="99">
      <c r="A199" s="43" t="n">
        <v>196</v>
      </c>
      <c r="B199" s="53" t="n"/>
      <c r="C199" s="54" t="n"/>
      <c r="D199" s="55" t="n"/>
      <c r="E199" s="55" t="n"/>
      <c r="F199" s="55" t="n"/>
      <c r="G199" s="55" t="n"/>
      <c r="H199" s="55" t="n"/>
      <c r="I199" s="56" t="n"/>
      <c r="J199" s="55" t="n"/>
      <c r="K199" s="57" t="n"/>
      <c r="L199" s="58" t="n"/>
      <c r="M199" s="59" t="n"/>
      <c r="N199" s="59" t="n"/>
      <c r="O199" s="58" t="n"/>
      <c r="P199" s="55" t="n"/>
      <c r="Q199" s="55" t="n"/>
    </row>
    <row r="200" ht="15.75" customHeight="1" s="99">
      <c r="A200" s="41" t="n">
        <v>197</v>
      </c>
      <c r="B200" s="45" t="n"/>
      <c r="C200" s="46" t="n"/>
      <c r="D200" s="47" t="n"/>
      <c r="E200" s="47" t="n"/>
      <c r="F200" s="47" t="n"/>
      <c r="G200" s="47" t="n"/>
      <c r="H200" s="47" t="n"/>
      <c r="I200" s="48" t="n"/>
      <c r="J200" s="47" t="n"/>
      <c r="K200" s="49" t="n"/>
      <c r="L200" s="50" t="n"/>
      <c r="M200" s="51" t="n"/>
      <c r="N200" s="51" t="n"/>
      <c r="O200" s="50" t="n"/>
      <c r="P200" s="47" t="n"/>
      <c r="Q200" s="47" t="n"/>
    </row>
    <row r="201" ht="15.75" customHeight="1" s="99">
      <c r="A201" s="43" t="n">
        <v>198</v>
      </c>
      <c r="B201" s="53" t="n"/>
      <c r="C201" s="54" t="n"/>
      <c r="D201" s="55" t="n"/>
      <c r="E201" s="55" t="n"/>
      <c r="F201" s="55" t="n"/>
      <c r="G201" s="55" t="n"/>
      <c r="H201" s="55" t="n"/>
      <c r="I201" s="56" t="n"/>
      <c r="J201" s="55" t="n"/>
      <c r="K201" s="57" t="n"/>
      <c r="L201" s="58" t="n"/>
      <c r="M201" s="59" t="n"/>
      <c r="N201" s="59" t="n"/>
      <c r="O201" s="58" t="n"/>
      <c r="P201" s="55" t="n"/>
      <c r="Q201" s="55" t="n"/>
    </row>
    <row r="202" ht="15.75" customHeight="1" s="99">
      <c r="A202" s="41" t="n">
        <v>199</v>
      </c>
      <c r="B202" s="45" t="n"/>
      <c r="C202" s="46" t="n"/>
      <c r="D202" s="47" t="n"/>
      <c r="E202" s="47" t="n"/>
      <c r="F202" s="47" t="n"/>
      <c r="G202" s="47" t="n"/>
      <c r="H202" s="47" t="n"/>
      <c r="I202" s="48" t="n"/>
      <c r="J202" s="47" t="n"/>
      <c r="K202" s="49" t="n"/>
      <c r="L202" s="50" t="n"/>
      <c r="M202" s="51" t="n"/>
      <c r="N202" s="51" t="n"/>
      <c r="O202" s="50" t="n"/>
      <c r="P202" s="47" t="n"/>
      <c r="Q202" s="47" t="n"/>
    </row>
    <row r="203" ht="15.75" customHeight="1" s="99">
      <c r="A203" s="43" t="n">
        <v>200</v>
      </c>
      <c r="B203" s="53" t="n"/>
      <c r="C203" s="54" t="n"/>
      <c r="D203" s="55" t="n"/>
      <c r="E203" s="55" t="n"/>
      <c r="F203" s="55" t="n"/>
      <c r="G203" s="55" t="n"/>
      <c r="H203" s="55" t="n"/>
      <c r="I203" s="56" t="n"/>
      <c r="J203" s="55" t="n"/>
      <c r="K203" s="57" t="n"/>
      <c r="L203" s="58" t="n"/>
      <c r="M203" s="59" t="n"/>
      <c r="N203" s="59" t="n"/>
      <c r="O203" s="58" t="n"/>
      <c r="P203" s="55" t="n"/>
      <c r="Q203" s="55" t="n"/>
    </row>
    <row r="204" ht="15.75" customHeight="1" s="99">
      <c r="A204" s="41" t="n">
        <v>201</v>
      </c>
      <c r="B204" s="45" t="n"/>
      <c r="C204" s="46" t="n"/>
      <c r="D204" s="47" t="n"/>
      <c r="E204" s="47" t="n"/>
      <c r="F204" s="47" t="n"/>
      <c r="G204" s="47" t="n"/>
      <c r="H204" s="47" t="n"/>
      <c r="I204" s="48" t="n"/>
      <c r="J204" s="47" t="n"/>
      <c r="K204" s="49" t="n"/>
      <c r="L204" s="50" t="n"/>
      <c r="M204" s="51" t="n"/>
      <c r="N204" s="51" t="n"/>
      <c r="O204" s="50" t="n"/>
      <c r="P204" s="47" t="n"/>
      <c r="Q204" s="47" t="n"/>
    </row>
    <row r="205" ht="15.75" customHeight="1" s="99">
      <c r="A205" s="43" t="n">
        <v>202</v>
      </c>
      <c r="B205" s="53" t="n"/>
      <c r="C205" s="54" t="n"/>
      <c r="D205" s="55" t="n"/>
      <c r="E205" s="55" t="n"/>
      <c r="F205" s="55" t="n"/>
      <c r="G205" s="55" t="n"/>
      <c r="H205" s="55" t="n"/>
      <c r="I205" s="56" t="n"/>
      <c r="J205" s="55" t="n"/>
      <c r="K205" s="57" t="n"/>
      <c r="L205" s="58" t="n"/>
      <c r="M205" s="59" t="n"/>
      <c r="N205" s="59" t="n"/>
      <c r="O205" s="58" t="n"/>
      <c r="P205" s="55" t="n"/>
      <c r="Q205" s="55" t="n"/>
    </row>
    <row r="206" ht="15.75" customHeight="1" s="99">
      <c r="A206" s="41" t="n">
        <v>203</v>
      </c>
      <c r="B206" s="45" t="n"/>
      <c r="C206" s="46" t="n"/>
      <c r="D206" s="47" t="n"/>
      <c r="E206" s="47" t="n"/>
      <c r="F206" s="47" t="n"/>
      <c r="G206" s="47" t="n"/>
      <c r="H206" s="47" t="n"/>
      <c r="I206" s="48" t="n"/>
      <c r="J206" s="47" t="n"/>
      <c r="K206" s="49" t="n"/>
      <c r="L206" s="50" t="n"/>
      <c r="M206" s="51" t="n"/>
      <c r="N206" s="51" t="n"/>
      <c r="O206" s="50" t="n"/>
      <c r="P206" s="47" t="n"/>
      <c r="Q206" s="47" t="n"/>
    </row>
    <row r="207" ht="15.75" customHeight="1" s="99">
      <c r="A207" s="43" t="n">
        <v>204</v>
      </c>
      <c r="B207" s="53" t="n"/>
      <c r="C207" s="54" t="n"/>
      <c r="D207" s="55" t="n"/>
      <c r="E207" s="55" t="n"/>
      <c r="F207" s="55" t="n"/>
      <c r="G207" s="55" t="n"/>
      <c r="H207" s="55" t="n"/>
      <c r="I207" s="56" t="n"/>
      <c r="J207" s="55" t="n"/>
      <c r="K207" s="57" t="n"/>
      <c r="L207" s="58" t="n"/>
      <c r="M207" s="59" t="n"/>
      <c r="N207" s="59" t="n"/>
      <c r="O207" s="58" t="n"/>
      <c r="P207" s="55" t="n"/>
      <c r="Q207" s="55" t="n"/>
    </row>
    <row r="208" ht="15.75" customHeight="1" s="99">
      <c r="A208" s="41" t="n">
        <v>205</v>
      </c>
      <c r="B208" s="45" t="n"/>
      <c r="C208" s="46" t="n"/>
      <c r="D208" s="47" t="n"/>
      <c r="E208" s="47" t="n"/>
      <c r="F208" s="47" t="n"/>
      <c r="G208" s="47" t="n"/>
      <c r="H208" s="47" t="n"/>
      <c r="I208" s="48" t="n"/>
      <c r="J208" s="47" t="n"/>
      <c r="K208" s="49" t="n"/>
      <c r="L208" s="50" t="n"/>
      <c r="M208" s="51" t="n"/>
      <c r="N208" s="51" t="n"/>
      <c r="O208" s="50" t="n"/>
      <c r="P208" s="47" t="n"/>
      <c r="Q208" s="47" t="n"/>
    </row>
    <row r="209" ht="15.75" customHeight="1" s="99">
      <c r="A209" s="43" t="n">
        <v>206</v>
      </c>
      <c r="B209" s="53" t="n"/>
      <c r="C209" s="54" t="n"/>
      <c r="D209" s="55" t="n"/>
      <c r="E209" s="55" t="n"/>
      <c r="F209" s="55" t="n"/>
      <c r="G209" s="55" t="n"/>
      <c r="H209" s="55" t="n"/>
      <c r="I209" s="56" t="n"/>
      <c r="J209" s="55" t="n"/>
      <c r="K209" s="57" t="n"/>
      <c r="L209" s="58" t="n"/>
      <c r="M209" s="59" t="n"/>
      <c r="N209" s="59" t="n"/>
      <c r="O209" s="58" t="n"/>
      <c r="P209" s="55" t="n"/>
      <c r="Q209" s="55" t="n"/>
    </row>
    <row r="210" ht="15.75" customHeight="1" s="99">
      <c r="A210" s="41" t="n">
        <v>207</v>
      </c>
      <c r="B210" s="45" t="n"/>
      <c r="C210" s="46" t="n"/>
      <c r="D210" s="47" t="n"/>
      <c r="E210" s="47" t="n"/>
      <c r="F210" s="47" t="n"/>
      <c r="G210" s="47" t="n"/>
      <c r="H210" s="47" t="n"/>
      <c r="I210" s="48" t="n"/>
      <c r="J210" s="47" t="n"/>
      <c r="K210" s="49" t="n"/>
      <c r="L210" s="50" t="n"/>
      <c r="M210" s="51" t="n"/>
      <c r="N210" s="51" t="n"/>
      <c r="O210" s="50" t="n"/>
      <c r="P210" s="47" t="n"/>
      <c r="Q210" s="47" t="n"/>
    </row>
    <row r="211" ht="15.75" customHeight="1" s="99">
      <c r="A211" s="43" t="n">
        <v>208</v>
      </c>
      <c r="B211" s="53" t="n"/>
      <c r="C211" s="54" t="n"/>
      <c r="D211" s="55" t="n"/>
      <c r="E211" s="55" t="n"/>
      <c r="F211" s="55" t="n"/>
      <c r="G211" s="55" t="n"/>
      <c r="H211" s="55" t="n"/>
      <c r="I211" s="56" t="n"/>
      <c r="J211" s="55" t="n"/>
      <c r="K211" s="57" t="n"/>
      <c r="L211" s="58" t="n"/>
      <c r="M211" s="59" t="n"/>
      <c r="N211" s="59" t="n"/>
      <c r="O211" s="58" t="n"/>
      <c r="P211" s="55" t="n"/>
      <c r="Q211" s="55" t="n"/>
    </row>
    <row r="212" ht="15.75" customHeight="1" s="99">
      <c r="A212" s="41" t="n">
        <v>209</v>
      </c>
      <c r="B212" s="45" t="n"/>
      <c r="C212" s="46" t="n"/>
      <c r="D212" s="47" t="n"/>
      <c r="E212" s="47" t="n"/>
      <c r="F212" s="47" t="n"/>
      <c r="G212" s="47" t="n"/>
      <c r="H212" s="47" t="n"/>
      <c r="I212" s="48" t="n"/>
      <c r="J212" s="47" t="n"/>
      <c r="K212" s="49" t="n"/>
      <c r="L212" s="50" t="n"/>
      <c r="M212" s="51" t="n"/>
      <c r="N212" s="51" t="n"/>
      <c r="O212" s="50" t="n"/>
      <c r="P212" s="47" t="n"/>
      <c r="Q212" s="47" t="n"/>
    </row>
    <row r="213" ht="15.75" customHeight="1" s="99">
      <c r="A213" s="43" t="n">
        <v>210</v>
      </c>
      <c r="B213" s="53" t="n"/>
      <c r="C213" s="54" t="n"/>
      <c r="D213" s="55" t="n"/>
      <c r="E213" s="55" t="n"/>
      <c r="F213" s="55" t="n"/>
      <c r="G213" s="55" t="n"/>
      <c r="H213" s="55" t="n"/>
      <c r="I213" s="56" t="n"/>
      <c r="J213" s="55" t="n"/>
      <c r="K213" s="57" t="n"/>
      <c r="L213" s="58" t="n"/>
      <c r="M213" s="59" t="n"/>
      <c r="N213" s="59" t="n"/>
      <c r="O213" s="58" t="n"/>
      <c r="P213" s="55" t="n"/>
      <c r="Q213" s="55" t="n"/>
    </row>
    <row r="214" ht="15.75" customHeight="1" s="99">
      <c r="A214" s="41" t="n">
        <v>211</v>
      </c>
      <c r="B214" s="45" t="n"/>
      <c r="C214" s="46" t="n"/>
      <c r="D214" s="47" t="n"/>
      <c r="E214" s="47" t="n"/>
      <c r="F214" s="47" t="n"/>
      <c r="G214" s="47" t="n"/>
      <c r="H214" s="47" t="n"/>
      <c r="I214" s="48" t="n"/>
      <c r="J214" s="47" t="n"/>
      <c r="K214" s="49" t="n"/>
      <c r="L214" s="50" t="n"/>
      <c r="M214" s="51" t="n"/>
      <c r="N214" s="51" t="n"/>
      <c r="O214" s="50" t="n"/>
      <c r="P214" s="47" t="n"/>
      <c r="Q214" s="47" t="n"/>
    </row>
    <row r="215" ht="15.75" customHeight="1" s="99">
      <c r="A215" s="43" t="n">
        <v>212</v>
      </c>
      <c r="B215" s="53" t="n"/>
      <c r="C215" s="54" t="n"/>
      <c r="D215" s="55" t="n"/>
      <c r="E215" s="55" t="n"/>
      <c r="F215" s="55" t="n"/>
      <c r="G215" s="55" t="n"/>
      <c r="H215" s="55" t="n"/>
      <c r="I215" s="56" t="n"/>
      <c r="J215" s="55" t="n"/>
      <c r="K215" s="57" t="n"/>
      <c r="L215" s="58" t="n"/>
      <c r="M215" s="59" t="n"/>
      <c r="N215" s="59" t="n"/>
      <c r="O215" s="58" t="n"/>
      <c r="P215" s="55" t="n"/>
      <c r="Q215" s="55" t="n"/>
    </row>
    <row r="216" ht="15.75" customHeight="1" s="99">
      <c r="A216" s="41" t="n">
        <v>213</v>
      </c>
      <c r="B216" s="45" t="n"/>
      <c r="C216" s="46" t="n"/>
      <c r="D216" s="47" t="n"/>
      <c r="E216" s="47" t="n"/>
      <c r="F216" s="47" t="n"/>
      <c r="G216" s="47" t="n"/>
      <c r="H216" s="47" t="n"/>
      <c r="I216" s="48" t="n"/>
      <c r="J216" s="47" t="n"/>
      <c r="K216" s="49" t="n"/>
      <c r="L216" s="50" t="n"/>
      <c r="M216" s="51" t="n"/>
      <c r="N216" s="51" t="n"/>
      <c r="O216" s="50" t="n"/>
      <c r="P216" s="47" t="n"/>
      <c r="Q216" s="47" t="n"/>
    </row>
    <row r="217" ht="15.75" customHeight="1" s="99">
      <c r="A217" s="43" t="n">
        <v>214</v>
      </c>
      <c r="B217" s="53" t="n"/>
      <c r="C217" s="54" t="n"/>
      <c r="D217" s="55" t="n"/>
      <c r="E217" s="55" t="n"/>
      <c r="F217" s="55" t="n"/>
      <c r="G217" s="55" t="n"/>
      <c r="H217" s="55" t="n"/>
      <c r="I217" s="56" t="n"/>
      <c r="J217" s="55" t="n"/>
      <c r="K217" s="57" t="n"/>
      <c r="L217" s="58" t="n"/>
      <c r="M217" s="59" t="n"/>
      <c r="N217" s="59" t="n"/>
      <c r="O217" s="58" t="n"/>
      <c r="P217" s="55" t="n"/>
      <c r="Q217" s="55" t="n"/>
    </row>
    <row r="218" ht="15.75" customHeight="1" s="99">
      <c r="A218" s="41" t="n">
        <v>215</v>
      </c>
      <c r="B218" s="45" t="n"/>
      <c r="C218" s="46" t="n"/>
      <c r="D218" s="47" t="n"/>
      <c r="E218" s="47" t="n"/>
      <c r="F218" s="47" t="n"/>
      <c r="G218" s="47" t="n"/>
      <c r="H218" s="47" t="n"/>
      <c r="I218" s="48" t="n"/>
      <c r="J218" s="47" t="n"/>
      <c r="K218" s="49" t="n"/>
      <c r="L218" s="50" t="n"/>
      <c r="M218" s="51" t="n"/>
      <c r="N218" s="51" t="n"/>
      <c r="O218" s="50" t="n"/>
      <c r="P218" s="47" t="n"/>
      <c r="Q218" s="47" t="n"/>
    </row>
    <row r="219" ht="15.75" customHeight="1" s="99">
      <c r="A219" s="43" t="n">
        <v>216</v>
      </c>
      <c r="B219" s="53" t="n"/>
      <c r="C219" s="54" t="n"/>
      <c r="D219" s="55" t="n"/>
      <c r="E219" s="55" t="n"/>
      <c r="F219" s="55" t="n"/>
      <c r="G219" s="55" t="n"/>
      <c r="H219" s="55" t="n"/>
      <c r="I219" s="56" t="n"/>
      <c r="J219" s="55" t="n"/>
      <c r="K219" s="57" t="n"/>
      <c r="L219" s="58" t="n"/>
      <c r="M219" s="59" t="n"/>
      <c r="N219" s="59" t="n"/>
      <c r="O219" s="58" t="n"/>
      <c r="P219" s="55" t="n"/>
      <c r="Q219" s="55" t="n"/>
    </row>
    <row r="220" ht="15.75" customHeight="1" s="99">
      <c r="A220" s="41" t="n">
        <v>217</v>
      </c>
      <c r="B220" s="45" t="n"/>
      <c r="C220" s="46" t="n"/>
      <c r="D220" s="47" t="n"/>
      <c r="E220" s="47" t="n"/>
      <c r="F220" s="47" t="n"/>
      <c r="G220" s="47" t="n"/>
      <c r="H220" s="47" t="n"/>
      <c r="I220" s="48" t="n"/>
      <c r="J220" s="47" t="n"/>
      <c r="K220" s="49" t="n"/>
      <c r="L220" s="50" t="n"/>
      <c r="M220" s="51" t="n"/>
      <c r="N220" s="51" t="n"/>
      <c r="O220" s="50" t="n"/>
      <c r="P220" s="47" t="n"/>
      <c r="Q220" s="47" t="n"/>
    </row>
    <row r="221" ht="15.75" customHeight="1" s="99">
      <c r="A221" s="43" t="n">
        <v>218</v>
      </c>
      <c r="B221" s="53" t="n"/>
      <c r="C221" s="54" t="n"/>
      <c r="D221" s="55" t="n"/>
      <c r="E221" s="55" t="n"/>
      <c r="F221" s="55" t="n"/>
      <c r="G221" s="55" t="n"/>
      <c r="H221" s="55" t="n"/>
      <c r="I221" s="56" t="n"/>
      <c r="J221" s="55" t="n"/>
      <c r="K221" s="57" t="n"/>
      <c r="L221" s="58" t="n"/>
      <c r="M221" s="59" t="n"/>
      <c r="N221" s="59" t="n"/>
      <c r="O221" s="58" t="n"/>
      <c r="P221" s="55" t="n"/>
      <c r="Q221" s="55" t="n"/>
    </row>
    <row r="222" ht="15.75" customHeight="1" s="99">
      <c r="A222" s="41" t="n">
        <v>219</v>
      </c>
      <c r="B222" s="45" t="n"/>
      <c r="C222" s="46" t="n"/>
      <c r="D222" s="47" t="n"/>
      <c r="E222" s="47" t="n"/>
      <c r="F222" s="47" t="n"/>
      <c r="G222" s="47" t="n"/>
      <c r="H222" s="47" t="n"/>
      <c r="I222" s="48" t="n"/>
      <c r="J222" s="47" t="n"/>
      <c r="K222" s="49" t="n"/>
      <c r="L222" s="50" t="n"/>
      <c r="M222" s="51" t="n"/>
      <c r="N222" s="51" t="n"/>
      <c r="O222" s="50" t="n"/>
      <c r="P222" s="47" t="n"/>
      <c r="Q222" s="47" t="n"/>
    </row>
    <row r="223" ht="15.75" customHeight="1" s="99">
      <c r="A223" s="43" t="n">
        <v>220</v>
      </c>
      <c r="B223" s="53" t="n"/>
      <c r="C223" s="54" t="n"/>
      <c r="D223" s="55" t="n"/>
      <c r="E223" s="55" t="n"/>
      <c r="F223" s="55" t="n"/>
      <c r="G223" s="55" t="n"/>
      <c r="H223" s="55" t="n"/>
      <c r="I223" s="56" t="n"/>
      <c r="J223" s="55" t="n"/>
      <c r="K223" s="57" t="n"/>
      <c r="L223" s="58" t="n"/>
      <c r="M223" s="59" t="n"/>
      <c r="N223" s="59" t="n"/>
      <c r="O223" s="58" t="n"/>
      <c r="P223" s="55" t="n"/>
      <c r="Q223" s="55" t="n"/>
    </row>
    <row r="224" ht="15.75" customHeight="1" s="99">
      <c r="A224" s="41" t="n">
        <v>221</v>
      </c>
      <c r="B224" s="45" t="n"/>
      <c r="C224" s="46" t="n"/>
      <c r="D224" s="47" t="n"/>
      <c r="E224" s="47" t="n"/>
      <c r="F224" s="47" t="n"/>
      <c r="G224" s="47" t="n"/>
      <c r="H224" s="47" t="n"/>
      <c r="I224" s="48" t="n"/>
      <c r="J224" s="47" t="n"/>
      <c r="K224" s="49" t="n"/>
      <c r="L224" s="50" t="n"/>
      <c r="M224" s="51" t="n"/>
      <c r="N224" s="51" t="n"/>
      <c r="O224" s="50" t="n"/>
      <c r="P224" s="47" t="n"/>
      <c r="Q224" s="47" t="n"/>
    </row>
    <row r="225" ht="15.75" customHeight="1" s="99">
      <c r="A225" s="43" t="n">
        <v>222</v>
      </c>
      <c r="B225" s="53" t="n"/>
      <c r="C225" s="54" t="n"/>
      <c r="D225" s="55" t="n"/>
      <c r="E225" s="55" t="n"/>
      <c r="F225" s="55" t="n"/>
      <c r="G225" s="55" t="n"/>
      <c r="H225" s="55" t="n"/>
      <c r="I225" s="56" t="n"/>
      <c r="J225" s="55" t="n"/>
      <c r="K225" s="57" t="n"/>
      <c r="L225" s="58" t="n"/>
      <c r="M225" s="59" t="n"/>
      <c r="N225" s="59" t="n"/>
      <c r="O225" s="58" t="n"/>
      <c r="P225" s="55" t="n"/>
      <c r="Q225" s="55" t="n"/>
    </row>
    <row r="226" ht="15.75" customHeight="1" s="99">
      <c r="A226" s="41" t="n">
        <v>223</v>
      </c>
      <c r="B226" s="45" t="n"/>
      <c r="C226" s="46" t="n"/>
      <c r="D226" s="47" t="n"/>
      <c r="E226" s="47" t="n"/>
      <c r="F226" s="47" t="n"/>
      <c r="G226" s="47" t="n"/>
      <c r="H226" s="47" t="n"/>
      <c r="I226" s="48" t="n"/>
      <c r="J226" s="47" t="n"/>
      <c r="K226" s="49" t="n"/>
      <c r="L226" s="50" t="n"/>
      <c r="M226" s="51" t="n"/>
      <c r="N226" s="51" t="n"/>
      <c r="O226" s="50" t="n"/>
      <c r="P226" s="47" t="n"/>
      <c r="Q226" s="47" t="n"/>
    </row>
    <row r="227" ht="15.75" customHeight="1" s="99">
      <c r="A227" s="43" t="n">
        <v>224</v>
      </c>
      <c r="B227" s="53" t="n"/>
      <c r="C227" s="54" t="n"/>
      <c r="D227" s="55" t="n"/>
      <c r="E227" s="55" t="n"/>
      <c r="F227" s="55" t="n"/>
      <c r="G227" s="55" t="n"/>
      <c r="H227" s="55" t="n"/>
      <c r="I227" s="56" t="n"/>
      <c r="J227" s="55" t="n"/>
      <c r="K227" s="57" t="n"/>
      <c r="L227" s="58" t="n"/>
      <c r="M227" s="59" t="n"/>
      <c r="N227" s="59" t="n"/>
      <c r="O227" s="58" t="n"/>
      <c r="P227" s="55" t="n"/>
      <c r="Q227" s="55" t="n"/>
    </row>
    <row r="228" ht="15.75" customHeight="1" s="99">
      <c r="A228" s="41" t="n">
        <v>225</v>
      </c>
      <c r="B228" s="45" t="n"/>
      <c r="C228" s="46" t="n"/>
      <c r="D228" s="47" t="n"/>
      <c r="E228" s="47" t="n"/>
      <c r="F228" s="47" t="n"/>
      <c r="G228" s="47" t="n"/>
      <c r="H228" s="47" t="n"/>
      <c r="I228" s="48" t="n"/>
      <c r="J228" s="47" t="n"/>
      <c r="K228" s="49" t="n"/>
      <c r="L228" s="50" t="n"/>
      <c r="M228" s="51" t="n"/>
      <c r="N228" s="51" t="n"/>
      <c r="O228" s="50" t="n"/>
      <c r="P228" s="47" t="n"/>
      <c r="Q228" s="47" t="n"/>
    </row>
    <row r="229" ht="15.75" customHeight="1" s="99">
      <c r="A229" s="43" t="n">
        <v>226</v>
      </c>
      <c r="B229" s="53" t="n"/>
      <c r="C229" s="54" t="n"/>
      <c r="D229" s="55" t="n"/>
      <c r="E229" s="55" t="n"/>
      <c r="F229" s="55" t="n"/>
      <c r="G229" s="55" t="n"/>
      <c r="H229" s="55" t="n"/>
      <c r="I229" s="56" t="n"/>
      <c r="J229" s="55" t="n"/>
      <c r="K229" s="57" t="n"/>
      <c r="L229" s="58" t="n"/>
      <c r="M229" s="59" t="n"/>
      <c r="N229" s="59" t="n"/>
      <c r="O229" s="58" t="n"/>
      <c r="P229" s="55" t="n"/>
      <c r="Q229" s="55" t="n"/>
    </row>
    <row r="230" ht="15.75" customHeight="1" s="99">
      <c r="A230" s="41" t="n">
        <v>227</v>
      </c>
      <c r="B230" s="45" t="n"/>
      <c r="C230" s="46" t="n"/>
      <c r="D230" s="47" t="n"/>
      <c r="E230" s="47" t="n"/>
      <c r="F230" s="47" t="n"/>
      <c r="G230" s="47" t="n"/>
      <c r="H230" s="47" t="n"/>
      <c r="I230" s="48" t="n"/>
      <c r="J230" s="47" t="n"/>
      <c r="K230" s="49" t="n"/>
      <c r="L230" s="50" t="n"/>
      <c r="M230" s="51" t="n"/>
      <c r="N230" s="51" t="n"/>
      <c r="O230" s="50" t="n"/>
      <c r="P230" s="47" t="n"/>
      <c r="Q230" s="47" t="n"/>
    </row>
    <row r="231" ht="15.75" customHeight="1" s="99">
      <c r="A231" s="43" t="n">
        <v>228</v>
      </c>
      <c r="B231" s="53" t="n"/>
      <c r="C231" s="54" t="n"/>
      <c r="D231" s="55" t="n"/>
      <c r="E231" s="55" t="n"/>
      <c r="F231" s="55" t="n"/>
      <c r="G231" s="55" t="n"/>
      <c r="H231" s="55" t="n"/>
      <c r="I231" s="56" t="n"/>
      <c r="J231" s="55" t="n"/>
      <c r="K231" s="57" t="n"/>
      <c r="L231" s="58" t="n"/>
      <c r="M231" s="59" t="n"/>
      <c r="N231" s="59" t="n"/>
      <c r="O231" s="58" t="n"/>
      <c r="P231" s="55" t="n"/>
      <c r="Q231" s="55" t="n"/>
    </row>
    <row r="232" ht="15.75" customHeight="1" s="99">
      <c r="A232" s="41" t="n">
        <v>229</v>
      </c>
      <c r="B232" s="45" t="n"/>
      <c r="C232" s="46" t="n"/>
      <c r="D232" s="47" t="n"/>
      <c r="E232" s="47" t="n"/>
      <c r="F232" s="47" t="n"/>
      <c r="G232" s="47" t="n"/>
      <c r="H232" s="47" t="n"/>
      <c r="I232" s="48" t="n"/>
      <c r="J232" s="47" t="n"/>
      <c r="K232" s="49" t="n"/>
      <c r="L232" s="50" t="n"/>
      <c r="M232" s="51" t="n"/>
      <c r="N232" s="51" t="n"/>
      <c r="O232" s="50" t="n"/>
      <c r="P232" s="47" t="n"/>
      <c r="Q232" s="47" t="n"/>
    </row>
    <row r="233" ht="15.75" customHeight="1" s="99">
      <c r="A233" s="43" t="n">
        <v>230</v>
      </c>
      <c r="B233" s="53" t="n"/>
      <c r="C233" s="54" t="n"/>
      <c r="D233" s="55" t="n"/>
      <c r="E233" s="55" t="n"/>
      <c r="F233" s="55" t="n"/>
      <c r="G233" s="55" t="n"/>
      <c r="H233" s="55" t="n"/>
      <c r="I233" s="56" t="n"/>
      <c r="J233" s="55" t="n"/>
      <c r="K233" s="57" t="n"/>
      <c r="L233" s="58" t="n"/>
      <c r="M233" s="59" t="n"/>
      <c r="N233" s="59" t="n"/>
      <c r="O233" s="58" t="n"/>
      <c r="P233" s="55" t="n"/>
      <c r="Q233" s="55" t="n"/>
    </row>
    <row r="234" ht="15.75" customHeight="1" s="99">
      <c r="A234" s="41" t="n">
        <v>231</v>
      </c>
      <c r="B234" s="45" t="n"/>
      <c r="C234" s="46" t="n"/>
      <c r="D234" s="47" t="n"/>
      <c r="E234" s="47" t="n"/>
      <c r="F234" s="47" t="n"/>
      <c r="G234" s="47" t="n"/>
      <c r="H234" s="47" t="n"/>
      <c r="I234" s="48" t="n"/>
      <c r="J234" s="47" t="n"/>
      <c r="K234" s="49" t="n"/>
      <c r="L234" s="50" t="n"/>
      <c r="M234" s="51" t="n"/>
      <c r="N234" s="51" t="n"/>
      <c r="O234" s="50" t="n"/>
      <c r="P234" s="47" t="n"/>
      <c r="Q234" s="47" t="n"/>
    </row>
    <row r="235" ht="15.75" customHeight="1" s="99">
      <c r="A235" s="43" t="n">
        <v>232</v>
      </c>
      <c r="B235" s="53" t="n"/>
      <c r="C235" s="54" t="n"/>
      <c r="D235" s="55" t="n"/>
      <c r="E235" s="55" t="n"/>
      <c r="F235" s="55" t="n"/>
      <c r="G235" s="55" t="n"/>
      <c r="H235" s="55" t="n"/>
      <c r="I235" s="56" t="n"/>
      <c r="J235" s="55" t="n"/>
      <c r="K235" s="57" t="n"/>
      <c r="L235" s="58" t="n"/>
      <c r="M235" s="59" t="n"/>
      <c r="N235" s="59" t="n"/>
      <c r="O235" s="58" t="n"/>
      <c r="P235" s="55" t="n"/>
      <c r="Q235" s="55" t="n"/>
    </row>
    <row r="236" ht="15.75" customHeight="1" s="99">
      <c r="A236" s="41" t="n">
        <v>233</v>
      </c>
      <c r="B236" s="45" t="n"/>
      <c r="C236" s="46" t="n"/>
      <c r="D236" s="47" t="n"/>
      <c r="E236" s="47" t="n"/>
      <c r="F236" s="47" t="n"/>
      <c r="G236" s="47" t="n"/>
      <c r="H236" s="47" t="n"/>
      <c r="I236" s="48" t="n"/>
      <c r="J236" s="47" t="n"/>
      <c r="K236" s="49" t="n"/>
      <c r="L236" s="50" t="n"/>
      <c r="M236" s="51" t="n"/>
      <c r="N236" s="51" t="n"/>
      <c r="O236" s="50" t="n"/>
      <c r="P236" s="47" t="n"/>
      <c r="Q236" s="47" t="n"/>
    </row>
    <row r="237" ht="15.75" customHeight="1" s="99">
      <c r="A237" s="43" t="n">
        <v>234</v>
      </c>
      <c r="B237" s="53" t="n"/>
      <c r="C237" s="54" t="n"/>
      <c r="D237" s="55" t="n"/>
      <c r="E237" s="55" t="n"/>
      <c r="F237" s="55" t="n"/>
      <c r="G237" s="55" t="n"/>
      <c r="H237" s="55" t="n"/>
      <c r="I237" s="56" t="n"/>
      <c r="J237" s="55" t="n"/>
      <c r="K237" s="57" t="n"/>
      <c r="L237" s="58" t="n"/>
      <c r="M237" s="59" t="n"/>
      <c r="N237" s="59" t="n"/>
      <c r="O237" s="58" t="n"/>
      <c r="P237" s="55" t="n"/>
      <c r="Q237" s="55" t="n"/>
    </row>
    <row r="238" ht="15.75" customHeight="1" s="99">
      <c r="A238" s="41" t="n">
        <v>235</v>
      </c>
      <c r="B238" s="45" t="n"/>
      <c r="C238" s="46" t="n"/>
      <c r="D238" s="47" t="n"/>
      <c r="E238" s="47" t="n"/>
      <c r="F238" s="47" t="n"/>
      <c r="G238" s="47" t="n"/>
      <c r="H238" s="47" t="n"/>
      <c r="I238" s="48" t="n"/>
      <c r="J238" s="47" t="n"/>
      <c r="K238" s="49" t="n"/>
      <c r="L238" s="50" t="n"/>
      <c r="M238" s="51" t="n"/>
      <c r="N238" s="51" t="n"/>
      <c r="O238" s="50" t="n"/>
      <c r="P238" s="47" t="n"/>
      <c r="Q238" s="47" t="n"/>
    </row>
    <row r="239" ht="15.75" customHeight="1" s="99">
      <c r="A239" s="43" t="n">
        <v>236</v>
      </c>
      <c r="B239" s="53" t="n"/>
      <c r="C239" s="54" t="n"/>
      <c r="D239" s="55" t="n"/>
      <c r="E239" s="55" t="n"/>
      <c r="F239" s="55" t="n"/>
      <c r="G239" s="55" t="n"/>
      <c r="H239" s="55" t="n"/>
      <c r="I239" s="56" t="n"/>
      <c r="J239" s="55" t="n"/>
      <c r="K239" s="57" t="n"/>
      <c r="L239" s="58" t="n"/>
      <c r="M239" s="59" t="n"/>
      <c r="N239" s="59" t="n"/>
      <c r="O239" s="58" t="n"/>
      <c r="P239" s="55" t="n"/>
      <c r="Q239" s="55" t="n"/>
    </row>
    <row r="240" ht="15.75" customHeight="1" s="99">
      <c r="A240" s="41" t="n">
        <v>237</v>
      </c>
      <c r="B240" s="45" t="n"/>
      <c r="C240" s="46" t="n"/>
      <c r="D240" s="47" t="n"/>
      <c r="E240" s="47" t="n"/>
      <c r="F240" s="47" t="n"/>
      <c r="G240" s="47" t="n"/>
      <c r="H240" s="47" t="n"/>
      <c r="I240" s="48" t="n"/>
      <c r="J240" s="47" t="n"/>
      <c r="K240" s="49" t="n"/>
      <c r="L240" s="50" t="n"/>
      <c r="M240" s="51" t="n"/>
      <c r="N240" s="51" t="n"/>
      <c r="O240" s="50" t="n"/>
      <c r="P240" s="47" t="n"/>
      <c r="Q240" s="47" t="n"/>
    </row>
    <row r="241" ht="15.75" customHeight="1" s="99">
      <c r="A241" s="43" t="n">
        <v>238</v>
      </c>
      <c r="B241" s="53" t="n"/>
      <c r="C241" s="54" t="n"/>
      <c r="D241" s="55" t="n"/>
      <c r="E241" s="55" t="n"/>
      <c r="F241" s="55" t="n"/>
      <c r="G241" s="55" t="n"/>
      <c r="H241" s="55" t="n"/>
      <c r="I241" s="56" t="n"/>
      <c r="J241" s="55" t="n"/>
      <c r="K241" s="57" t="n"/>
      <c r="L241" s="58" t="n"/>
      <c r="M241" s="59" t="n"/>
      <c r="N241" s="59" t="n"/>
      <c r="O241" s="58" t="n"/>
      <c r="P241" s="55" t="n"/>
      <c r="Q241" s="55" t="n"/>
    </row>
    <row r="242" ht="15.75" customHeight="1" s="99">
      <c r="A242" s="41" t="n">
        <v>239</v>
      </c>
      <c r="B242" s="45" t="n"/>
      <c r="C242" s="46" t="n"/>
      <c r="D242" s="47" t="n"/>
      <c r="E242" s="47" t="n"/>
      <c r="F242" s="47" t="n"/>
      <c r="G242" s="47" t="n"/>
      <c r="H242" s="47" t="n"/>
      <c r="I242" s="48" t="n"/>
      <c r="J242" s="47" t="n"/>
      <c r="K242" s="49" t="n"/>
      <c r="L242" s="50" t="n"/>
      <c r="M242" s="51" t="n"/>
      <c r="N242" s="51" t="n"/>
      <c r="O242" s="50" t="n"/>
      <c r="P242" s="47" t="n"/>
      <c r="Q242" s="47" t="n"/>
    </row>
    <row r="243" ht="15.75" customHeight="1" s="99">
      <c r="A243" s="43" t="n">
        <v>240</v>
      </c>
      <c r="B243" s="53" t="n"/>
      <c r="C243" s="54" t="n"/>
      <c r="D243" s="55" t="n"/>
      <c r="E243" s="55" t="n"/>
      <c r="F243" s="55" t="n"/>
      <c r="G243" s="55" t="n"/>
      <c r="H243" s="55" t="n"/>
      <c r="I243" s="56" t="n"/>
      <c r="J243" s="55" t="n"/>
      <c r="K243" s="57" t="n"/>
      <c r="L243" s="58" t="n"/>
      <c r="M243" s="59" t="n"/>
      <c r="N243" s="59" t="n"/>
      <c r="O243" s="58" t="n"/>
      <c r="P243" s="55" t="n"/>
      <c r="Q243" s="55" t="n"/>
    </row>
    <row r="244" ht="15.75" customHeight="1" s="99">
      <c r="A244" s="41" t="n">
        <v>241</v>
      </c>
      <c r="B244" s="45" t="n"/>
      <c r="C244" s="46" t="n"/>
      <c r="D244" s="47" t="n"/>
      <c r="E244" s="47" t="n"/>
      <c r="F244" s="47" t="n"/>
      <c r="G244" s="47" t="n"/>
      <c r="H244" s="47" t="n"/>
      <c r="I244" s="48" t="n"/>
      <c r="J244" s="47" t="n"/>
      <c r="K244" s="49" t="n"/>
      <c r="L244" s="50" t="n"/>
      <c r="M244" s="51" t="n"/>
      <c r="N244" s="51" t="n"/>
      <c r="O244" s="50" t="n"/>
      <c r="P244" s="47" t="n"/>
      <c r="Q244" s="47" t="n"/>
    </row>
    <row r="245" ht="15.75" customHeight="1" s="99">
      <c r="A245" s="43" t="n">
        <v>242</v>
      </c>
      <c r="B245" s="53" t="n"/>
      <c r="C245" s="54" t="n"/>
      <c r="D245" s="55" t="n"/>
      <c r="E245" s="55" t="n"/>
      <c r="F245" s="55" t="n"/>
      <c r="G245" s="55" t="n"/>
      <c r="H245" s="55" t="n"/>
      <c r="I245" s="56" t="n"/>
      <c r="J245" s="55" t="n"/>
      <c r="K245" s="57" t="n"/>
      <c r="L245" s="58" t="n"/>
      <c r="M245" s="59" t="n"/>
      <c r="N245" s="59" t="n"/>
      <c r="O245" s="58" t="n"/>
      <c r="P245" s="55" t="n"/>
      <c r="Q245" s="55" t="n"/>
    </row>
    <row r="246" ht="15.75" customHeight="1" s="99">
      <c r="A246" s="41" t="n">
        <v>243</v>
      </c>
      <c r="B246" s="45" t="n"/>
      <c r="C246" s="46" t="n"/>
      <c r="D246" s="47" t="n"/>
      <c r="E246" s="47" t="n"/>
      <c r="F246" s="47" t="n"/>
      <c r="G246" s="47" t="n"/>
      <c r="H246" s="47" t="n"/>
      <c r="I246" s="48" t="n"/>
      <c r="J246" s="47" t="n"/>
      <c r="K246" s="49" t="n"/>
      <c r="L246" s="50" t="n"/>
      <c r="M246" s="51" t="n"/>
      <c r="N246" s="51" t="n"/>
      <c r="O246" s="50" t="n"/>
      <c r="P246" s="47" t="n"/>
      <c r="Q246" s="47" t="n"/>
    </row>
    <row r="247" ht="15.75" customHeight="1" s="99">
      <c r="A247" s="43" t="n">
        <v>244</v>
      </c>
      <c r="B247" s="53" t="n"/>
      <c r="C247" s="54" t="n"/>
      <c r="D247" s="55" t="n"/>
      <c r="E247" s="55" t="n"/>
      <c r="F247" s="55" t="n"/>
      <c r="G247" s="55" t="n"/>
      <c r="H247" s="55" t="n"/>
      <c r="I247" s="56" t="n"/>
      <c r="J247" s="55" t="n"/>
      <c r="K247" s="57" t="n"/>
      <c r="L247" s="58" t="n"/>
      <c r="M247" s="59" t="n"/>
      <c r="N247" s="59" t="n"/>
      <c r="O247" s="58" t="n"/>
      <c r="P247" s="55" t="n"/>
      <c r="Q247" s="55" t="n"/>
    </row>
    <row r="248" ht="15.75" customHeight="1" s="99">
      <c r="A248" s="41" t="n">
        <v>245</v>
      </c>
      <c r="B248" s="45" t="n"/>
      <c r="C248" s="46" t="n"/>
      <c r="D248" s="47" t="n"/>
      <c r="E248" s="47" t="n"/>
      <c r="F248" s="47" t="n"/>
      <c r="G248" s="47" t="n"/>
      <c r="H248" s="47" t="n"/>
      <c r="I248" s="48" t="n"/>
      <c r="J248" s="47" t="n"/>
      <c r="K248" s="49" t="n"/>
      <c r="L248" s="50" t="n"/>
      <c r="M248" s="51" t="n"/>
      <c r="N248" s="51" t="n"/>
      <c r="O248" s="50" t="n"/>
      <c r="P248" s="47" t="n"/>
      <c r="Q248" s="47" t="n"/>
    </row>
    <row r="249" ht="15.75" customHeight="1" s="99">
      <c r="A249" s="43" t="n">
        <v>246</v>
      </c>
      <c r="B249" s="53" t="n"/>
      <c r="C249" s="54" t="n"/>
      <c r="D249" s="55" t="n"/>
      <c r="E249" s="55" t="n"/>
      <c r="F249" s="55" t="n"/>
      <c r="G249" s="55" t="n"/>
      <c r="H249" s="55" t="n"/>
      <c r="I249" s="56" t="n"/>
      <c r="J249" s="55" t="n"/>
      <c r="K249" s="57" t="n"/>
      <c r="L249" s="58" t="n"/>
      <c r="M249" s="59" t="n"/>
      <c r="N249" s="59" t="n"/>
      <c r="O249" s="58" t="n"/>
      <c r="P249" s="55" t="n"/>
      <c r="Q249" s="55" t="n"/>
    </row>
    <row r="250" ht="15.75" customHeight="1" s="99">
      <c r="A250" s="41" t="n">
        <v>247</v>
      </c>
      <c r="B250" s="45" t="n"/>
      <c r="C250" s="46" t="n"/>
      <c r="D250" s="47" t="n"/>
      <c r="E250" s="47" t="n"/>
      <c r="F250" s="47" t="n"/>
      <c r="G250" s="47" t="n"/>
      <c r="H250" s="47" t="n"/>
      <c r="I250" s="48" t="n"/>
      <c r="J250" s="47" t="n"/>
      <c r="K250" s="49" t="n"/>
      <c r="L250" s="50" t="n"/>
      <c r="M250" s="51" t="n"/>
      <c r="N250" s="51" t="n"/>
      <c r="O250" s="50" t="n"/>
      <c r="P250" s="47" t="n"/>
      <c r="Q250" s="47" t="n"/>
    </row>
    <row r="251" ht="15.75" customHeight="1" s="99">
      <c r="A251" s="43" t="n">
        <v>248</v>
      </c>
      <c r="B251" s="53" t="n"/>
      <c r="C251" s="54" t="n"/>
      <c r="D251" s="55" t="n"/>
      <c r="E251" s="55" t="n"/>
      <c r="F251" s="55" t="n"/>
      <c r="G251" s="55" t="n"/>
      <c r="H251" s="55" t="n"/>
      <c r="I251" s="56" t="n"/>
      <c r="J251" s="55" t="n"/>
      <c r="K251" s="57" t="n"/>
      <c r="L251" s="58" t="n"/>
      <c r="M251" s="59" t="n"/>
      <c r="N251" s="59" t="n"/>
      <c r="O251" s="58" t="n"/>
      <c r="P251" s="55" t="n"/>
      <c r="Q251" s="55" t="n"/>
    </row>
    <row r="252" ht="15.75" customHeight="1" s="99">
      <c r="A252" s="41" t="n">
        <v>249</v>
      </c>
      <c r="B252" s="45" t="n"/>
      <c r="C252" s="46" t="n"/>
      <c r="D252" s="47" t="n"/>
      <c r="E252" s="47" t="n"/>
      <c r="F252" s="47" t="n"/>
      <c r="G252" s="47" t="n"/>
      <c r="H252" s="47" t="n"/>
      <c r="I252" s="48" t="n"/>
      <c r="J252" s="47" t="n"/>
      <c r="K252" s="49" t="n"/>
      <c r="L252" s="50" t="n"/>
      <c r="M252" s="51" t="n"/>
      <c r="N252" s="51" t="n"/>
      <c r="O252" s="50" t="n"/>
      <c r="P252" s="47" t="n"/>
      <c r="Q252" s="47" t="n"/>
    </row>
    <row r="253" ht="15.75" customHeight="1" s="99">
      <c r="A253" s="43" t="n">
        <v>250</v>
      </c>
      <c r="B253" s="53" t="n"/>
      <c r="C253" s="54" t="n"/>
      <c r="D253" s="55" t="n"/>
      <c r="E253" s="55" t="n"/>
      <c r="F253" s="55" t="n"/>
      <c r="G253" s="55" t="n"/>
      <c r="H253" s="55" t="n"/>
      <c r="I253" s="56" t="n"/>
      <c r="J253" s="55" t="n"/>
      <c r="K253" s="57" t="n"/>
      <c r="L253" s="58" t="n"/>
      <c r="M253" s="59" t="n"/>
      <c r="N253" s="59" t="n"/>
      <c r="O253" s="58" t="n"/>
      <c r="P253" s="55" t="n"/>
      <c r="Q253" s="55" t="n"/>
    </row>
    <row r="254" ht="15.75" customHeight="1" s="99">
      <c r="A254" s="41" t="n">
        <v>251</v>
      </c>
      <c r="B254" s="45" t="n"/>
      <c r="C254" s="46" t="n"/>
      <c r="D254" s="47" t="n"/>
      <c r="E254" s="47" t="n"/>
      <c r="F254" s="47" t="n"/>
      <c r="G254" s="47" t="n"/>
      <c r="H254" s="47" t="n"/>
      <c r="I254" s="48" t="n"/>
      <c r="J254" s="47" t="n"/>
      <c r="K254" s="49" t="n"/>
      <c r="L254" s="50" t="n"/>
      <c r="M254" s="51" t="n"/>
      <c r="N254" s="51" t="n"/>
      <c r="O254" s="50" t="n"/>
      <c r="P254" s="47" t="n"/>
      <c r="Q254" s="47" t="n"/>
    </row>
    <row r="255" ht="15.75" customHeight="1" s="99">
      <c r="A255" s="43" t="n">
        <v>252</v>
      </c>
      <c r="B255" s="53" t="n"/>
      <c r="C255" s="54" t="n"/>
      <c r="D255" s="55" t="n"/>
      <c r="E255" s="55" t="n"/>
      <c r="F255" s="55" t="n"/>
      <c r="G255" s="55" t="n"/>
      <c r="H255" s="55" t="n"/>
      <c r="I255" s="56" t="n"/>
      <c r="J255" s="55" t="n"/>
      <c r="K255" s="57" t="n"/>
      <c r="L255" s="58" t="n"/>
      <c r="M255" s="59" t="n"/>
      <c r="N255" s="59" t="n"/>
      <c r="O255" s="58" t="n"/>
      <c r="P255" s="55" t="n"/>
      <c r="Q255" s="55" t="n"/>
    </row>
    <row r="256" ht="15.75" customHeight="1" s="99">
      <c r="A256" s="41" t="n">
        <v>253</v>
      </c>
      <c r="B256" s="45" t="n"/>
      <c r="C256" s="46" t="n"/>
      <c r="D256" s="47" t="n"/>
      <c r="E256" s="47" t="n"/>
      <c r="F256" s="47" t="n"/>
      <c r="G256" s="47" t="n"/>
      <c r="H256" s="47" t="n"/>
      <c r="I256" s="48" t="n"/>
      <c r="J256" s="47" t="n"/>
      <c r="K256" s="49" t="n"/>
      <c r="L256" s="50" t="n"/>
      <c r="M256" s="51" t="n"/>
      <c r="N256" s="51" t="n"/>
      <c r="O256" s="50" t="n"/>
      <c r="P256" s="47" t="n"/>
      <c r="Q256" s="47" t="n"/>
    </row>
    <row r="257" ht="15.75" customHeight="1" s="99">
      <c r="A257" s="43" t="n">
        <v>254</v>
      </c>
      <c r="B257" s="53" t="n"/>
      <c r="C257" s="54" t="n"/>
      <c r="D257" s="55" t="n"/>
      <c r="E257" s="55" t="n"/>
      <c r="F257" s="55" t="n"/>
      <c r="G257" s="55" t="n"/>
      <c r="H257" s="55" t="n"/>
      <c r="I257" s="56" t="n"/>
      <c r="J257" s="55" t="n"/>
      <c r="K257" s="57" t="n"/>
      <c r="L257" s="58" t="n"/>
      <c r="M257" s="59" t="n"/>
      <c r="N257" s="59" t="n"/>
      <c r="O257" s="58" t="n"/>
      <c r="P257" s="55" t="n"/>
      <c r="Q257" s="55" t="n"/>
    </row>
    <row r="258" ht="15.75" customHeight="1" s="99">
      <c r="A258" s="41" t="n">
        <v>255</v>
      </c>
      <c r="B258" s="45" t="n"/>
      <c r="C258" s="46" t="n"/>
      <c r="D258" s="47" t="n"/>
      <c r="E258" s="47" t="n"/>
      <c r="F258" s="47" t="n"/>
      <c r="G258" s="47" t="n"/>
      <c r="H258" s="47" t="n"/>
      <c r="I258" s="48" t="n"/>
      <c r="J258" s="47" t="n"/>
      <c r="K258" s="49" t="n"/>
      <c r="L258" s="50" t="n"/>
      <c r="M258" s="51" t="n"/>
      <c r="N258" s="51" t="n"/>
      <c r="O258" s="50" t="n"/>
      <c r="P258" s="47" t="n"/>
      <c r="Q258" s="47" t="n"/>
    </row>
    <row r="259" ht="15.75" customHeight="1" s="99">
      <c r="A259" s="43" t="n">
        <v>256</v>
      </c>
      <c r="B259" s="53" t="n"/>
      <c r="C259" s="54" t="n"/>
      <c r="D259" s="55" t="n"/>
      <c r="E259" s="55" t="n"/>
      <c r="F259" s="55" t="n"/>
      <c r="G259" s="55" t="n"/>
      <c r="H259" s="55" t="n"/>
      <c r="I259" s="56" t="n"/>
      <c r="J259" s="55" t="n"/>
      <c r="K259" s="57" t="n"/>
      <c r="L259" s="58" t="n"/>
      <c r="M259" s="59" t="n"/>
      <c r="N259" s="59" t="n"/>
      <c r="O259" s="58" t="n"/>
      <c r="P259" s="55" t="n"/>
      <c r="Q259" s="55" t="n"/>
    </row>
    <row r="260" ht="15.75" customHeight="1" s="99">
      <c r="A260" s="41" t="n">
        <v>257</v>
      </c>
      <c r="B260" s="45" t="n"/>
      <c r="C260" s="46" t="n"/>
      <c r="D260" s="47" t="n"/>
      <c r="E260" s="47" t="n"/>
      <c r="F260" s="47" t="n"/>
      <c r="G260" s="47" t="n"/>
      <c r="H260" s="47" t="n"/>
      <c r="I260" s="48" t="n"/>
      <c r="J260" s="47" t="n"/>
      <c r="K260" s="49" t="n"/>
      <c r="L260" s="50" t="n"/>
      <c r="M260" s="51" t="n"/>
      <c r="N260" s="51" t="n"/>
      <c r="O260" s="50" t="n"/>
      <c r="P260" s="47" t="n"/>
      <c r="Q260" s="47" t="n"/>
    </row>
    <row r="261" ht="15.75" customHeight="1" s="99">
      <c r="A261" s="43" t="n">
        <v>258</v>
      </c>
      <c r="B261" s="53" t="n"/>
      <c r="C261" s="54" t="n"/>
      <c r="D261" s="55" t="n"/>
      <c r="E261" s="55" t="n"/>
      <c r="F261" s="55" t="n"/>
      <c r="G261" s="55" t="n"/>
      <c r="H261" s="55" t="n"/>
      <c r="I261" s="56" t="n"/>
      <c r="J261" s="55" t="n"/>
      <c r="K261" s="57" t="n"/>
      <c r="L261" s="58" t="n"/>
      <c r="M261" s="59" t="n"/>
      <c r="N261" s="59" t="n"/>
      <c r="O261" s="58" t="n"/>
      <c r="P261" s="55" t="n"/>
      <c r="Q261" s="55" t="n"/>
    </row>
    <row r="262" ht="15.75" customHeight="1" s="99">
      <c r="A262" s="41" t="n">
        <v>259</v>
      </c>
      <c r="B262" s="45" t="n"/>
      <c r="C262" s="46" t="n"/>
      <c r="D262" s="47" t="n"/>
      <c r="E262" s="47" t="n"/>
      <c r="F262" s="47" t="n"/>
      <c r="G262" s="47" t="n"/>
      <c r="H262" s="47" t="n"/>
      <c r="I262" s="48" t="n"/>
      <c r="J262" s="47" t="n"/>
      <c r="K262" s="49" t="n"/>
      <c r="L262" s="50" t="n"/>
      <c r="M262" s="51" t="n"/>
      <c r="N262" s="51" t="n"/>
      <c r="O262" s="50" t="n"/>
      <c r="P262" s="47" t="n"/>
      <c r="Q262" s="47" t="n"/>
    </row>
    <row r="263" ht="15.75" customHeight="1" s="99">
      <c r="A263" s="43" t="n">
        <v>260</v>
      </c>
      <c r="B263" s="53" t="n"/>
      <c r="C263" s="54" t="n"/>
      <c r="D263" s="55" t="n"/>
      <c r="E263" s="55" t="n"/>
      <c r="F263" s="55" t="n"/>
      <c r="G263" s="55" t="n"/>
      <c r="H263" s="55" t="n"/>
      <c r="I263" s="56" t="n"/>
      <c r="J263" s="55" t="n"/>
      <c r="K263" s="57" t="n"/>
      <c r="L263" s="58" t="n"/>
      <c r="M263" s="59" t="n"/>
      <c r="N263" s="59" t="n"/>
      <c r="O263" s="58" t="n"/>
      <c r="P263" s="55" t="n"/>
      <c r="Q263" s="55" t="n"/>
    </row>
    <row r="264" ht="15.75" customHeight="1" s="99">
      <c r="A264" s="41" t="n">
        <v>261</v>
      </c>
      <c r="B264" s="45" t="n"/>
      <c r="C264" s="46" t="n"/>
      <c r="D264" s="47" t="n"/>
      <c r="E264" s="47" t="n"/>
      <c r="F264" s="47" t="n"/>
      <c r="G264" s="47" t="n"/>
      <c r="H264" s="47" t="n"/>
      <c r="I264" s="48" t="n"/>
      <c r="J264" s="47" t="n"/>
      <c r="K264" s="49" t="n"/>
      <c r="L264" s="50" t="n"/>
      <c r="M264" s="51" t="n"/>
      <c r="N264" s="51" t="n"/>
      <c r="O264" s="50" t="n"/>
      <c r="P264" s="47" t="n"/>
      <c r="Q264" s="47" t="n"/>
    </row>
    <row r="265" ht="15.75" customHeight="1" s="99">
      <c r="A265" s="43" t="n">
        <v>262</v>
      </c>
      <c r="B265" s="53" t="n"/>
      <c r="C265" s="54" t="n"/>
      <c r="D265" s="55" t="n"/>
      <c r="E265" s="55" t="n"/>
      <c r="F265" s="55" t="n"/>
      <c r="G265" s="55" t="n"/>
      <c r="H265" s="55" t="n"/>
      <c r="I265" s="56" t="n"/>
      <c r="J265" s="55" t="n"/>
      <c r="K265" s="57" t="n"/>
      <c r="L265" s="58" t="n"/>
      <c r="M265" s="59" t="n"/>
      <c r="N265" s="59" t="n"/>
      <c r="O265" s="58" t="n"/>
      <c r="P265" s="55" t="n"/>
      <c r="Q265" s="55" t="n"/>
    </row>
    <row r="266" ht="15.75" customHeight="1" s="99">
      <c r="A266" s="41" t="n">
        <v>263</v>
      </c>
      <c r="B266" s="45" t="n"/>
      <c r="C266" s="46" t="n"/>
      <c r="D266" s="47" t="n"/>
      <c r="E266" s="47" t="n"/>
      <c r="F266" s="47" t="n"/>
      <c r="G266" s="47" t="n"/>
      <c r="H266" s="47" t="n"/>
      <c r="I266" s="48" t="n"/>
      <c r="J266" s="47" t="n"/>
      <c r="K266" s="49" t="n"/>
      <c r="L266" s="50" t="n"/>
      <c r="M266" s="51" t="n"/>
      <c r="N266" s="51" t="n"/>
      <c r="O266" s="50" t="n"/>
      <c r="P266" s="47" t="n"/>
      <c r="Q266" s="47" t="n"/>
    </row>
    <row r="267" ht="15.75" customHeight="1" s="99">
      <c r="A267" s="43" t="n">
        <v>264</v>
      </c>
      <c r="B267" s="53" t="n"/>
      <c r="C267" s="54" t="n"/>
      <c r="D267" s="55" t="n"/>
      <c r="E267" s="55" t="n"/>
      <c r="F267" s="55" t="n"/>
      <c r="G267" s="55" t="n"/>
      <c r="H267" s="55" t="n"/>
      <c r="I267" s="56" t="n"/>
      <c r="J267" s="55" t="n"/>
      <c r="K267" s="57" t="n"/>
      <c r="L267" s="58" t="n"/>
      <c r="M267" s="59" t="n"/>
      <c r="N267" s="59" t="n"/>
      <c r="O267" s="58" t="n"/>
      <c r="P267" s="55" t="n"/>
      <c r="Q267" s="55" t="n"/>
    </row>
    <row r="268" ht="15.75" customHeight="1" s="99">
      <c r="A268" s="41" t="n">
        <v>265</v>
      </c>
      <c r="B268" s="45" t="n"/>
      <c r="C268" s="46" t="n"/>
      <c r="D268" s="47" t="n"/>
      <c r="E268" s="47" t="n"/>
      <c r="F268" s="47" t="n"/>
      <c r="G268" s="47" t="n"/>
      <c r="H268" s="47" t="n"/>
      <c r="I268" s="48" t="n"/>
      <c r="J268" s="47" t="n"/>
      <c r="K268" s="49" t="n"/>
      <c r="L268" s="50" t="n"/>
      <c r="M268" s="51" t="n"/>
      <c r="N268" s="51" t="n"/>
      <c r="O268" s="50" t="n"/>
      <c r="P268" s="47" t="n"/>
      <c r="Q268" s="47" t="n"/>
    </row>
    <row r="269" ht="15.75" customHeight="1" s="99">
      <c r="A269" s="43" t="n">
        <v>266</v>
      </c>
      <c r="B269" s="53" t="n"/>
      <c r="C269" s="54" t="n"/>
      <c r="D269" s="55" t="n"/>
      <c r="E269" s="55" t="n"/>
      <c r="F269" s="55" t="n"/>
      <c r="G269" s="55" t="n"/>
      <c r="H269" s="55" t="n"/>
      <c r="I269" s="56" t="n"/>
      <c r="J269" s="55" t="n"/>
      <c r="K269" s="57" t="n"/>
      <c r="L269" s="58" t="n"/>
      <c r="M269" s="59" t="n"/>
      <c r="N269" s="59" t="n"/>
      <c r="O269" s="58" t="n"/>
      <c r="P269" s="55" t="n"/>
      <c r="Q269" s="55" t="n"/>
    </row>
    <row r="270" ht="15.75" customHeight="1" s="99">
      <c r="A270" s="41" t="n">
        <v>267</v>
      </c>
      <c r="B270" s="45" t="n"/>
      <c r="C270" s="46" t="n"/>
      <c r="D270" s="47" t="n"/>
      <c r="E270" s="47" t="n"/>
      <c r="F270" s="47" t="n"/>
      <c r="G270" s="47" t="n"/>
      <c r="H270" s="47" t="n"/>
      <c r="I270" s="48" t="n"/>
      <c r="J270" s="47" t="n"/>
      <c r="K270" s="49" t="n"/>
      <c r="L270" s="50" t="n"/>
      <c r="M270" s="51" t="n"/>
      <c r="N270" s="51" t="n"/>
      <c r="O270" s="50" t="n"/>
      <c r="P270" s="47" t="n"/>
      <c r="Q270" s="47" t="n"/>
    </row>
    <row r="271" ht="15.75" customHeight="1" s="99">
      <c r="A271" s="43" t="n">
        <v>268</v>
      </c>
      <c r="B271" s="53" t="n"/>
      <c r="C271" s="54" t="n"/>
      <c r="D271" s="55" t="n"/>
      <c r="E271" s="55" t="n"/>
      <c r="F271" s="55" t="n"/>
      <c r="G271" s="55" t="n"/>
      <c r="H271" s="55" t="n"/>
      <c r="I271" s="56" t="n"/>
      <c r="J271" s="55" t="n"/>
      <c r="K271" s="57" t="n"/>
      <c r="L271" s="58" t="n"/>
      <c r="M271" s="59" t="n"/>
      <c r="N271" s="59" t="n"/>
      <c r="O271" s="58" t="n"/>
      <c r="P271" s="55" t="n"/>
      <c r="Q271" s="55" t="n"/>
    </row>
    <row r="272" ht="15.75" customHeight="1" s="99">
      <c r="A272" s="41" t="n">
        <v>269</v>
      </c>
      <c r="B272" s="45" t="n"/>
      <c r="C272" s="46" t="n"/>
      <c r="D272" s="47" t="n"/>
      <c r="E272" s="47" t="n"/>
      <c r="F272" s="47" t="n"/>
      <c r="G272" s="47" t="n"/>
      <c r="H272" s="47" t="n"/>
      <c r="I272" s="48" t="n"/>
      <c r="J272" s="47" t="n"/>
      <c r="K272" s="49" t="n"/>
      <c r="L272" s="50" t="n"/>
      <c r="M272" s="51" t="n"/>
      <c r="N272" s="51" t="n"/>
      <c r="O272" s="50" t="n"/>
      <c r="P272" s="47" t="n"/>
      <c r="Q272" s="47" t="n"/>
    </row>
    <row r="273" ht="15.75" customHeight="1" s="99">
      <c r="A273" s="43" t="n">
        <v>270</v>
      </c>
      <c r="B273" s="53" t="n"/>
      <c r="C273" s="54" t="n"/>
      <c r="D273" s="55" t="n"/>
      <c r="E273" s="55" t="n"/>
      <c r="F273" s="55" t="n"/>
      <c r="G273" s="55" t="n"/>
      <c r="H273" s="55" t="n"/>
      <c r="I273" s="56" t="n"/>
      <c r="J273" s="55" t="n"/>
      <c r="K273" s="57" t="n"/>
      <c r="L273" s="58" t="n"/>
      <c r="M273" s="59" t="n"/>
      <c r="N273" s="59" t="n"/>
      <c r="O273" s="58" t="n"/>
      <c r="P273" s="55" t="n"/>
      <c r="Q273" s="55" t="n"/>
    </row>
    <row r="274" ht="15.75" customHeight="1" s="99">
      <c r="A274" s="41" t="n">
        <v>271</v>
      </c>
      <c r="B274" s="45" t="n"/>
      <c r="C274" s="46" t="n"/>
      <c r="D274" s="47" t="n"/>
      <c r="E274" s="47" t="n"/>
      <c r="F274" s="47" t="n"/>
      <c r="G274" s="47" t="n"/>
      <c r="H274" s="47" t="n"/>
      <c r="I274" s="48" t="n"/>
      <c r="J274" s="47" t="n"/>
      <c r="K274" s="49" t="n"/>
      <c r="L274" s="50" t="n"/>
      <c r="M274" s="51" t="n"/>
      <c r="N274" s="51" t="n"/>
      <c r="O274" s="50" t="n"/>
      <c r="P274" s="47" t="n"/>
      <c r="Q274" s="47" t="n"/>
    </row>
    <row r="275" ht="15.75" customHeight="1" s="99">
      <c r="A275" s="43" t="n">
        <v>272</v>
      </c>
      <c r="B275" s="53" t="n"/>
      <c r="C275" s="54" t="n"/>
      <c r="D275" s="55" t="n"/>
      <c r="E275" s="55" t="n"/>
      <c r="F275" s="55" t="n"/>
      <c r="G275" s="55" t="n"/>
      <c r="H275" s="55" t="n"/>
      <c r="I275" s="56" t="n"/>
      <c r="J275" s="55" t="n"/>
      <c r="K275" s="57" t="n"/>
      <c r="L275" s="58" t="n"/>
      <c r="M275" s="59" t="n"/>
      <c r="N275" s="59" t="n"/>
      <c r="O275" s="58" t="n"/>
      <c r="P275" s="55" t="n"/>
      <c r="Q275" s="55" t="n"/>
    </row>
    <row r="276" ht="15.75" customHeight="1" s="99">
      <c r="A276" s="41" t="n">
        <v>273</v>
      </c>
      <c r="B276" s="45" t="n"/>
      <c r="C276" s="46" t="n"/>
      <c r="D276" s="47" t="n"/>
      <c r="E276" s="47" t="n"/>
      <c r="F276" s="47" t="n"/>
      <c r="G276" s="47" t="n"/>
      <c r="H276" s="47" t="n"/>
      <c r="I276" s="48" t="n"/>
      <c r="J276" s="47" t="n"/>
      <c r="K276" s="49" t="n"/>
      <c r="L276" s="50" t="n"/>
      <c r="M276" s="51" t="n"/>
      <c r="N276" s="51" t="n"/>
      <c r="O276" s="50" t="n"/>
      <c r="P276" s="47" t="n"/>
      <c r="Q276" s="47" t="n"/>
    </row>
    <row r="277" ht="15.75" customHeight="1" s="99">
      <c r="A277" s="43" t="n">
        <v>274</v>
      </c>
      <c r="B277" s="53" t="n"/>
      <c r="C277" s="54" t="n"/>
      <c r="D277" s="55" t="n"/>
      <c r="E277" s="55" t="n"/>
      <c r="F277" s="55" t="n"/>
      <c r="G277" s="55" t="n"/>
      <c r="H277" s="55" t="n"/>
      <c r="I277" s="56" t="n"/>
      <c r="J277" s="55" t="n"/>
      <c r="K277" s="57" t="n"/>
      <c r="L277" s="58" t="n"/>
      <c r="M277" s="59" t="n"/>
      <c r="N277" s="59" t="n"/>
      <c r="O277" s="58" t="n"/>
      <c r="P277" s="55" t="n"/>
      <c r="Q277" s="55" t="n"/>
    </row>
    <row r="278" ht="15.75" customHeight="1" s="99">
      <c r="A278" s="41" t="n">
        <v>275</v>
      </c>
      <c r="B278" s="45" t="n"/>
      <c r="C278" s="46" t="n"/>
      <c r="D278" s="47" t="n"/>
      <c r="E278" s="47" t="n"/>
      <c r="F278" s="47" t="n"/>
      <c r="G278" s="47" t="n"/>
      <c r="H278" s="47" t="n"/>
      <c r="I278" s="48" t="n"/>
      <c r="J278" s="47" t="n"/>
      <c r="K278" s="49" t="n"/>
      <c r="L278" s="50" t="n"/>
      <c r="M278" s="51" t="n"/>
      <c r="N278" s="51" t="n"/>
      <c r="O278" s="50" t="n"/>
      <c r="P278" s="47" t="n"/>
      <c r="Q278" s="47" t="n"/>
    </row>
    <row r="279" ht="15.75" customHeight="1" s="99">
      <c r="A279" s="43" t="n">
        <v>276</v>
      </c>
      <c r="B279" s="53" t="n"/>
      <c r="C279" s="54" t="n"/>
      <c r="D279" s="55" t="n"/>
      <c r="E279" s="55" t="n"/>
      <c r="F279" s="55" t="n"/>
      <c r="G279" s="55" t="n"/>
      <c r="H279" s="55" t="n"/>
      <c r="I279" s="56" t="n"/>
      <c r="J279" s="55" t="n"/>
      <c r="K279" s="57" t="n"/>
      <c r="L279" s="58" t="n"/>
      <c r="M279" s="59" t="n"/>
      <c r="N279" s="59" t="n"/>
      <c r="O279" s="58" t="n"/>
      <c r="P279" s="55" t="n"/>
      <c r="Q279" s="55" t="n"/>
    </row>
    <row r="280" ht="15.75" customHeight="1" s="99">
      <c r="A280" s="41" t="n">
        <v>277</v>
      </c>
      <c r="B280" s="45" t="n"/>
      <c r="C280" s="46" t="n"/>
      <c r="D280" s="47" t="n"/>
      <c r="E280" s="47" t="n"/>
      <c r="F280" s="47" t="n"/>
      <c r="G280" s="47" t="n"/>
      <c r="H280" s="47" t="n"/>
      <c r="I280" s="48" t="n"/>
      <c r="J280" s="47" t="n"/>
      <c r="K280" s="49" t="n"/>
      <c r="L280" s="50" t="n"/>
      <c r="M280" s="51" t="n"/>
      <c r="N280" s="51" t="n"/>
      <c r="O280" s="50" t="n"/>
      <c r="P280" s="47" t="n"/>
      <c r="Q280" s="47" t="n"/>
    </row>
    <row r="281" ht="15.75" customHeight="1" s="99">
      <c r="A281" s="43" t="n">
        <v>278</v>
      </c>
      <c r="B281" s="53" t="n"/>
      <c r="C281" s="54" t="n"/>
      <c r="D281" s="55" t="n"/>
      <c r="E281" s="55" t="n"/>
      <c r="F281" s="55" t="n"/>
      <c r="G281" s="55" t="n"/>
      <c r="H281" s="55" t="n"/>
      <c r="I281" s="56" t="n"/>
      <c r="J281" s="55" t="n"/>
      <c r="K281" s="57" t="n"/>
      <c r="L281" s="58" t="n"/>
      <c r="M281" s="59" t="n"/>
      <c r="N281" s="59" t="n"/>
      <c r="O281" s="58" t="n"/>
      <c r="P281" s="55" t="n"/>
      <c r="Q281" s="55" t="n"/>
    </row>
    <row r="282" ht="15.75" customHeight="1" s="99">
      <c r="A282" s="41" t="n">
        <v>279</v>
      </c>
      <c r="B282" s="45" t="n"/>
      <c r="C282" s="46" t="n"/>
      <c r="D282" s="47" t="n"/>
      <c r="E282" s="47" t="n"/>
      <c r="F282" s="47" t="n"/>
      <c r="G282" s="47" t="n"/>
      <c r="H282" s="47" t="n"/>
      <c r="I282" s="48" t="n"/>
      <c r="J282" s="47" t="n"/>
      <c r="K282" s="49" t="n"/>
      <c r="L282" s="50" t="n"/>
      <c r="M282" s="51" t="n"/>
      <c r="N282" s="51" t="n"/>
      <c r="O282" s="50" t="n"/>
      <c r="P282" s="47" t="n"/>
      <c r="Q282" s="47" t="n"/>
    </row>
    <row r="283" ht="15.75" customHeight="1" s="99">
      <c r="A283" s="43" t="n">
        <v>280</v>
      </c>
      <c r="B283" s="53" t="n"/>
      <c r="C283" s="54" t="n"/>
      <c r="D283" s="55" t="n"/>
      <c r="E283" s="55" t="n"/>
      <c r="F283" s="55" t="n"/>
      <c r="G283" s="55" t="n"/>
      <c r="H283" s="55" t="n"/>
      <c r="I283" s="56" t="n"/>
      <c r="J283" s="55" t="n"/>
      <c r="K283" s="57" t="n"/>
      <c r="L283" s="58" t="n"/>
      <c r="M283" s="59" t="n"/>
      <c r="N283" s="59" t="n"/>
      <c r="O283" s="58" t="n"/>
      <c r="P283" s="55" t="n"/>
      <c r="Q283" s="55" t="n"/>
    </row>
    <row r="284" ht="15.75" customHeight="1" s="99">
      <c r="A284" s="41" t="n">
        <v>281</v>
      </c>
      <c r="B284" s="45" t="n"/>
      <c r="C284" s="46" t="n"/>
      <c r="D284" s="47" t="n"/>
      <c r="E284" s="47" t="n"/>
      <c r="F284" s="47" t="n"/>
      <c r="G284" s="47" t="n"/>
      <c r="H284" s="47" t="n"/>
      <c r="I284" s="48" t="n"/>
      <c r="J284" s="47" t="n"/>
      <c r="K284" s="49" t="n"/>
      <c r="L284" s="50" t="n"/>
      <c r="M284" s="51" t="n"/>
      <c r="N284" s="51" t="n"/>
      <c r="O284" s="50" t="n"/>
      <c r="P284" s="47" t="n"/>
      <c r="Q284" s="47" t="n"/>
    </row>
    <row r="285" ht="15.75" customHeight="1" s="99">
      <c r="A285" s="43" t="n">
        <v>282</v>
      </c>
      <c r="B285" s="53" t="n"/>
      <c r="C285" s="54" t="n"/>
      <c r="D285" s="55" t="n"/>
      <c r="E285" s="55" t="n"/>
      <c r="F285" s="55" t="n"/>
      <c r="G285" s="55" t="n"/>
      <c r="H285" s="55" t="n"/>
      <c r="I285" s="56" t="n"/>
      <c r="J285" s="55" t="n"/>
      <c r="K285" s="57" t="n"/>
      <c r="L285" s="58" t="n"/>
      <c r="M285" s="59" t="n"/>
      <c r="N285" s="59" t="n"/>
      <c r="O285" s="58" t="n"/>
      <c r="P285" s="55" t="n"/>
      <c r="Q285" s="55" t="n"/>
    </row>
    <row r="286" ht="15.75" customHeight="1" s="99">
      <c r="A286" s="41" t="n">
        <v>283</v>
      </c>
      <c r="B286" s="45" t="n"/>
      <c r="C286" s="46" t="n"/>
      <c r="D286" s="47" t="n"/>
      <c r="E286" s="47" t="n"/>
      <c r="F286" s="47" t="n"/>
      <c r="G286" s="47" t="n"/>
      <c r="H286" s="47" t="n"/>
      <c r="I286" s="48" t="n"/>
      <c r="J286" s="47" t="n"/>
      <c r="K286" s="49" t="n"/>
      <c r="L286" s="50" t="n"/>
      <c r="M286" s="51" t="n"/>
      <c r="N286" s="51" t="n"/>
      <c r="O286" s="50" t="n"/>
      <c r="P286" s="47" t="n"/>
      <c r="Q286" s="47" t="n"/>
    </row>
    <row r="287" ht="15.75" customHeight="1" s="99">
      <c r="A287" s="43" t="n">
        <v>284</v>
      </c>
      <c r="B287" s="53" t="n"/>
      <c r="C287" s="54" t="n"/>
      <c r="D287" s="55" t="n"/>
      <c r="E287" s="55" t="n"/>
      <c r="F287" s="55" t="n"/>
      <c r="G287" s="55" t="n"/>
      <c r="H287" s="55" t="n"/>
      <c r="I287" s="56" t="n"/>
      <c r="J287" s="55" t="n"/>
      <c r="K287" s="57" t="n"/>
      <c r="L287" s="58" t="n"/>
      <c r="M287" s="59" t="n"/>
      <c r="N287" s="59" t="n"/>
      <c r="O287" s="58" t="n"/>
      <c r="P287" s="55" t="n"/>
      <c r="Q287" s="55" t="n"/>
    </row>
    <row r="288" ht="15.75" customHeight="1" s="99">
      <c r="A288" s="41" t="n">
        <v>285</v>
      </c>
      <c r="B288" s="45" t="n"/>
      <c r="C288" s="46" t="n"/>
      <c r="D288" s="47" t="n"/>
      <c r="E288" s="47" t="n"/>
      <c r="F288" s="47" t="n"/>
      <c r="G288" s="47" t="n"/>
      <c r="H288" s="47" t="n"/>
      <c r="I288" s="48" t="n"/>
      <c r="J288" s="47" t="n"/>
      <c r="K288" s="49" t="n"/>
      <c r="L288" s="50" t="n"/>
      <c r="M288" s="51" t="n"/>
      <c r="N288" s="51" t="n"/>
      <c r="O288" s="50" t="n"/>
      <c r="P288" s="47" t="n"/>
      <c r="Q288" s="47" t="n"/>
    </row>
    <row r="289" ht="15.75" customHeight="1" s="99">
      <c r="A289" s="43" t="n">
        <v>286</v>
      </c>
      <c r="B289" s="53" t="n"/>
      <c r="C289" s="54" t="n"/>
      <c r="D289" s="55" t="n"/>
      <c r="E289" s="55" t="n"/>
      <c r="F289" s="55" t="n"/>
      <c r="G289" s="55" t="n"/>
      <c r="H289" s="55" t="n"/>
      <c r="I289" s="56" t="n"/>
      <c r="J289" s="55" t="n"/>
      <c r="K289" s="57" t="n"/>
      <c r="L289" s="58" t="n"/>
      <c r="M289" s="59" t="n"/>
      <c r="N289" s="59" t="n"/>
      <c r="O289" s="58" t="n"/>
      <c r="P289" s="55" t="n"/>
      <c r="Q289" s="55" t="n"/>
    </row>
    <row r="290" ht="15.75" customHeight="1" s="99">
      <c r="A290" s="41" t="n">
        <v>287</v>
      </c>
      <c r="B290" s="45" t="n"/>
      <c r="C290" s="46" t="n"/>
      <c r="D290" s="47" t="n"/>
      <c r="E290" s="47" t="n"/>
      <c r="F290" s="47" t="n"/>
      <c r="G290" s="47" t="n"/>
      <c r="H290" s="47" t="n"/>
      <c r="I290" s="48" t="n"/>
      <c r="J290" s="47" t="n"/>
      <c r="K290" s="49" t="n"/>
      <c r="L290" s="50" t="n"/>
      <c r="M290" s="51" t="n"/>
      <c r="N290" s="51" t="n"/>
      <c r="O290" s="50" t="n"/>
      <c r="P290" s="47" t="n"/>
      <c r="Q290" s="47" t="n"/>
    </row>
    <row r="291" ht="15.75" customHeight="1" s="99">
      <c r="A291" s="43" t="n">
        <v>288</v>
      </c>
      <c r="B291" s="53" t="n"/>
      <c r="C291" s="54" t="n"/>
      <c r="D291" s="55" t="n"/>
      <c r="E291" s="55" t="n"/>
      <c r="F291" s="55" t="n"/>
      <c r="G291" s="55" t="n"/>
      <c r="H291" s="55" t="n"/>
      <c r="I291" s="56" t="n"/>
      <c r="J291" s="55" t="n"/>
      <c r="K291" s="57" t="n"/>
      <c r="L291" s="58" t="n"/>
      <c r="M291" s="59" t="n"/>
      <c r="N291" s="59" t="n"/>
      <c r="O291" s="58" t="n"/>
      <c r="P291" s="55" t="n"/>
      <c r="Q291" s="55" t="n"/>
    </row>
    <row r="292" ht="15.75" customHeight="1" s="99">
      <c r="A292" s="41" t="n">
        <v>289</v>
      </c>
      <c r="B292" s="45" t="n"/>
      <c r="C292" s="46" t="n"/>
      <c r="D292" s="47" t="n"/>
      <c r="E292" s="47" t="n"/>
      <c r="F292" s="47" t="n"/>
      <c r="G292" s="47" t="n"/>
      <c r="H292" s="47" t="n"/>
      <c r="I292" s="48" t="n"/>
      <c r="J292" s="47" t="n"/>
      <c r="K292" s="49" t="n"/>
      <c r="L292" s="50" t="n"/>
      <c r="M292" s="51" t="n"/>
      <c r="N292" s="51" t="n"/>
      <c r="O292" s="50" t="n"/>
      <c r="P292" s="47" t="n"/>
      <c r="Q292" s="47" t="n"/>
    </row>
    <row r="293" ht="15.75" customHeight="1" s="99">
      <c r="A293" s="43" t="n">
        <v>290</v>
      </c>
      <c r="B293" s="53" t="n"/>
      <c r="C293" s="54" t="n"/>
      <c r="D293" s="55" t="n"/>
      <c r="E293" s="55" t="n"/>
      <c r="F293" s="55" t="n"/>
      <c r="G293" s="55" t="n"/>
      <c r="H293" s="55" t="n"/>
      <c r="I293" s="56" t="n"/>
      <c r="J293" s="55" t="n"/>
      <c r="K293" s="57" t="n"/>
      <c r="L293" s="58" t="n"/>
      <c r="M293" s="59" t="n"/>
      <c r="N293" s="59" t="n"/>
      <c r="O293" s="58" t="n"/>
      <c r="P293" s="55" t="n"/>
      <c r="Q293" s="55" t="n"/>
    </row>
    <row r="294" ht="15.75" customHeight="1" s="99">
      <c r="A294" s="41" t="n">
        <v>291</v>
      </c>
      <c r="B294" s="45" t="n"/>
      <c r="C294" s="46" t="n"/>
      <c r="D294" s="47" t="n"/>
      <c r="E294" s="47" t="n"/>
      <c r="F294" s="47" t="n"/>
      <c r="G294" s="47" t="n"/>
      <c r="H294" s="47" t="n"/>
      <c r="I294" s="48" t="n"/>
      <c r="J294" s="47" t="n"/>
      <c r="K294" s="49" t="n"/>
      <c r="L294" s="50" t="n"/>
      <c r="M294" s="51" t="n"/>
      <c r="N294" s="51" t="n"/>
      <c r="O294" s="50" t="n"/>
      <c r="P294" s="47" t="n"/>
      <c r="Q294" s="47" t="n"/>
    </row>
    <row r="295" ht="15.75" customHeight="1" s="99">
      <c r="A295" s="43" t="n">
        <v>292</v>
      </c>
      <c r="B295" s="53" t="n"/>
      <c r="C295" s="54" t="n"/>
      <c r="D295" s="55" t="n"/>
      <c r="E295" s="55" t="n"/>
      <c r="F295" s="55" t="n"/>
      <c r="G295" s="55" t="n"/>
      <c r="H295" s="55" t="n"/>
      <c r="I295" s="56" t="n"/>
      <c r="J295" s="55" t="n"/>
      <c r="K295" s="57" t="n"/>
      <c r="L295" s="58" t="n"/>
      <c r="M295" s="59" t="n"/>
      <c r="N295" s="59" t="n"/>
      <c r="O295" s="58" t="n"/>
      <c r="P295" s="55" t="n"/>
      <c r="Q295" s="55" t="n"/>
    </row>
    <row r="296" ht="15.75" customHeight="1" s="99">
      <c r="A296" s="41" t="n">
        <v>293</v>
      </c>
      <c r="B296" s="45" t="n"/>
      <c r="C296" s="46" t="n"/>
      <c r="D296" s="47" t="n"/>
      <c r="E296" s="47" t="n"/>
      <c r="F296" s="47" t="n"/>
      <c r="G296" s="47" t="n"/>
      <c r="H296" s="47" t="n"/>
      <c r="I296" s="48" t="n"/>
      <c r="J296" s="47" t="n"/>
      <c r="K296" s="49" t="n"/>
      <c r="L296" s="50" t="n"/>
      <c r="M296" s="51" t="n"/>
      <c r="N296" s="51" t="n"/>
      <c r="O296" s="50" t="n"/>
      <c r="P296" s="47" t="n"/>
      <c r="Q296" s="47" t="n"/>
    </row>
    <row r="297" ht="15.75" customHeight="1" s="99">
      <c r="A297" s="43" t="n">
        <v>294</v>
      </c>
      <c r="B297" s="53" t="n"/>
      <c r="C297" s="54" t="n"/>
      <c r="D297" s="55" t="n"/>
      <c r="E297" s="55" t="n"/>
      <c r="F297" s="55" t="n"/>
      <c r="G297" s="55" t="n"/>
      <c r="H297" s="55" t="n"/>
      <c r="I297" s="56" t="n"/>
      <c r="J297" s="55" t="n"/>
      <c r="K297" s="57" t="n"/>
      <c r="L297" s="58" t="n"/>
      <c r="M297" s="59" t="n"/>
      <c r="N297" s="59" t="n"/>
      <c r="O297" s="58" t="n"/>
      <c r="P297" s="55" t="n"/>
      <c r="Q297" s="55" t="n"/>
    </row>
    <row r="298" ht="15.75" customHeight="1" s="99">
      <c r="A298" s="41" t="n">
        <v>295</v>
      </c>
      <c r="B298" s="45" t="n"/>
      <c r="C298" s="46" t="n"/>
      <c r="D298" s="47" t="n"/>
      <c r="E298" s="47" t="n"/>
      <c r="F298" s="47" t="n"/>
      <c r="G298" s="47" t="n"/>
      <c r="H298" s="47" t="n"/>
      <c r="I298" s="48" t="n"/>
      <c r="J298" s="47" t="n"/>
      <c r="K298" s="49" t="n"/>
      <c r="L298" s="50" t="n"/>
      <c r="M298" s="51" t="n"/>
      <c r="N298" s="51" t="n"/>
      <c r="O298" s="50" t="n"/>
      <c r="P298" s="47" t="n"/>
      <c r="Q298" s="47" t="n"/>
    </row>
    <row r="299" ht="15.75" customHeight="1" s="99">
      <c r="A299" s="43" t="n">
        <v>296</v>
      </c>
      <c r="B299" s="53" t="n"/>
      <c r="C299" s="54" t="n"/>
      <c r="D299" s="55" t="n"/>
      <c r="E299" s="55" t="n"/>
      <c r="F299" s="55" t="n"/>
      <c r="G299" s="55" t="n"/>
      <c r="H299" s="55" t="n"/>
      <c r="I299" s="56" t="n"/>
      <c r="J299" s="55" t="n"/>
      <c r="K299" s="57" t="n"/>
      <c r="L299" s="58" t="n"/>
      <c r="M299" s="59" t="n"/>
      <c r="N299" s="59" t="n"/>
      <c r="O299" s="58" t="n"/>
      <c r="P299" s="55" t="n"/>
      <c r="Q299" s="55" t="n"/>
    </row>
    <row r="300" ht="15.75" customHeight="1" s="99">
      <c r="A300" s="41" t="n">
        <v>297</v>
      </c>
      <c r="B300" s="45" t="n"/>
      <c r="C300" s="46" t="n"/>
      <c r="D300" s="47" t="n"/>
      <c r="E300" s="47" t="n"/>
      <c r="F300" s="47" t="n"/>
      <c r="G300" s="47" t="n"/>
      <c r="H300" s="47" t="n"/>
      <c r="I300" s="48" t="n"/>
      <c r="J300" s="47" t="n"/>
      <c r="K300" s="49" t="n"/>
      <c r="L300" s="50" t="n"/>
      <c r="M300" s="51" t="n"/>
      <c r="N300" s="51" t="n"/>
      <c r="O300" s="50" t="n"/>
      <c r="P300" s="47" t="n"/>
      <c r="Q300" s="47" t="n"/>
    </row>
    <row r="301" ht="15.75" customHeight="1" s="99">
      <c r="A301" s="43" t="n">
        <v>298</v>
      </c>
      <c r="B301" s="53" t="n"/>
      <c r="C301" s="54" t="n"/>
      <c r="D301" s="55" t="n"/>
      <c r="E301" s="55" t="n"/>
      <c r="F301" s="55" t="n"/>
      <c r="G301" s="55" t="n"/>
      <c r="H301" s="55" t="n"/>
      <c r="I301" s="56" t="n"/>
      <c r="J301" s="55" t="n"/>
      <c r="K301" s="57" t="n"/>
      <c r="L301" s="58" t="n"/>
      <c r="M301" s="59" t="n"/>
      <c r="N301" s="59" t="n"/>
      <c r="O301" s="58" t="n"/>
      <c r="P301" s="55" t="n"/>
      <c r="Q301" s="55" t="n"/>
    </row>
    <row r="302" ht="15.75" customHeight="1" s="99">
      <c r="A302" s="41" t="n">
        <v>299</v>
      </c>
      <c r="B302" s="45" t="n"/>
      <c r="C302" s="46" t="n"/>
      <c r="D302" s="47" t="n"/>
      <c r="E302" s="47" t="n"/>
      <c r="F302" s="47" t="n"/>
      <c r="G302" s="47" t="n"/>
      <c r="H302" s="47" t="n"/>
      <c r="I302" s="48" t="n"/>
      <c r="J302" s="47" t="n"/>
      <c r="K302" s="49" t="n"/>
      <c r="L302" s="50" t="n"/>
      <c r="M302" s="51" t="n"/>
      <c r="N302" s="51" t="n"/>
      <c r="O302" s="50" t="n"/>
      <c r="P302" s="47" t="n"/>
      <c r="Q302" s="47" t="n"/>
    </row>
    <row r="303" ht="15.75" customHeight="1" s="99">
      <c r="A303" s="43" t="n">
        <v>300</v>
      </c>
      <c r="B303" s="53" t="n"/>
      <c r="C303" s="54" t="n"/>
      <c r="D303" s="55" t="n"/>
      <c r="E303" s="55" t="n"/>
      <c r="F303" s="55" t="n"/>
      <c r="G303" s="55" t="n"/>
      <c r="H303" s="55" t="n"/>
      <c r="I303" s="56" t="n"/>
      <c r="J303" s="55" t="n"/>
      <c r="K303" s="57" t="n"/>
      <c r="L303" s="58" t="n"/>
      <c r="M303" s="59" t="n"/>
      <c r="N303" s="59" t="n"/>
      <c r="O303" s="58" t="n"/>
      <c r="P303" s="55" t="n"/>
      <c r="Q303" s="55" t="n"/>
    </row>
    <row r="304" ht="15.75" customHeight="1" s="99">
      <c r="A304" s="41" t="n">
        <v>301</v>
      </c>
      <c r="B304" s="45" t="n"/>
      <c r="C304" s="46" t="n"/>
      <c r="D304" s="47" t="n"/>
      <c r="E304" s="47" t="n"/>
      <c r="F304" s="47" t="n"/>
      <c r="G304" s="47" t="n"/>
      <c r="H304" s="47" t="n"/>
      <c r="I304" s="48" t="n"/>
      <c r="J304" s="47" t="n"/>
      <c r="K304" s="49" t="n"/>
      <c r="L304" s="50" t="n"/>
      <c r="M304" s="51" t="n"/>
      <c r="N304" s="51" t="n"/>
      <c r="O304" s="50" t="n"/>
      <c r="P304" s="47" t="n"/>
      <c r="Q304" s="47" t="n"/>
    </row>
    <row r="305" ht="15.75" customHeight="1" s="99">
      <c r="A305" s="43" t="n">
        <v>302</v>
      </c>
      <c r="B305" s="53" t="n"/>
      <c r="C305" s="54" t="n"/>
      <c r="D305" s="55" t="n"/>
      <c r="E305" s="55" t="n"/>
      <c r="F305" s="55" t="n"/>
      <c r="G305" s="55" t="n"/>
      <c r="H305" s="55" t="n"/>
      <c r="I305" s="56" t="n"/>
      <c r="J305" s="55" t="n"/>
      <c r="K305" s="57" t="n"/>
      <c r="L305" s="58" t="n"/>
      <c r="M305" s="59" t="n"/>
      <c r="N305" s="59" t="n"/>
      <c r="O305" s="58" t="n"/>
      <c r="P305" s="55" t="n"/>
      <c r="Q305" s="55" t="n"/>
    </row>
    <row r="306" ht="15.75" customHeight="1" s="99">
      <c r="A306" s="41" t="n">
        <v>303</v>
      </c>
      <c r="B306" s="45" t="n"/>
      <c r="C306" s="46" t="n"/>
      <c r="D306" s="47" t="n"/>
      <c r="E306" s="47" t="n"/>
      <c r="F306" s="47" t="n"/>
      <c r="G306" s="47" t="n"/>
      <c r="H306" s="47" t="n"/>
      <c r="I306" s="48" t="n"/>
      <c r="J306" s="47" t="n"/>
      <c r="K306" s="49" t="n"/>
      <c r="L306" s="50" t="n"/>
      <c r="M306" s="51" t="n"/>
      <c r="N306" s="51" t="n"/>
      <c r="O306" s="50" t="n"/>
      <c r="P306" s="47" t="n"/>
      <c r="Q306" s="47" t="n"/>
    </row>
    <row r="307" ht="15.75" customHeight="1" s="99">
      <c r="A307" s="43" t="n">
        <v>304</v>
      </c>
      <c r="B307" s="53" t="n"/>
      <c r="C307" s="54" t="n"/>
      <c r="D307" s="55" t="n"/>
      <c r="E307" s="55" t="n"/>
      <c r="F307" s="55" t="n"/>
      <c r="G307" s="55" t="n"/>
      <c r="H307" s="55" t="n"/>
      <c r="I307" s="56" t="n"/>
      <c r="J307" s="55" t="n"/>
      <c r="K307" s="57" t="n"/>
      <c r="L307" s="58" t="n"/>
      <c r="M307" s="59" t="n"/>
      <c r="N307" s="59" t="n"/>
      <c r="O307" s="58" t="n"/>
      <c r="P307" s="55" t="n"/>
      <c r="Q307" s="55" t="n"/>
    </row>
    <row r="308" ht="15.75" customHeight="1" s="99">
      <c r="A308" s="41" t="n">
        <v>305</v>
      </c>
      <c r="B308" s="45" t="n"/>
      <c r="C308" s="46" t="n"/>
      <c r="D308" s="47" t="n"/>
      <c r="E308" s="47" t="n"/>
      <c r="F308" s="47" t="n"/>
      <c r="G308" s="47" t="n"/>
      <c r="H308" s="47" t="n"/>
      <c r="I308" s="48" t="n"/>
      <c r="J308" s="47" t="n"/>
      <c r="K308" s="49" t="n"/>
      <c r="L308" s="50" t="n"/>
      <c r="M308" s="51" t="n"/>
      <c r="N308" s="51" t="n"/>
      <c r="O308" s="50" t="n"/>
      <c r="P308" s="47" t="n"/>
      <c r="Q308" s="47" t="n"/>
    </row>
    <row r="309" ht="15.75" customHeight="1" s="99">
      <c r="A309" s="43" t="n">
        <v>306</v>
      </c>
      <c r="B309" s="53" t="n"/>
      <c r="C309" s="54" t="n"/>
      <c r="D309" s="55" t="n"/>
      <c r="E309" s="55" t="n"/>
      <c r="F309" s="55" t="n"/>
      <c r="G309" s="55" t="n"/>
      <c r="H309" s="55" t="n"/>
      <c r="I309" s="56" t="n"/>
      <c r="J309" s="55" t="n"/>
      <c r="K309" s="57" t="n"/>
      <c r="L309" s="58" t="n"/>
      <c r="M309" s="59" t="n"/>
      <c r="N309" s="59" t="n"/>
      <c r="O309" s="58" t="n"/>
      <c r="P309" s="55" t="n"/>
      <c r="Q309" s="55" t="n"/>
    </row>
    <row r="310" ht="15.75" customHeight="1" s="99">
      <c r="A310" s="41" t="n">
        <v>307</v>
      </c>
      <c r="B310" s="45" t="n"/>
      <c r="C310" s="46" t="n"/>
      <c r="D310" s="47" t="n"/>
      <c r="E310" s="47" t="n"/>
      <c r="F310" s="47" t="n"/>
      <c r="G310" s="47" t="n"/>
      <c r="H310" s="47" t="n"/>
      <c r="I310" s="48" t="n"/>
      <c r="J310" s="47" t="n"/>
      <c r="K310" s="49" t="n"/>
      <c r="L310" s="50" t="n"/>
      <c r="M310" s="51" t="n"/>
      <c r="N310" s="51" t="n"/>
      <c r="O310" s="50" t="n"/>
      <c r="P310" s="47" t="n"/>
      <c r="Q310" s="47" t="n"/>
    </row>
    <row r="311" ht="15.75" customHeight="1" s="99">
      <c r="A311" s="43" t="n">
        <v>308</v>
      </c>
      <c r="B311" s="53" t="n"/>
      <c r="C311" s="54" t="n"/>
      <c r="D311" s="55" t="n"/>
      <c r="E311" s="55" t="n"/>
      <c r="F311" s="55" t="n"/>
      <c r="G311" s="55" t="n"/>
      <c r="H311" s="55" t="n"/>
      <c r="I311" s="56" t="n"/>
      <c r="J311" s="55" t="n"/>
      <c r="K311" s="57" t="n"/>
      <c r="L311" s="58" t="n"/>
      <c r="M311" s="59" t="n"/>
      <c r="N311" s="59" t="n"/>
      <c r="O311" s="58" t="n"/>
      <c r="P311" s="55" t="n"/>
      <c r="Q311" s="55" t="n"/>
    </row>
    <row r="312" ht="15.75" customHeight="1" s="99">
      <c r="A312" s="41" t="n">
        <v>309</v>
      </c>
      <c r="B312" s="45" t="n"/>
      <c r="C312" s="46" t="n"/>
      <c r="D312" s="47" t="n"/>
      <c r="E312" s="47" t="n"/>
      <c r="F312" s="47" t="n"/>
      <c r="G312" s="47" t="n"/>
      <c r="H312" s="47" t="n"/>
      <c r="I312" s="48" t="n"/>
      <c r="J312" s="47" t="n"/>
      <c r="K312" s="49" t="n"/>
      <c r="L312" s="50" t="n"/>
      <c r="M312" s="51" t="n"/>
      <c r="N312" s="51" t="n"/>
      <c r="O312" s="50" t="n"/>
      <c r="P312" s="47" t="n"/>
      <c r="Q312" s="47" t="n"/>
    </row>
    <row r="313" ht="15.75" customHeight="1" s="99">
      <c r="A313" s="43" t="n">
        <v>310</v>
      </c>
      <c r="B313" s="53" t="n"/>
      <c r="C313" s="54" t="n"/>
      <c r="D313" s="55" t="n"/>
      <c r="E313" s="55" t="n"/>
      <c r="F313" s="55" t="n"/>
      <c r="G313" s="55" t="n"/>
      <c r="H313" s="55" t="n"/>
      <c r="I313" s="56" t="n"/>
      <c r="J313" s="55" t="n"/>
      <c r="K313" s="57" t="n"/>
      <c r="L313" s="58" t="n"/>
      <c r="M313" s="59" t="n"/>
      <c r="N313" s="59" t="n"/>
      <c r="O313" s="58" t="n"/>
      <c r="P313" s="55" t="n"/>
      <c r="Q313" s="55" t="n"/>
    </row>
    <row r="314" ht="15.75" customHeight="1" s="99">
      <c r="A314" s="41" t="n">
        <v>311</v>
      </c>
      <c r="B314" s="45" t="n"/>
      <c r="C314" s="46" t="n"/>
      <c r="D314" s="47" t="n"/>
      <c r="E314" s="47" t="n"/>
      <c r="F314" s="47" t="n"/>
      <c r="G314" s="47" t="n"/>
      <c r="H314" s="47" t="n"/>
      <c r="I314" s="48" t="n"/>
      <c r="J314" s="47" t="n"/>
      <c r="K314" s="49" t="n"/>
      <c r="L314" s="50" t="n"/>
      <c r="M314" s="51" t="n"/>
      <c r="N314" s="51" t="n"/>
      <c r="O314" s="50" t="n"/>
      <c r="P314" s="47" t="n"/>
      <c r="Q314" s="47" t="n"/>
    </row>
    <row r="315" ht="15.75" customHeight="1" s="99">
      <c r="A315" s="43" t="n">
        <v>312</v>
      </c>
      <c r="B315" s="53" t="n"/>
      <c r="C315" s="54" t="n"/>
      <c r="D315" s="55" t="n"/>
      <c r="E315" s="55" t="n"/>
      <c r="F315" s="55" t="n"/>
      <c r="G315" s="55" t="n"/>
      <c r="H315" s="55" t="n"/>
      <c r="I315" s="56" t="n"/>
      <c r="J315" s="55" t="n"/>
      <c r="K315" s="57" t="n"/>
      <c r="L315" s="58" t="n"/>
      <c r="M315" s="59" t="n"/>
      <c r="N315" s="59" t="n"/>
      <c r="O315" s="58" t="n"/>
      <c r="P315" s="55" t="n"/>
      <c r="Q315" s="55" t="n"/>
    </row>
    <row r="316" ht="15.75" customHeight="1" s="99">
      <c r="A316" s="41" t="n">
        <v>313</v>
      </c>
      <c r="B316" s="45" t="n"/>
      <c r="C316" s="46" t="n"/>
      <c r="D316" s="47" t="n"/>
      <c r="E316" s="47" t="n"/>
      <c r="F316" s="47" t="n"/>
      <c r="G316" s="47" t="n"/>
      <c r="H316" s="47" t="n"/>
      <c r="I316" s="48" t="n"/>
      <c r="J316" s="47" t="n"/>
      <c r="K316" s="49" t="n"/>
      <c r="L316" s="50" t="n"/>
      <c r="M316" s="51" t="n"/>
      <c r="N316" s="51" t="n"/>
      <c r="O316" s="50" t="n"/>
      <c r="P316" s="47" t="n"/>
      <c r="Q316" s="47" t="n"/>
    </row>
    <row r="317" ht="15.75" customHeight="1" s="99">
      <c r="A317" s="43" t="n">
        <v>314</v>
      </c>
      <c r="B317" s="53" t="n"/>
      <c r="C317" s="54" t="n"/>
      <c r="D317" s="55" t="n"/>
      <c r="E317" s="55" t="n"/>
      <c r="F317" s="55" t="n"/>
      <c r="G317" s="55" t="n"/>
      <c r="H317" s="55" t="n"/>
      <c r="I317" s="56" t="n"/>
      <c r="J317" s="55" t="n"/>
      <c r="K317" s="57" t="n"/>
      <c r="L317" s="58" t="n"/>
      <c r="M317" s="59" t="n"/>
      <c r="N317" s="59" t="n"/>
      <c r="O317" s="58" t="n"/>
      <c r="P317" s="55" t="n"/>
      <c r="Q317" s="55" t="n"/>
    </row>
    <row r="318" ht="15.75" customHeight="1" s="99">
      <c r="A318" s="41" t="n">
        <v>315</v>
      </c>
      <c r="B318" s="45" t="n"/>
      <c r="C318" s="46" t="n"/>
      <c r="D318" s="47" t="n"/>
      <c r="E318" s="47" t="n"/>
      <c r="F318" s="47" t="n"/>
      <c r="G318" s="47" t="n"/>
      <c r="H318" s="47" t="n"/>
      <c r="I318" s="48" t="n"/>
      <c r="J318" s="47" t="n"/>
      <c r="K318" s="49" t="n"/>
      <c r="L318" s="50" t="n"/>
      <c r="M318" s="51" t="n"/>
      <c r="N318" s="51" t="n"/>
      <c r="O318" s="50" t="n"/>
      <c r="P318" s="47" t="n"/>
      <c r="Q318" s="47" t="n"/>
    </row>
    <row r="319" ht="15.75" customHeight="1" s="99">
      <c r="A319" s="43" t="n">
        <v>316</v>
      </c>
      <c r="B319" s="53" t="n"/>
      <c r="C319" s="54" t="n"/>
      <c r="D319" s="55" t="n"/>
      <c r="E319" s="55" t="n"/>
      <c r="F319" s="55" t="n"/>
      <c r="G319" s="55" t="n"/>
      <c r="H319" s="55" t="n"/>
      <c r="I319" s="56" t="n"/>
      <c r="J319" s="55" t="n"/>
      <c r="K319" s="57" t="n"/>
      <c r="L319" s="58" t="n"/>
      <c r="M319" s="59" t="n"/>
      <c r="N319" s="59" t="n"/>
      <c r="O319" s="58" t="n"/>
      <c r="P319" s="55" t="n"/>
      <c r="Q319" s="55" t="n"/>
    </row>
    <row r="320" ht="15.75" customHeight="1" s="99">
      <c r="A320" s="41" t="n">
        <v>317</v>
      </c>
      <c r="B320" s="45" t="n"/>
      <c r="C320" s="46" t="n"/>
      <c r="D320" s="47" t="n"/>
      <c r="E320" s="47" t="n"/>
      <c r="F320" s="47" t="n"/>
      <c r="G320" s="47" t="n"/>
      <c r="H320" s="47" t="n"/>
      <c r="I320" s="48" t="n"/>
      <c r="J320" s="47" t="n"/>
      <c r="K320" s="49" t="n"/>
      <c r="L320" s="50" t="n"/>
      <c r="M320" s="51" t="n"/>
      <c r="N320" s="51" t="n"/>
      <c r="O320" s="50" t="n"/>
      <c r="P320" s="47" t="n"/>
      <c r="Q320" s="47" t="n"/>
    </row>
    <row r="321" ht="15.75" customHeight="1" s="99">
      <c r="A321" s="43" t="n">
        <v>318</v>
      </c>
      <c r="B321" s="53" t="n"/>
      <c r="C321" s="54" t="n"/>
      <c r="D321" s="55" t="n"/>
      <c r="E321" s="55" t="n"/>
      <c r="F321" s="55" t="n"/>
      <c r="G321" s="55" t="n"/>
      <c r="H321" s="55" t="n"/>
      <c r="I321" s="56" t="n"/>
      <c r="J321" s="55" t="n"/>
      <c r="K321" s="57" t="n"/>
      <c r="L321" s="58" t="n"/>
      <c r="M321" s="59" t="n"/>
      <c r="N321" s="59" t="n"/>
      <c r="O321" s="58" t="n"/>
      <c r="P321" s="55" t="n"/>
      <c r="Q321" s="55" t="n"/>
    </row>
    <row r="322" ht="15.75" customHeight="1" s="99">
      <c r="A322" s="41" t="n">
        <v>319</v>
      </c>
      <c r="B322" s="45" t="n"/>
      <c r="C322" s="46" t="n"/>
      <c r="D322" s="47" t="n"/>
      <c r="E322" s="47" t="n"/>
      <c r="F322" s="47" t="n"/>
      <c r="G322" s="47" t="n"/>
      <c r="H322" s="47" t="n"/>
      <c r="I322" s="48" t="n"/>
      <c r="J322" s="47" t="n"/>
      <c r="K322" s="49" t="n"/>
      <c r="L322" s="50" t="n"/>
      <c r="M322" s="51" t="n"/>
      <c r="N322" s="51" t="n"/>
      <c r="O322" s="50" t="n"/>
      <c r="P322" s="47" t="n"/>
      <c r="Q322" s="47" t="n"/>
    </row>
    <row r="323" ht="15.75" customHeight="1" s="99">
      <c r="A323" s="43" t="n">
        <v>320</v>
      </c>
      <c r="B323" s="53" t="n"/>
      <c r="C323" s="54" t="n"/>
      <c r="D323" s="55" t="n"/>
      <c r="E323" s="55" t="n"/>
      <c r="F323" s="55" t="n"/>
      <c r="G323" s="55" t="n"/>
      <c r="H323" s="55" t="n"/>
      <c r="I323" s="56" t="n"/>
      <c r="J323" s="55" t="n"/>
      <c r="K323" s="57" t="n"/>
      <c r="L323" s="58" t="n"/>
      <c r="M323" s="59" t="n"/>
      <c r="N323" s="59" t="n"/>
      <c r="O323" s="58" t="n"/>
      <c r="P323" s="55" t="n"/>
      <c r="Q323" s="55" t="n"/>
    </row>
    <row r="324" ht="15.75" customHeight="1" s="99">
      <c r="A324" s="41" t="n">
        <v>321</v>
      </c>
      <c r="B324" s="45" t="n"/>
      <c r="C324" s="46" t="n"/>
      <c r="D324" s="47" t="n"/>
      <c r="E324" s="47" t="n"/>
      <c r="F324" s="47" t="n"/>
      <c r="G324" s="47" t="n"/>
      <c r="H324" s="47" t="n"/>
      <c r="I324" s="48" t="n"/>
      <c r="J324" s="47" t="n"/>
      <c r="K324" s="49" t="n"/>
      <c r="L324" s="50" t="n"/>
      <c r="M324" s="51" t="n"/>
      <c r="N324" s="51" t="n"/>
      <c r="O324" s="50" t="n"/>
      <c r="P324" s="47" t="n"/>
      <c r="Q324" s="47" t="n"/>
    </row>
    <row r="325" ht="15.75" customHeight="1" s="99">
      <c r="A325" s="43" t="n">
        <v>322</v>
      </c>
      <c r="B325" s="53" t="n"/>
      <c r="C325" s="54" t="n"/>
      <c r="D325" s="55" t="n"/>
      <c r="E325" s="55" t="n"/>
      <c r="F325" s="55" t="n"/>
      <c r="G325" s="55" t="n"/>
      <c r="H325" s="55" t="n"/>
      <c r="I325" s="56" t="n"/>
      <c r="J325" s="55" t="n"/>
      <c r="K325" s="57" t="n"/>
      <c r="L325" s="58" t="n"/>
      <c r="M325" s="59" t="n"/>
      <c r="N325" s="59" t="n"/>
      <c r="O325" s="58" t="n"/>
      <c r="P325" s="55" t="n"/>
      <c r="Q325" s="55" t="n"/>
    </row>
    <row r="326" ht="15.75" customHeight="1" s="99">
      <c r="A326" s="41" t="n">
        <v>323</v>
      </c>
      <c r="B326" s="45" t="n"/>
      <c r="C326" s="46" t="n"/>
      <c r="D326" s="47" t="n"/>
      <c r="E326" s="47" t="n"/>
      <c r="F326" s="47" t="n"/>
      <c r="G326" s="47" t="n"/>
      <c r="H326" s="47" t="n"/>
      <c r="I326" s="48" t="n"/>
      <c r="J326" s="47" t="n"/>
      <c r="K326" s="49" t="n"/>
      <c r="L326" s="50" t="n"/>
      <c r="M326" s="51" t="n"/>
      <c r="N326" s="51" t="n"/>
      <c r="O326" s="50" t="n"/>
      <c r="P326" s="47" t="n"/>
      <c r="Q326" s="47" t="n"/>
    </row>
    <row r="327" ht="15.75" customHeight="1" s="99">
      <c r="A327" s="43" t="n">
        <v>324</v>
      </c>
      <c r="B327" s="53" t="n"/>
      <c r="C327" s="54" t="n"/>
      <c r="D327" s="55" t="n"/>
      <c r="E327" s="55" t="n"/>
      <c r="F327" s="55" t="n"/>
      <c r="G327" s="55" t="n"/>
      <c r="H327" s="55" t="n"/>
      <c r="I327" s="56" t="n"/>
      <c r="J327" s="55" t="n"/>
      <c r="K327" s="57" t="n"/>
      <c r="L327" s="58" t="n"/>
      <c r="M327" s="59" t="n"/>
      <c r="N327" s="59" t="n"/>
      <c r="O327" s="58" t="n"/>
      <c r="P327" s="55" t="n"/>
      <c r="Q327" s="55" t="n"/>
    </row>
    <row r="328" ht="15.75" customHeight="1" s="99">
      <c r="A328" s="41" t="n">
        <v>325</v>
      </c>
      <c r="B328" s="45" t="n"/>
      <c r="C328" s="46" t="n"/>
      <c r="D328" s="47" t="n"/>
      <c r="E328" s="47" t="n"/>
      <c r="F328" s="47" t="n"/>
      <c r="G328" s="47" t="n"/>
      <c r="H328" s="47" t="n"/>
      <c r="I328" s="48" t="n"/>
      <c r="J328" s="47" t="n"/>
      <c r="K328" s="49" t="n"/>
      <c r="L328" s="50" t="n"/>
      <c r="M328" s="51" t="n"/>
      <c r="N328" s="51" t="n"/>
      <c r="O328" s="50" t="n"/>
      <c r="P328" s="47" t="n"/>
      <c r="Q328" s="47" t="n"/>
    </row>
    <row r="329" ht="15.75" customHeight="1" s="99">
      <c r="A329" s="43" t="n">
        <v>326</v>
      </c>
      <c r="B329" s="53" t="n"/>
      <c r="C329" s="54" t="n"/>
      <c r="D329" s="55" t="n"/>
      <c r="E329" s="55" t="n"/>
      <c r="F329" s="55" t="n"/>
      <c r="G329" s="55" t="n"/>
      <c r="H329" s="55" t="n"/>
      <c r="I329" s="56" t="n"/>
      <c r="J329" s="55" t="n"/>
      <c r="K329" s="57" t="n"/>
      <c r="L329" s="58" t="n"/>
      <c r="M329" s="59" t="n"/>
      <c r="N329" s="59" t="n"/>
      <c r="O329" s="58" t="n"/>
      <c r="P329" s="55" t="n"/>
      <c r="Q329" s="55" t="n"/>
    </row>
    <row r="330" ht="15.75" customHeight="1" s="99">
      <c r="A330" s="41" t="n">
        <v>327</v>
      </c>
      <c r="B330" s="45" t="n"/>
      <c r="C330" s="46" t="n"/>
      <c r="D330" s="47" t="n"/>
      <c r="E330" s="47" t="n"/>
      <c r="F330" s="47" t="n"/>
      <c r="G330" s="47" t="n"/>
      <c r="H330" s="47" t="n"/>
      <c r="I330" s="48" t="n"/>
      <c r="J330" s="47" t="n"/>
      <c r="K330" s="49" t="n"/>
      <c r="L330" s="50" t="n"/>
      <c r="M330" s="51" t="n"/>
      <c r="N330" s="51" t="n"/>
      <c r="O330" s="50" t="n"/>
      <c r="P330" s="47" t="n"/>
      <c r="Q330" s="47" t="n"/>
    </row>
    <row r="331" ht="15.75" customHeight="1" s="99">
      <c r="A331" s="43" t="n">
        <v>328</v>
      </c>
      <c r="B331" s="53" t="n"/>
      <c r="C331" s="54" t="n"/>
      <c r="D331" s="55" t="n"/>
      <c r="E331" s="55" t="n"/>
      <c r="F331" s="55" t="n"/>
      <c r="G331" s="55" t="n"/>
      <c r="H331" s="55" t="n"/>
      <c r="I331" s="56" t="n"/>
      <c r="J331" s="55" t="n"/>
      <c r="K331" s="57" t="n"/>
      <c r="L331" s="58" t="n"/>
      <c r="M331" s="59" t="n"/>
      <c r="N331" s="59" t="n"/>
      <c r="O331" s="58" t="n"/>
      <c r="P331" s="55" t="n"/>
      <c r="Q331" s="55" t="n"/>
    </row>
    <row r="332" ht="15.75" customHeight="1" s="99">
      <c r="A332" s="41" t="n">
        <v>329</v>
      </c>
      <c r="B332" s="45" t="n"/>
      <c r="C332" s="46" t="n"/>
      <c r="D332" s="47" t="n"/>
      <c r="E332" s="47" t="n"/>
      <c r="F332" s="47" t="n"/>
      <c r="G332" s="47" t="n"/>
      <c r="H332" s="47" t="n"/>
      <c r="I332" s="48" t="n"/>
      <c r="J332" s="47" t="n"/>
      <c r="K332" s="49" t="n"/>
      <c r="L332" s="50" t="n"/>
      <c r="M332" s="51" t="n"/>
      <c r="N332" s="51" t="n"/>
      <c r="O332" s="50" t="n"/>
      <c r="P332" s="47" t="n"/>
      <c r="Q332" s="47" t="n"/>
    </row>
    <row r="333" ht="15.75" customHeight="1" s="99">
      <c r="A333" s="43" t="n">
        <v>330</v>
      </c>
      <c r="B333" s="53" t="n"/>
      <c r="C333" s="54" t="n"/>
      <c r="D333" s="55" t="n"/>
      <c r="E333" s="55" t="n"/>
      <c r="F333" s="55" t="n"/>
      <c r="G333" s="55" t="n"/>
      <c r="H333" s="55" t="n"/>
      <c r="I333" s="56" t="n"/>
      <c r="J333" s="55" t="n"/>
      <c r="K333" s="57" t="n"/>
      <c r="L333" s="58" t="n"/>
      <c r="M333" s="59" t="n"/>
      <c r="N333" s="59" t="n"/>
      <c r="O333" s="58" t="n"/>
      <c r="P333" s="55" t="n"/>
      <c r="Q333" s="55" t="n"/>
    </row>
    <row r="334" ht="15.75" customHeight="1" s="99">
      <c r="A334" s="41" t="n">
        <v>331</v>
      </c>
      <c r="B334" s="45" t="n"/>
      <c r="C334" s="46" t="n"/>
      <c r="D334" s="47" t="n"/>
      <c r="E334" s="47" t="n"/>
      <c r="F334" s="47" t="n"/>
      <c r="G334" s="47" t="n"/>
      <c r="H334" s="47" t="n"/>
      <c r="I334" s="48" t="n"/>
      <c r="J334" s="47" t="n"/>
      <c r="K334" s="49" t="n"/>
      <c r="L334" s="50" t="n"/>
      <c r="M334" s="51" t="n"/>
      <c r="N334" s="51" t="n"/>
      <c r="O334" s="50" t="n"/>
      <c r="P334" s="47" t="n"/>
      <c r="Q334" s="47" t="n"/>
    </row>
    <row r="335" ht="15.75" customHeight="1" s="99">
      <c r="A335" s="43" t="n">
        <v>332</v>
      </c>
      <c r="B335" s="53" t="n"/>
      <c r="C335" s="54" t="n"/>
      <c r="D335" s="55" t="n"/>
      <c r="E335" s="55" t="n"/>
      <c r="F335" s="55" t="n"/>
      <c r="G335" s="55" t="n"/>
      <c r="H335" s="55" t="n"/>
      <c r="I335" s="56" t="n"/>
      <c r="J335" s="55" t="n"/>
      <c r="K335" s="57" t="n"/>
      <c r="L335" s="58" t="n"/>
      <c r="M335" s="59" t="n"/>
      <c r="N335" s="59" t="n"/>
      <c r="O335" s="58" t="n"/>
      <c r="P335" s="55" t="n"/>
      <c r="Q335" s="55" t="n"/>
    </row>
    <row r="336" ht="15.75" customHeight="1" s="99">
      <c r="A336" s="41" t="n">
        <v>333</v>
      </c>
      <c r="B336" s="45" t="n"/>
      <c r="C336" s="46" t="n"/>
      <c r="D336" s="47" t="n"/>
      <c r="E336" s="47" t="n"/>
      <c r="F336" s="47" t="n"/>
      <c r="G336" s="47" t="n"/>
      <c r="H336" s="47" t="n"/>
      <c r="I336" s="48" t="n"/>
      <c r="J336" s="47" t="n"/>
      <c r="K336" s="49" t="n"/>
      <c r="L336" s="50" t="n"/>
      <c r="M336" s="51" t="n"/>
      <c r="N336" s="51" t="n"/>
      <c r="O336" s="50" t="n"/>
      <c r="P336" s="47" t="n"/>
      <c r="Q336" s="47" t="n"/>
    </row>
    <row r="337" ht="15.75" customHeight="1" s="99">
      <c r="A337" s="43" t="n">
        <v>334</v>
      </c>
      <c r="B337" s="53" t="n"/>
      <c r="C337" s="54" t="n"/>
      <c r="D337" s="55" t="n"/>
      <c r="E337" s="55" t="n"/>
      <c r="F337" s="55" t="n"/>
      <c r="G337" s="55" t="n"/>
      <c r="H337" s="55" t="n"/>
      <c r="I337" s="56" t="n"/>
      <c r="J337" s="55" t="n"/>
      <c r="K337" s="57" t="n"/>
      <c r="L337" s="58" t="n"/>
      <c r="M337" s="59" t="n"/>
      <c r="N337" s="59" t="n"/>
      <c r="O337" s="58" t="n"/>
      <c r="P337" s="55" t="n"/>
      <c r="Q337" s="55" t="n"/>
    </row>
    <row r="338" ht="15.75" customHeight="1" s="99">
      <c r="A338" s="41" t="n">
        <v>335</v>
      </c>
      <c r="B338" s="45" t="n"/>
      <c r="C338" s="46" t="n"/>
      <c r="D338" s="47" t="n"/>
      <c r="E338" s="47" t="n"/>
      <c r="F338" s="47" t="n"/>
      <c r="G338" s="47" t="n"/>
      <c r="H338" s="47" t="n"/>
      <c r="I338" s="48" t="n"/>
      <c r="J338" s="47" t="n"/>
      <c r="K338" s="49" t="n"/>
      <c r="L338" s="50" t="n"/>
      <c r="M338" s="51" t="n"/>
      <c r="N338" s="51" t="n"/>
      <c r="O338" s="50" t="n"/>
      <c r="P338" s="47" t="n"/>
      <c r="Q338" s="47" t="n"/>
    </row>
    <row r="339" ht="15.75" customHeight="1" s="99">
      <c r="A339" s="43" t="n">
        <v>336</v>
      </c>
      <c r="B339" s="53" t="n"/>
      <c r="C339" s="54" t="n"/>
      <c r="D339" s="55" t="n"/>
      <c r="E339" s="55" t="n"/>
      <c r="F339" s="55" t="n"/>
      <c r="G339" s="55" t="n"/>
      <c r="H339" s="55" t="n"/>
      <c r="I339" s="56" t="n"/>
      <c r="J339" s="55" t="n"/>
      <c r="K339" s="57" t="n"/>
      <c r="L339" s="58" t="n"/>
      <c r="M339" s="59" t="n"/>
      <c r="N339" s="59" t="n"/>
      <c r="O339" s="58" t="n"/>
      <c r="P339" s="55" t="n"/>
      <c r="Q339" s="55" t="n"/>
    </row>
    <row r="340" ht="15.75" customHeight="1" s="99">
      <c r="A340" s="41" t="n">
        <v>337</v>
      </c>
      <c r="B340" s="45" t="n"/>
      <c r="C340" s="46" t="n"/>
      <c r="D340" s="47" t="n"/>
      <c r="E340" s="47" t="n"/>
      <c r="F340" s="47" t="n"/>
      <c r="G340" s="47" t="n"/>
      <c r="H340" s="47" t="n"/>
      <c r="I340" s="48" t="n"/>
      <c r="J340" s="47" t="n"/>
      <c r="K340" s="49" t="n"/>
      <c r="L340" s="50" t="n"/>
      <c r="M340" s="51" t="n"/>
      <c r="N340" s="51" t="n"/>
      <c r="O340" s="50" t="n"/>
      <c r="P340" s="47" t="n"/>
      <c r="Q340" s="47" t="n"/>
    </row>
    <row r="341" ht="15.75" customHeight="1" s="99">
      <c r="A341" s="43" t="n">
        <v>338</v>
      </c>
      <c r="B341" s="53" t="n"/>
      <c r="C341" s="54" t="n"/>
      <c r="D341" s="55" t="n"/>
      <c r="E341" s="55" t="n"/>
      <c r="F341" s="55" t="n"/>
      <c r="G341" s="55" t="n"/>
      <c r="H341" s="55" t="n"/>
      <c r="I341" s="56" t="n"/>
      <c r="J341" s="55" t="n"/>
      <c r="K341" s="57" t="n"/>
      <c r="L341" s="58" t="n"/>
      <c r="M341" s="59" t="n"/>
      <c r="N341" s="59" t="n"/>
      <c r="O341" s="58" t="n"/>
      <c r="P341" s="55" t="n"/>
      <c r="Q341" s="55" t="n"/>
    </row>
    <row r="342" ht="15.75" customHeight="1" s="99">
      <c r="A342" s="41" t="n">
        <v>339</v>
      </c>
      <c r="B342" s="45" t="n"/>
      <c r="C342" s="46" t="n"/>
      <c r="D342" s="47" t="n"/>
      <c r="E342" s="47" t="n"/>
      <c r="F342" s="47" t="n"/>
      <c r="G342" s="47" t="n"/>
      <c r="H342" s="47" t="n"/>
      <c r="I342" s="48" t="n"/>
      <c r="J342" s="47" t="n"/>
      <c r="K342" s="49" t="n"/>
      <c r="L342" s="50" t="n"/>
      <c r="M342" s="51" t="n"/>
      <c r="N342" s="51" t="n"/>
      <c r="O342" s="50" t="n"/>
      <c r="P342" s="47" t="n"/>
      <c r="Q342" s="47" t="n"/>
    </row>
    <row r="343" ht="15.75" customHeight="1" s="99">
      <c r="A343" s="43" t="n">
        <v>340</v>
      </c>
      <c r="B343" s="53" t="n"/>
      <c r="C343" s="54" t="n"/>
      <c r="D343" s="55" t="n"/>
      <c r="E343" s="55" t="n"/>
      <c r="F343" s="55" t="n"/>
      <c r="G343" s="55" t="n"/>
      <c r="H343" s="55" t="n"/>
      <c r="I343" s="56" t="n"/>
      <c r="J343" s="55" t="n"/>
      <c r="K343" s="57" t="n"/>
      <c r="L343" s="58" t="n"/>
      <c r="M343" s="59" t="n"/>
      <c r="N343" s="59" t="n"/>
      <c r="O343" s="58" t="n"/>
      <c r="P343" s="55" t="n"/>
      <c r="Q343" s="55" t="n"/>
    </row>
    <row r="344" ht="15.75" customHeight="1" s="99">
      <c r="A344" s="41" t="n">
        <v>341</v>
      </c>
      <c r="B344" s="45" t="n"/>
      <c r="C344" s="46" t="n"/>
      <c r="D344" s="47" t="n"/>
      <c r="E344" s="47" t="n"/>
      <c r="F344" s="47" t="n"/>
      <c r="G344" s="47" t="n"/>
      <c r="H344" s="47" t="n"/>
      <c r="I344" s="48" t="n"/>
      <c r="J344" s="47" t="n"/>
      <c r="K344" s="49" t="n"/>
      <c r="L344" s="50" t="n"/>
      <c r="M344" s="51" t="n"/>
      <c r="N344" s="51" t="n"/>
      <c r="O344" s="50" t="n"/>
      <c r="P344" s="47" t="n"/>
      <c r="Q344" s="47" t="n"/>
    </row>
    <row r="345" ht="15.75" customHeight="1" s="99">
      <c r="A345" s="43" t="n">
        <v>342</v>
      </c>
      <c r="B345" s="53" t="n"/>
      <c r="C345" s="54" t="n"/>
      <c r="D345" s="55" t="n"/>
      <c r="E345" s="55" t="n"/>
      <c r="F345" s="55" t="n"/>
      <c r="G345" s="55" t="n"/>
      <c r="H345" s="55" t="n"/>
      <c r="I345" s="56" t="n"/>
      <c r="J345" s="55" t="n"/>
      <c r="K345" s="57" t="n"/>
      <c r="L345" s="58" t="n"/>
      <c r="M345" s="59" t="n"/>
      <c r="N345" s="59" t="n"/>
      <c r="O345" s="58" t="n"/>
      <c r="P345" s="55" t="n"/>
      <c r="Q345" s="55" t="n"/>
    </row>
    <row r="346" ht="15.75" customHeight="1" s="99">
      <c r="A346" s="41" t="n">
        <v>343</v>
      </c>
      <c r="B346" s="45" t="n"/>
      <c r="C346" s="46" t="n"/>
      <c r="D346" s="47" t="n"/>
      <c r="E346" s="47" t="n"/>
      <c r="F346" s="47" t="n"/>
      <c r="G346" s="47" t="n"/>
      <c r="H346" s="47" t="n"/>
      <c r="I346" s="48" t="n"/>
      <c r="J346" s="47" t="n"/>
      <c r="K346" s="49" t="n"/>
      <c r="L346" s="50" t="n"/>
      <c r="M346" s="51" t="n"/>
      <c r="N346" s="51" t="n"/>
      <c r="O346" s="50" t="n"/>
      <c r="P346" s="47" t="n"/>
      <c r="Q346" s="47" t="n"/>
    </row>
    <row r="347" ht="15.75" customHeight="1" s="99">
      <c r="A347" s="43" t="n">
        <v>344</v>
      </c>
      <c r="B347" s="53" t="n"/>
      <c r="C347" s="54" t="n"/>
      <c r="D347" s="55" t="n"/>
      <c r="E347" s="55" t="n"/>
      <c r="F347" s="55" t="n"/>
      <c r="G347" s="55" t="n"/>
      <c r="H347" s="55" t="n"/>
      <c r="I347" s="56" t="n"/>
      <c r="J347" s="55" t="n"/>
      <c r="K347" s="57" t="n"/>
      <c r="L347" s="58" t="n"/>
      <c r="M347" s="59" t="n"/>
      <c r="N347" s="59" t="n"/>
      <c r="O347" s="58" t="n"/>
      <c r="P347" s="55" t="n"/>
      <c r="Q347" s="55" t="n"/>
    </row>
    <row r="348" ht="15.75" customHeight="1" s="99">
      <c r="A348" s="41" t="n">
        <v>345</v>
      </c>
      <c r="B348" s="45" t="n"/>
      <c r="C348" s="46" t="n"/>
      <c r="D348" s="47" t="n"/>
      <c r="E348" s="47" t="n"/>
      <c r="F348" s="47" t="n"/>
      <c r="G348" s="47" t="n"/>
      <c r="H348" s="47" t="n"/>
      <c r="I348" s="48" t="n"/>
      <c r="J348" s="47" t="n"/>
      <c r="K348" s="49" t="n"/>
      <c r="L348" s="50" t="n"/>
      <c r="M348" s="51" t="n"/>
      <c r="N348" s="51" t="n"/>
      <c r="O348" s="50" t="n"/>
      <c r="P348" s="47" t="n"/>
      <c r="Q348" s="47" t="n"/>
    </row>
    <row r="349" ht="15.75" customHeight="1" s="99">
      <c r="A349" s="43" t="n">
        <v>346</v>
      </c>
      <c r="B349" s="53" t="n"/>
      <c r="C349" s="54" t="n"/>
      <c r="D349" s="55" t="n"/>
      <c r="E349" s="55" t="n"/>
      <c r="F349" s="55" t="n"/>
      <c r="G349" s="55" t="n"/>
      <c r="H349" s="55" t="n"/>
      <c r="I349" s="56" t="n"/>
      <c r="J349" s="55" t="n"/>
      <c r="K349" s="57" t="n"/>
      <c r="L349" s="58" t="n"/>
      <c r="M349" s="59" t="n"/>
      <c r="N349" s="59" t="n"/>
      <c r="O349" s="58" t="n"/>
      <c r="P349" s="55" t="n"/>
      <c r="Q349" s="55" t="n"/>
    </row>
    <row r="350" ht="15.75" customHeight="1" s="99">
      <c r="A350" s="41" t="n">
        <v>347</v>
      </c>
      <c r="B350" s="45" t="n"/>
      <c r="C350" s="46" t="n"/>
      <c r="D350" s="47" t="n"/>
      <c r="E350" s="47" t="n"/>
      <c r="F350" s="47" t="n"/>
      <c r="G350" s="47" t="n"/>
      <c r="H350" s="47" t="n"/>
      <c r="I350" s="48" t="n"/>
      <c r="J350" s="47" t="n"/>
      <c r="K350" s="49" t="n"/>
      <c r="L350" s="50" t="n"/>
      <c r="M350" s="51" t="n"/>
      <c r="N350" s="51" t="n"/>
      <c r="O350" s="50" t="n"/>
      <c r="P350" s="47" t="n"/>
      <c r="Q350" s="47" t="n"/>
    </row>
    <row r="351" ht="15.75" customHeight="1" s="99">
      <c r="A351" s="43" t="n">
        <v>348</v>
      </c>
      <c r="B351" s="53" t="n"/>
      <c r="C351" s="54" t="n"/>
      <c r="D351" s="55" t="n"/>
      <c r="E351" s="55" t="n"/>
      <c r="F351" s="55" t="n"/>
      <c r="G351" s="55" t="n"/>
      <c r="H351" s="55" t="n"/>
      <c r="I351" s="56" t="n"/>
      <c r="J351" s="55" t="n"/>
      <c r="K351" s="57" t="n"/>
      <c r="L351" s="58" t="n"/>
      <c r="M351" s="59" t="n"/>
      <c r="N351" s="59" t="n"/>
      <c r="O351" s="58" t="n"/>
      <c r="P351" s="55" t="n"/>
      <c r="Q351" s="55" t="n"/>
    </row>
    <row r="352" ht="15.75" customHeight="1" s="99">
      <c r="A352" s="41" t="n">
        <v>349</v>
      </c>
      <c r="B352" s="45" t="n"/>
      <c r="C352" s="46" t="n"/>
      <c r="D352" s="47" t="n"/>
      <c r="E352" s="47" t="n"/>
      <c r="F352" s="47" t="n"/>
      <c r="G352" s="47" t="n"/>
      <c r="H352" s="47" t="n"/>
      <c r="I352" s="48" t="n"/>
      <c r="J352" s="47" t="n"/>
      <c r="K352" s="49" t="n"/>
      <c r="L352" s="50" t="n"/>
      <c r="M352" s="51" t="n"/>
      <c r="N352" s="51" t="n"/>
      <c r="O352" s="50" t="n"/>
      <c r="P352" s="47" t="n"/>
      <c r="Q352" s="47" t="n"/>
    </row>
    <row r="353" ht="15.75" customHeight="1" s="99">
      <c r="A353" s="43" t="n">
        <v>350</v>
      </c>
      <c r="B353" s="53" t="n"/>
      <c r="C353" s="54" t="n"/>
      <c r="D353" s="55" t="n"/>
      <c r="E353" s="55" t="n"/>
      <c r="F353" s="55" t="n"/>
      <c r="G353" s="55" t="n"/>
      <c r="H353" s="55" t="n"/>
      <c r="I353" s="56" t="n"/>
      <c r="J353" s="55" t="n"/>
      <c r="K353" s="57" t="n"/>
      <c r="L353" s="58" t="n"/>
      <c r="M353" s="59" t="n"/>
      <c r="N353" s="59" t="n"/>
      <c r="O353" s="58" t="n"/>
      <c r="P353" s="55" t="n"/>
      <c r="Q353" s="55" t="n"/>
    </row>
    <row r="354" ht="15.75" customHeight="1" s="99">
      <c r="A354" s="41" t="n">
        <v>351</v>
      </c>
      <c r="B354" s="45" t="n"/>
      <c r="C354" s="46" t="n"/>
      <c r="D354" s="47" t="n"/>
      <c r="E354" s="47" t="n"/>
      <c r="F354" s="47" t="n"/>
      <c r="G354" s="47" t="n"/>
      <c r="H354" s="47" t="n"/>
      <c r="I354" s="48" t="n"/>
      <c r="J354" s="47" t="n"/>
      <c r="K354" s="49" t="n"/>
      <c r="L354" s="50" t="n"/>
      <c r="M354" s="51" t="n"/>
      <c r="N354" s="51" t="n"/>
      <c r="O354" s="50" t="n"/>
      <c r="P354" s="47" t="n"/>
      <c r="Q354" s="47" t="n"/>
    </row>
    <row r="355" ht="15.75" customHeight="1" s="99">
      <c r="A355" s="43" t="n">
        <v>352</v>
      </c>
      <c r="B355" s="53" t="n"/>
      <c r="C355" s="54" t="n"/>
      <c r="D355" s="55" t="n"/>
      <c r="E355" s="55" t="n"/>
      <c r="F355" s="55" t="n"/>
      <c r="G355" s="55" t="n"/>
      <c r="H355" s="55" t="n"/>
      <c r="I355" s="56" t="n"/>
      <c r="J355" s="55" t="n"/>
      <c r="K355" s="57" t="n"/>
      <c r="L355" s="58" t="n"/>
      <c r="M355" s="59" t="n"/>
      <c r="N355" s="59" t="n"/>
      <c r="O355" s="58" t="n"/>
      <c r="P355" s="55" t="n"/>
      <c r="Q355" s="55" t="n"/>
    </row>
    <row r="356" ht="15.75" customHeight="1" s="99">
      <c r="A356" s="41" t="n">
        <v>353</v>
      </c>
      <c r="B356" s="45" t="n"/>
      <c r="C356" s="46" t="n"/>
      <c r="D356" s="47" t="n"/>
      <c r="E356" s="47" t="n"/>
      <c r="F356" s="47" t="n"/>
      <c r="G356" s="47" t="n"/>
      <c r="H356" s="47" t="n"/>
      <c r="I356" s="48" t="n"/>
      <c r="J356" s="47" t="n"/>
      <c r="K356" s="49" t="n"/>
      <c r="L356" s="50" t="n"/>
      <c r="M356" s="51" t="n"/>
      <c r="N356" s="51" t="n"/>
      <c r="O356" s="50" t="n"/>
      <c r="P356" s="47" t="n"/>
      <c r="Q356" s="47" t="n"/>
    </row>
    <row r="357" ht="15.75" customHeight="1" s="99">
      <c r="A357" s="43" t="n">
        <v>354</v>
      </c>
      <c r="B357" s="53" t="n"/>
      <c r="C357" s="54" t="n"/>
      <c r="D357" s="55" t="n"/>
      <c r="E357" s="55" t="n"/>
      <c r="F357" s="55" t="n"/>
      <c r="G357" s="55" t="n"/>
      <c r="H357" s="55" t="n"/>
      <c r="I357" s="56" t="n"/>
      <c r="J357" s="55" t="n"/>
      <c r="K357" s="57" t="n"/>
      <c r="L357" s="58" t="n"/>
      <c r="M357" s="59" t="n"/>
      <c r="N357" s="59" t="n"/>
      <c r="O357" s="58" t="n"/>
      <c r="P357" s="55" t="n"/>
      <c r="Q357" s="55" t="n"/>
    </row>
    <row r="358" ht="15.75" customHeight="1" s="99">
      <c r="A358" s="41" t="n">
        <v>355</v>
      </c>
      <c r="B358" s="45" t="n"/>
      <c r="C358" s="46" t="n"/>
      <c r="D358" s="47" t="n"/>
      <c r="E358" s="47" t="n"/>
      <c r="F358" s="47" t="n"/>
      <c r="G358" s="47" t="n"/>
      <c r="H358" s="47" t="n"/>
      <c r="I358" s="48" t="n"/>
      <c r="J358" s="47" t="n"/>
      <c r="K358" s="49" t="n"/>
      <c r="L358" s="50" t="n"/>
      <c r="M358" s="51" t="n"/>
      <c r="N358" s="51" t="n"/>
      <c r="O358" s="50" t="n"/>
      <c r="P358" s="47" t="n"/>
      <c r="Q358" s="47" t="n"/>
    </row>
    <row r="359" ht="15.75" customHeight="1" s="99">
      <c r="A359" s="43" t="n">
        <v>356</v>
      </c>
      <c r="B359" s="53" t="n"/>
      <c r="C359" s="54" t="n"/>
      <c r="D359" s="55" t="n"/>
      <c r="E359" s="55" t="n"/>
      <c r="F359" s="55" t="n"/>
      <c r="G359" s="55" t="n"/>
      <c r="H359" s="55" t="n"/>
      <c r="I359" s="56" t="n"/>
      <c r="J359" s="55" t="n"/>
      <c r="K359" s="57" t="n"/>
      <c r="L359" s="58" t="n"/>
      <c r="M359" s="59" t="n"/>
      <c r="N359" s="59" t="n"/>
      <c r="O359" s="58" t="n"/>
      <c r="P359" s="55" t="n"/>
      <c r="Q359" s="55" t="n"/>
    </row>
    <row r="360" ht="15.75" customHeight="1" s="99">
      <c r="A360" s="41" t="n">
        <v>357</v>
      </c>
      <c r="B360" s="45" t="n"/>
      <c r="C360" s="46" t="n"/>
      <c r="D360" s="47" t="n"/>
      <c r="E360" s="47" t="n"/>
      <c r="F360" s="47" t="n"/>
      <c r="G360" s="47" t="n"/>
      <c r="H360" s="47" t="n"/>
      <c r="I360" s="48" t="n"/>
      <c r="J360" s="47" t="n"/>
      <c r="K360" s="49" t="n"/>
      <c r="L360" s="50" t="n"/>
      <c r="M360" s="51" t="n"/>
      <c r="N360" s="51" t="n"/>
      <c r="O360" s="50" t="n"/>
      <c r="P360" s="47" t="n"/>
      <c r="Q360" s="47" t="n"/>
    </row>
    <row r="361" ht="15.75" customHeight="1" s="99">
      <c r="A361" s="43" t="n">
        <v>358</v>
      </c>
      <c r="B361" s="53" t="n"/>
      <c r="C361" s="54" t="n"/>
      <c r="D361" s="55" t="n"/>
      <c r="E361" s="55" t="n"/>
      <c r="F361" s="55" t="n"/>
      <c r="G361" s="55" t="n"/>
      <c r="H361" s="55" t="n"/>
      <c r="I361" s="56" t="n"/>
      <c r="J361" s="55" t="n"/>
      <c r="K361" s="57" t="n"/>
      <c r="L361" s="58" t="n"/>
      <c r="M361" s="59" t="n"/>
      <c r="N361" s="59" t="n"/>
      <c r="O361" s="58" t="n"/>
      <c r="P361" s="55" t="n"/>
      <c r="Q361" s="55" t="n"/>
    </row>
    <row r="362" ht="15.75" customHeight="1" s="99">
      <c r="A362" s="41" t="n">
        <v>359</v>
      </c>
      <c r="B362" s="45" t="n"/>
      <c r="C362" s="46" t="n"/>
      <c r="D362" s="47" t="n"/>
      <c r="E362" s="47" t="n"/>
      <c r="F362" s="47" t="n"/>
      <c r="G362" s="47" t="n"/>
      <c r="H362" s="47" t="n"/>
      <c r="I362" s="48" t="n"/>
      <c r="J362" s="47" t="n"/>
      <c r="K362" s="49" t="n"/>
      <c r="L362" s="50" t="n"/>
      <c r="M362" s="51" t="n"/>
      <c r="N362" s="51" t="n"/>
      <c r="O362" s="50" t="n"/>
      <c r="P362" s="47" t="n"/>
      <c r="Q362" s="47" t="n"/>
    </row>
    <row r="363" ht="15.75" customHeight="1" s="99">
      <c r="A363" s="43" t="n">
        <v>360</v>
      </c>
      <c r="B363" s="53" t="n"/>
      <c r="C363" s="54" t="n"/>
      <c r="D363" s="55" t="n"/>
      <c r="E363" s="55" t="n"/>
      <c r="F363" s="55" t="n"/>
      <c r="G363" s="55" t="n"/>
      <c r="H363" s="55" t="n"/>
      <c r="I363" s="56" t="n"/>
      <c r="J363" s="55" t="n"/>
      <c r="K363" s="57" t="n"/>
      <c r="L363" s="58" t="n"/>
      <c r="M363" s="59" t="n"/>
      <c r="N363" s="59" t="n"/>
      <c r="O363" s="58" t="n"/>
      <c r="P363" s="55" t="n"/>
      <c r="Q363" s="55" t="n"/>
    </row>
    <row r="364" ht="15.75" customHeight="1" s="99">
      <c r="A364" s="41" t="n">
        <v>361</v>
      </c>
      <c r="B364" s="45" t="n"/>
      <c r="C364" s="46" t="n"/>
      <c r="D364" s="47" t="n"/>
      <c r="E364" s="47" t="n"/>
      <c r="F364" s="47" t="n"/>
      <c r="G364" s="47" t="n"/>
      <c r="H364" s="47" t="n"/>
      <c r="I364" s="48" t="n"/>
      <c r="J364" s="47" t="n"/>
      <c r="K364" s="49" t="n"/>
      <c r="L364" s="50" t="n"/>
      <c r="M364" s="51" t="n"/>
      <c r="N364" s="51" t="n"/>
      <c r="O364" s="50" t="n"/>
      <c r="P364" s="47" t="n"/>
      <c r="Q364" s="47" t="n"/>
    </row>
    <row r="365" ht="15.75" customHeight="1" s="99">
      <c r="A365" s="43" t="n">
        <v>362</v>
      </c>
      <c r="B365" s="53" t="n"/>
      <c r="C365" s="54" t="n"/>
      <c r="D365" s="55" t="n"/>
      <c r="E365" s="55" t="n"/>
      <c r="F365" s="55" t="n"/>
      <c r="G365" s="55" t="n"/>
      <c r="H365" s="55" t="n"/>
      <c r="I365" s="56" t="n"/>
      <c r="J365" s="55" t="n"/>
      <c r="K365" s="57" t="n"/>
      <c r="L365" s="58" t="n"/>
      <c r="M365" s="59" t="n"/>
      <c r="N365" s="59" t="n"/>
      <c r="O365" s="58" t="n"/>
      <c r="P365" s="55" t="n"/>
      <c r="Q365" s="55" t="n"/>
    </row>
    <row r="366" ht="15.75" customHeight="1" s="99">
      <c r="A366" s="41" t="n">
        <v>363</v>
      </c>
      <c r="B366" s="45" t="n"/>
      <c r="C366" s="46" t="n"/>
      <c r="D366" s="47" t="n"/>
      <c r="E366" s="47" t="n"/>
      <c r="F366" s="47" t="n"/>
      <c r="G366" s="47" t="n"/>
      <c r="H366" s="47" t="n"/>
      <c r="I366" s="48" t="n"/>
      <c r="J366" s="47" t="n"/>
      <c r="K366" s="49" t="n"/>
      <c r="L366" s="50" t="n"/>
      <c r="M366" s="51" t="n"/>
      <c r="N366" s="51" t="n"/>
      <c r="O366" s="50" t="n"/>
      <c r="P366" s="47" t="n"/>
      <c r="Q366" s="47" t="n"/>
    </row>
    <row r="367" ht="15.75" customHeight="1" s="99">
      <c r="A367" s="43" t="n">
        <v>364</v>
      </c>
      <c r="B367" s="53" t="n"/>
      <c r="C367" s="54" t="n"/>
      <c r="D367" s="55" t="n"/>
      <c r="E367" s="55" t="n"/>
      <c r="F367" s="55" t="n"/>
      <c r="G367" s="55" t="n"/>
      <c r="H367" s="55" t="n"/>
      <c r="I367" s="56" t="n"/>
      <c r="J367" s="55" t="n"/>
      <c r="K367" s="57" t="n"/>
      <c r="L367" s="58" t="n"/>
      <c r="M367" s="59" t="n"/>
      <c r="N367" s="59" t="n"/>
      <c r="O367" s="58" t="n"/>
      <c r="P367" s="55" t="n"/>
      <c r="Q367" s="55" t="n"/>
    </row>
    <row r="368" ht="15.75" customHeight="1" s="99">
      <c r="A368" s="41" t="n">
        <v>365</v>
      </c>
      <c r="B368" s="45" t="n"/>
      <c r="C368" s="46" t="n"/>
      <c r="D368" s="47" t="n"/>
      <c r="E368" s="47" t="n"/>
      <c r="F368" s="47" t="n"/>
      <c r="G368" s="47" t="n"/>
      <c r="H368" s="47" t="n"/>
      <c r="I368" s="48" t="n"/>
      <c r="J368" s="47" t="n"/>
      <c r="K368" s="49" t="n"/>
      <c r="L368" s="50" t="n"/>
      <c r="M368" s="51" t="n"/>
      <c r="N368" s="51" t="n"/>
      <c r="O368" s="50" t="n"/>
      <c r="P368" s="47" t="n"/>
      <c r="Q368" s="47" t="n"/>
    </row>
    <row r="369" ht="15.75" customHeight="1" s="99">
      <c r="A369" s="43" t="n">
        <v>366</v>
      </c>
      <c r="B369" s="53" t="n"/>
      <c r="C369" s="54" t="n"/>
      <c r="D369" s="55" t="n"/>
      <c r="E369" s="55" t="n"/>
      <c r="F369" s="55" t="n"/>
      <c r="G369" s="55" t="n"/>
      <c r="H369" s="55" t="n"/>
      <c r="I369" s="56" t="n"/>
      <c r="J369" s="55" t="n"/>
      <c r="K369" s="57" t="n"/>
      <c r="L369" s="58" t="n"/>
      <c r="M369" s="59" t="n"/>
      <c r="N369" s="59" t="n"/>
      <c r="O369" s="58" t="n"/>
      <c r="P369" s="55" t="n"/>
      <c r="Q369" s="55" t="n"/>
    </row>
    <row r="370" ht="15.75" customHeight="1" s="99">
      <c r="A370" s="41" t="n">
        <v>367</v>
      </c>
      <c r="B370" s="45" t="n"/>
      <c r="C370" s="46" t="n"/>
      <c r="D370" s="47" t="n"/>
      <c r="E370" s="47" t="n"/>
      <c r="F370" s="47" t="n"/>
      <c r="G370" s="47" t="n"/>
      <c r="H370" s="47" t="n"/>
      <c r="I370" s="48" t="n"/>
      <c r="J370" s="47" t="n"/>
      <c r="K370" s="49" t="n"/>
      <c r="L370" s="50" t="n"/>
      <c r="M370" s="51" t="n"/>
      <c r="N370" s="51" t="n"/>
      <c r="O370" s="50" t="n"/>
      <c r="P370" s="47" t="n"/>
      <c r="Q370" s="47" t="n"/>
    </row>
    <row r="371" ht="15.75" customHeight="1" s="99">
      <c r="A371" s="43" t="n">
        <v>368</v>
      </c>
      <c r="B371" s="53" t="n"/>
      <c r="C371" s="54" t="n"/>
      <c r="D371" s="55" t="n"/>
      <c r="E371" s="55" t="n"/>
      <c r="F371" s="55" t="n"/>
      <c r="G371" s="55" t="n"/>
      <c r="H371" s="55" t="n"/>
      <c r="I371" s="56" t="n"/>
      <c r="J371" s="55" t="n"/>
      <c r="K371" s="57" t="n"/>
      <c r="L371" s="58" t="n"/>
      <c r="M371" s="59" t="n"/>
      <c r="N371" s="59" t="n"/>
      <c r="O371" s="58" t="n"/>
      <c r="P371" s="55" t="n"/>
      <c r="Q371" s="55" t="n"/>
    </row>
    <row r="372" ht="15.75" customHeight="1" s="99">
      <c r="A372" s="41" t="n">
        <v>369</v>
      </c>
      <c r="B372" s="45" t="n"/>
      <c r="C372" s="46" t="n"/>
      <c r="D372" s="47" t="n"/>
      <c r="E372" s="47" t="n"/>
      <c r="F372" s="47" t="n"/>
      <c r="G372" s="47" t="n"/>
      <c r="H372" s="47" t="n"/>
      <c r="I372" s="48" t="n"/>
      <c r="J372" s="47" t="n"/>
      <c r="K372" s="49" t="n"/>
      <c r="L372" s="50" t="n"/>
      <c r="M372" s="51" t="n"/>
      <c r="N372" s="51" t="n"/>
      <c r="O372" s="50" t="n"/>
      <c r="P372" s="47" t="n"/>
      <c r="Q372" s="47" t="n"/>
    </row>
    <row r="373" ht="15.75" customHeight="1" s="99">
      <c r="A373" s="43" t="n">
        <v>370</v>
      </c>
      <c r="B373" s="53" t="n"/>
      <c r="C373" s="54" t="n"/>
      <c r="D373" s="55" t="n"/>
      <c r="E373" s="55" t="n"/>
      <c r="F373" s="55" t="n"/>
      <c r="G373" s="55" t="n"/>
      <c r="H373" s="55" t="n"/>
      <c r="I373" s="56" t="n"/>
      <c r="J373" s="55" t="n"/>
      <c r="K373" s="57" t="n"/>
      <c r="L373" s="58" t="n"/>
      <c r="M373" s="59" t="n"/>
      <c r="N373" s="59" t="n"/>
      <c r="O373" s="58" t="n"/>
      <c r="P373" s="55" t="n"/>
      <c r="Q373" s="55" t="n"/>
    </row>
    <row r="374" ht="15.75" customHeight="1" s="99">
      <c r="A374" s="41" t="n">
        <v>371</v>
      </c>
      <c r="B374" s="45" t="n"/>
      <c r="C374" s="46" t="n"/>
      <c r="D374" s="47" t="n"/>
      <c r="E374" s="47" t="n"/>
      <c r="F374" s="47" t="n"/>
      <c r="G374" s="47" t="n"/>
      <c r="H374" s="47" t="n"/>
      <c r="I374" s="48" t="n"/>
      <c r="J374" s="47" t="n"/>
      <c r="K374" s="49" t="n"/>
      <c r="L374" s="50" t="n"/>
      <c r="M374" s="51" t="n"/>
      <c r="N374" s="51" t="n"/>
      <c r="O374" s="50" t="n"/>
      <c r="P374" s="47" t="n"/>
      <c r="Q374" s="47" t="n"/>
    </row>
    <row r="375" ht="15.75" customHeight="1" s="99">
      <c r="A375" s="43" t="n">
        <v>372</v>
      </c>
      <c r="B375" s="53" t="n"/>
      <c r="C375" s="54" t="n"/>
      <c r="D375" s="55" t="n"/>
      <c r="E375" s="55" t="n"/>
      <c r="F375" s="55" t="n"/>
      <c r="G375" s="55" t="n"/>
      <c r="H375" s="55" t="n"/>
      <c r="I375" s="56" t="n"/>
      <c r="J375" s="55" t="n"/>
      <c r="K375" s="57" t="n"/>
      <c r="L375" s="58" t="n"/>
      <c r="M375" s="59" t="n"/>
      <c r="N375" s="59" t="n"/>
      <c r="O375" s="58" t="n"/>
      <c r="P375" s="55" t="n"/>
      <c r="Q375" s="55" t="n"/>
    </row>
    <row r="376" ht="15.75" customHeight="1" s="99">
      <c r="A376" s="41" t="n">
        <v>373</v>
      </c>
      <c r="B376" s="45" t="n"/>
      <c r="C376" s="46" t="n"/>
      <c r="D376" s="47" t="n"/>
      <c r="E376" s="47" t="n"/>
      <c r="F376" s="47" t="n"/>
      <c r="G376" s="47" t="n"/>
      <c r="H376" s="47" t="n"/>
      <c r="I376" s="48" t="n"/>
      <c r="J376" s="47" t="n"/>
      <c r="K376" s="49" t="n"/>
      <c r="L376" s="50" t="n"/>
      <c r="M376" s="51" t="n"/>
      <c r="N376" s="51" t="n"/>
      <c r="O376" s="50" t="n"/>
      <c r="P376" s="47" t="n"/>
      <c r="Q376" s="47" t="n"/>
    </row>
    <row r="377" ht="15.75" customHeight="1" s="99">
      <c r="A377" s="43" t="n">
        <v>374</v>
      </c>
      <c r="B377" s="53" t="n"/>
      <c r="C377" s="54" t="n"/>
      <c r="D377" s="55" t="n"/>
      <c r="E377" s="55" t="n"/>
      <c r="F377" s="55" t="n"/>
      <c r="G377" s="55" t="n"/>
      <c r="H377" s="55" t="n"/>
      <c r="I377" s="56" t="n"/>
      <c r="J377" s="55" t="n"/>
      <c r="K377" s="57" t="n"/>
      <c r="L377" s="58" t="n"/>
      <c r="M377" s="59" t="n"/>
      <c r="N377" s="59" t="n"/>
      <c r="O377" s="58" t="n"/>
      <c r="P377" s="55" t="n"/>
      <c r="Q377" s="55" t="n"/>
    </row>
    <row r="378" ht="15.75" customHeight="1" s="99">
      <c r="A378" s="41" t="n">
        <v>375</v>
      </c>
      <c r="B378" s="45" t="n"/>
      <c r="C378" s="46" t="n"/>
      <c r="D378" s="47" t="n"/>
      <c r="E378" s="47" t="n"/>
      <c r="F378" s="47" t="n"/>
      <c r="G378" s="47" t="n"/>
      <c r="H378" s="47" t="n"/>
      <c r="I378" s="48" t="n"/>
      <c r="J378" s="47" t="n"/>
      <c r="K378" s="49" t="n"/>
      <c r="L378" s="50" t="n"/>
      <c r="M378" s="51" t="n"/>
      <c r="N378" s="51" t="n"/>
      <c r="O378" s="50" t="n"/>
      <c r="P378" s="47" t="n"/>
      <c r="Q378" s="47" t="n"/>
    </row>
    <row r="379" ht="15.75" customHeight="1" s="99">
      <c r="A379" s="43" t="n">
        <v>376</v>
      </c>
      <c r="B379" s="53" t="n"/>
      <c r="C379" s="54" t="n"/>
      <c r="D379" s="55" t="n"/>
      <c r="E379" s="55" t="n"/>
      <c r="F379" s="55" t="n"/>
      <c r="G379" s="55" t="n"/>
      <c r="H379" s="55" t="n"/>
      <c r="I379" s="56" t="n"/>
      <c r="J379" s="55" t="n"/>
      <c r="K379" s="57" t="n"/>
      <c r="L379" s="58" t="n"/>
      <c r="M379" s="59" t="n"/>
      <c r="N379" s="59" t="n"/>
      <c r="O379" s="58" t="n"/>
      <c r="P379" s="55" t="n"/>
      <c r="Q379" s="55" t="n"/>
    </row>
    <row r="380" ht="15.75" customHeight="1" s="99">
      <c r="A380" s="41" t="n">
        <v>377</v>
      </c>
      <c r="B380" s="45" t="n"/>
      <c r="C380" s="46" t="n"/>
      <c r="D380" s="47" t="n"/>
      <c r="E380" s="47" t="n"/>
      <c r="F380" s="47" t="n"/>
      <c r="G380" s="47" t="n"/>
      <c r="H380" s="47" t="n"/>
      <c r="I380" s="48" t="n"/>
      <c r="J380" s="47" t="n"/>
      <c r="K380" s="49" t="n"/>
      <c r="L380" s="50" t="n"/>
      <c r="M380" s="51" t="n"/>
      <c r="N380" s="51" t="n"/>
      <c r="O380" s="50" t="n"/>
      <c r="P380" s="47" t="n"/>
      <c r="Q380" s="47" t="n"/>
    </row>
    <row r="381" ht="15.75" customHeight="1" s="99">
      <c r="A381" s="43" t="n">
        <v>378</v>
      </c>
      <c r="B381" s="53" t="n"/>
      <c r="C381" s="54" t="n"/>
      <c r="D381" s="55" t="n"/>
      <c r="E381" s="55" t="n"/>
      <c r="F381" s="55" t="n"/>
      <c r="G381" s="55" t="n"/>
      <c r="H381" s="55" t="n"/>
      <c r="I381" s="56" t="n"/>
      <c r="J381" s="55" t="n"/>
      <c r="K381" s="57" t="n"/>
      <c r="L381" s="58" t="n"/>
      <c r="M381" s="59" t="n"/>
      <c r="N381" s="59" t="n"/>
      <c r="O381" s="58" t="n"/>
      <c r="P381" s="55" t="n"/>
      <c r="Q381" s="55" t="n"/>
    </row>
    <row r="382" ht="15.75" customHeight="1" s="99">
      <c r="A382" s="41" t="n">
        <v>379</v>
      </c>
      <c r="B382" s="45" t="n"/>
      <c r="C382" s="46" t="n"/>
      <c r="D382" s="47" t="n"/>
      <c r="E382" s="47" t="n"/>
      <c r="F382" s="47" t="n"/>
      <c r="G382" s="47" t="n"/>
      <c r="H382" s="47" t="n"/>
      <c r="I382" s="48" t="n"/>
      <c r="J382" s="47" t="n"/>
      <c r="K382" s="49" t="n"/>
      <c r="L382" s="50" t="n"/>
      <c r="M382" s="51" t="n"/>
      <c r="N382" s="51" t="n"/>
      <c r="O382" s="50" t="n"/>
      <c r="P382" s="47" t="n"/>
      <c r="Q382" s="47" t="n"/>
    </row>
    <row r="383" ht="15.75" customHeight="1" s="99">
      <c r="A383" s="43" t="n">
        <v>380</v>
      </c>
      <c r="B383" s="53" t="n"/>
      <c r="C383" s="54" t="n"/>
      <c r="D383" s="55" t="n"/>
      <c r="E383" s="55" t="n"/>
      <c r="F383" s="55" t="n"/>
      <c r="G383" s="55" t="n"/>
      <c r="H383" s="55" t="n"/>
      <c r="I383" s="56" t="n"/>
      <c r="J383" s="55" t="n"/>
      <c r="K383" s="57" t="n"/>
      <c r="L383" s="58" t="n"/>
      <c r="M383" s="59" t="n"/>
      <c r="N383" s="59" t="n"/>
      <c r="O383" s="58" t="n"/>
      <c r="P383" s="55" t="n"/>
      <c r="Q383" s="55" t="n"/>
    </row>
    <row r="384" ht="15.75" customHeight="1" s="99">
      <c r="A384" s="41" t="n">
        <v>381</v>
      </c>
      <c r="B384" s="45" t="n"/>
      <c r="C384" s="46" t="n"/>
      <c r="D384" s="47" t="n"/>
      <c r="E384" s="47" t="n"/>
      <c r="F384" s="47" t="n"/>
      <c r="G384" s="47" t="n"/>
      <c r="H384" s="47" t="n"/>
      <c r="I384" s="48" t="n"/>
      <c r="J384" s="47" t="n"/>
      <c r="K384" s="49" t="n"/>
      <c r="L384" s="50" t="n"/>
      <c r="M384" s="51" t="n"/>
      <c r="N384" s="51" t="n"/>
      <c r="O384" s="50" t="n"/>
      <c r="P384" s="47" t="n"/>
      <c r="Q384" s="47" t="n"/>
    </row>
    <row r="385" ht="15.75" customHeight="1" s="99">
      <c r="A385" s="43" t="n">
        <v>382</v>
      </c>
      <c r="B385" s="53" t="n"/>
      <c r="C385" s="54" t="n"/>
      <c r="D385" s="55" t="n"/>
      <c r="E385" s="55" t="n"/>
      <c r="F385" s="55" t="n"/>
      <c r="G385" s="55" t="n"/>
      <c r="H385" s="55" t="n"/>
      <c r="I385" s="56" t="n"/>
      <c r="J385" s="55" t="n"/>
      <c r="K385" s="57" t="n"/>
      <c r="L385" s="58" t="n"/>
      <c r="M385" s="59" t="n"/>
      <c r="N385" s="59" t="n"/>
      <c r="O385" s="58" t="n"/>
      <c r="P385" s="55" t="n"/>
      <c r="Q385" s="55" t="n"/>
    </row>
    <row r="386" ht="15.75" customHeight="1" s="99">
      <c r="A386" s="41" t="n">
        <v>383</v>
      </c>
      <c r="B386" s="45" t="n"/>
      <c r="C386" s="46" t="n"/>
      <c r="D386" s="47" t="n"/>
      <c r="E386" s="47" t="n"/>
      <c r="F386" s="47" t="n"/>
      <c r="G386" s="47" t="n"/>
      <c r="H386" s="47" t="n"/>
      <c r="I386" s="48" t="n"/>
      <c r="J386" s="47" t="n"/>
      <c r="K386" s="49" t="n"/>
      <c r="L386" s="50" t="n"/>
      <c r="M386" s="51" t="n"/>
      <c r="N386" s="51" t="n"/>
      <c r="O386" s="50" t="n"/>
      <c r="P386" s="47" t="n"/>
      <c r="Q386" s="47" t="n"/>
    </row>
    <row r="387" ht="15.75" customHeight="1" s="99">
      <c r="A387" s="43" t="n">
        <v>384</v>
      </c>
      <c r="B387" s="53" t="n"/>
      <c r="C387" s="54" t="n"/>
      <c r="D387" s="55" t="n"/>
      <c r="E387" s="55" t="n"/>
      <c r="F387" s="55" t="n"/>
      <c r="G387" s="55" t="n"/>
      <c r="H387" s="55" t="n"/>
      <c r="I387" s="56" t="n"/>
      <c r="J387" s="55" t="n"/>
      <c r="K387" s="57" t="n"/>
      <c r="L387" s="58" t="n"/>
      <c r="M387" s="59" t="n"/>
      <c r="N387" s="59" t="n"/>
      <c r="O387" s="58" t="n"/>
      <c r="P387" s="55" t="n"/>
      <c r="Q387" s="55" t="n"/>
    </row>
    <row r="388" ht="15.75" customHeight="1" s="99">
      <c r="A388" s="41" t="n">
        <v>385</v>
      </c>
      <c r="B388" s="45" t="n"/>
      <c r="C388" s="46" t="n"/>
      <c r="D388" s="47" t="n"/>
      <c r="E388" s="47" t="n"/>
      <c r="F388" s="47" t="n"/>
      <c r="G388" s="47" t="n"/>
      <c r="H388" s="47" t="n"/>
      <c r="I388" s="48" t="n"/>
      <c r="J388" s="47" t="n"/>
      <c r="K388" s="49" t="n"/>
      <c r="L388" s="50" t="n"/>
      <c r="M388" s="51" t="n"/>
      <c r="N388" s="51" t="n"/>
      <c r="O388" s="50" t="n"/>
      <c r="P388" s="47" t="n"/>
      <c r="Q388" s="47" t="n"/>
    </row>
    <row r="389" ht="15.75" customHeight="1" s="99">
      <c r="A389" s="43" t="n">
        <v>386</v>
      </c>
      <c r="B389" s="53" t="n"/>
      <c r="C389" s="54" t="n"/>
      <c r="D389" s="55" t="n"/>
      <c r="E389" s="55" t="n"/>
      <c r="F389" s="55" t="n"/>
      <c r="G389" s="55" t="n"/>
      <c r="H389" s="55" t="n"/>
      <c r="I389" s="56" t="n"/>
      <c r="J389" s="55" t="n"/>
      <c r="K389" s="57" t="n"/>
      <c r="L389" s="58" t="n"/>
      <c r="M389" s="59" t="n"/>
      <c r="N389" s="59" t="n"/>
      <c r="O389" s="58" t="n"/>
      <c r="P389" s="55" t="n"/>
      <c r="Q389" s="55" t="n"/>
    </row>
    <row r="390" ht="15.75" customHeight="1" s="99">
      <c r="A390" s="41" t="n">
        <v>387</v>
      </c>
      <c r="B390" s="45" t="n"/>
      <c r="C390" s="46" t="n"/>
      <c r="D390" s="47" t="n"/>
      <c r="E390" s="47" t="n"/>
      <c r="F390" s="47" t="n"/>
      <c r="G390" s="47" t="n"/>
      <c r="H390" s="47" t="n"/>
      <c r="I390" s="48" t="n"/>
      <c r="J390" s="47" t="n"/>
      <c r="K390" s="49" t="n"/>
      <c r="L390" s="50" t="n"/>
      <c r="M390" s="51" t="n"/>
      <c r="N390" s="51" t="n"/>
      <c r="O390" s="50" t="n"/>
      <c r="P390" s="47" t="n"/>
      <c r="Q390" s="47" t="n"/>
    </row>
    <row r="391" ht="15.75" customHeight="1" s="99">
      <c r="A391" s="43" t="n">
        <v>388</v>
      </c>
      <c r="B391" s="53" t="n"/>
      <c r="C391" s="54" t="n"/>
      <c r="D391" s="55" t="n"/>
      <c r="E391" s="55" t="n"/>
      <c r="F391" s="55" t="n"/>
      <c r="G391" s="55" t="n"/>
      <c r="H391" s="55" t="n"/>
      <c r="I391" s="56" t="n"/>
      <c r="J391" s="55" t="n"/>
      <c r="K391" s="57" t="n"/>
      <c r="L391" s="58" t="n"/>
      <c r="M391" s="59" t="n"/>
      <c r="N391" s="59" t="n"/>
      <c r="O391" s="58" t="n"/>
      <c r="P391" s="55" t="n"/>
      <c r="Q391" s="55" t="n"/>
    </row>
    <row r="392" ht="15.75" customHeight="1" s="99">
      <c r="A392" s="41" t="n">
        <v>389</v>
      </c>
      <c r="B392" s="45" t="n"/>
      <c r="C392" s="46" t="n"/>
      <c r="D392" s="47" t="n"/>
      <c r="E392" s="47" t="n"/>
      <c r="F392" s="47" t="n"/>
      <c r="G392" s="47" t="n"/>
      <c r="H392" s="47" t="n"/>
      <c r="I392" s="48" t="n"/>
      <c r="J392" s="47" t="n"/>
      <c r="K392" s="49" t="n"/>
      <c r="L392" s="50" t="n"/>
      <c r="M392" s="51" t="n"/>
      <c r="N392" s="51" t="n"/>
      <c r="O392" s="50" t="n"/>
      <c r="P392" s="47" t="n"/>
      <c r="Q392" s="47" t="n"/>
    </row>
    <row r="393" ht="15.75" customHeight="1" s="99">
      <c r="A393" s="43" t="n">
        <v>390</v>
      </c>
      <c r="B393" s="53" t="n"/>
      <c r="C393" s="54" t="n"/>
      <c r="D393" s="55" t="n"/>
      <c r="E393" s="55" t="n"/>
      <c r="F393" s="55" t="n"/>
      <c r="G393" s="55" t="n"/>
      <c r="H393" s="55" t="n"/>
      <c r="I393" s="56" t="n"/>
      <c r="J393" s="55" t="n"/>
      <c r="K393" s="57" t="n"/>
      <c r="L393" s="58" t="n"/>
      <c r="M393" s="59" t="n"/>
      <c r="N393" s="59" t="n"/>
      <c r="O393" s="58" t="n"/>
      <c r="P393" s="55" t="n"/>
      <c r="Q393" s="55" t="n"/>
    </row>
    <row r="394" ht="15.75" customHeight="1" s="99">
      <c r="A394" s="41" t="n">
        <v>391</v>
      </c>
      <c r="B394" s="45" t="n"/>
      <c r="C394" s="46" t="n"/>
      <c r="D394" s="47" t="n"/>
      <c r="E394" s="47" t="n"/>
      <c r="F394" s="47" t="n"/>
      <c r="G394" s="47" t="n"/>
      <c r="H394" s="47" t="n"/>
      <c r="I394" s="48" t="n"/>
      <c r="J394" s="47" t="n"/>
      <c r="K394" s="49" t="n"/>
      <c r="L394" s="50" t="n"/>
      <c r="M394" s="51" t="n"/>
      <c r="N394" s="51" t="n"/>
      <c r="O394" s="50" t="n"/>
      <c r="P394" s="47" t="n"/>
      <c r="Q394" s="47" t="n"/>
    </row>
    <row r="395" ht="15.75" customHeight="1" s="99">
      <c r="A395" s="43" t="n">
        <v>392</v>
      </c>
      <c r="B395" s="53" t="n"/>
      <c r="C395" s="54" t="n"/>
      <c r="D395" s="55" t="n"/>
      <c r="E395" s="55" t="n"/>
      <c r="F395" s="55" t="n"/>
      <c r="G395" s="55" t="n"/>
      <c r="H395" s="55" t="n"/>
      <c r="I395" s="56" t="n"/>
      <c r="J395" s="55" t="n"/>
      <c r="K395" s="57" t="n"/>
      <c r="L395" s="58" t="n"/>
      <c r="M395" s="59" t="n"/>
      <c r="N395" s="59" t="n"/>
      <c r="O395" s="58" t="n"/>
      <c r="P395" s="55" t="n"/>
      <c r="Q395" s="55" t="n"/>
    </row>
    <row r="396" ht="15.75" customHeight="1" s="99">
      <c r="A396" s="41" t="n">
        <v>393</v>
      </c>
      <c r="B396" s="45" t="n"/>
      <c r="C396" s="46" t="n"/>
      <c r="D396" s="47" t="n"/>
      <c r="E396" s="47" t="n"/>
      <c r="F396" s="47" t="n"/>
      <c r="G396" s="47" t="n"/>
      <c r="H396" s="47" t="n"/>
      <c r="I396" s="48" t="n"/>
      <c r="J396" s="47" t="n"/>
      <c r="K396" s="49" t="n"/>
      <c r="L396" s="50" t="n"/>
      <c r="M396" s="51" t="n"/>
      <c r="N396" s="51" t="n"/>
      <c r="O396" s="50" t="n"/>
      <c r="P396" s="47" t="n"/>
      <c r="Q396" s="47" t="n"/>
    </row>
    <row r="397" ht="15.75" customHeight="1" s="99">
      <c r="A397" s="43" t="n">
        <v>394</v>
      </c>
      <c r="B397" s="53" t="n"/>
      <c r="C397" s="54" t="n"/>
      <c r="D397" s="55" t="n"/>
      <c r="E397" s="55" t="n"/>
      <c r="F397" s="55" t="n"/>
      <c r="G397" s="55" t="n"/>
      <c r="H397" s="55" t="n"/>
      <c r="I397" s="56" t="n"/>
      <c r="J397" s="55" t="n"/>
      <c r="K397" s="57" t="n"/>
      <c r="L397" s="58" t="n"/>
      <c r="M397" s="59" t="n"/>
      <c r="N397" s="59" t="n"/>
      <c r="O397" s="58" t="n"/>
      <c r="P397" s="55" t="n"/>
      <c r="Q397" s="55" t="n"/>
    </row>
    <row r="398" ht="15.75" customHeight="1" s="99">
      <c r="A398" s="41" t="n">
        <v>395</v>
      </c>
      <c r="B398" s="45" t="n"/>
      <c r="C398" s="46" t="n"/>
      <c r="D398" s="47" t="n"/>
      <c r="E398" s="47" t="n"/>
      <c r="F398" s="47" t="n"/>
      <c r="G398" s="47" t="n"/>
      <c r="H398" s="47" t="n"/>
      <c r="I398" s="48" t="n"/>
      <c r="J398" s="47" t="n"/>
      <c r="K398" s="49" t="n"/>
      <c r="L398" s="50" t="n"/>
      <c r="M398" s="51" t="n"/>
      <c r="N398" s="51" t="n"/>
      <c r="O398" s="50" t="n"/>
      <c r="P398" s="47" t="n"/>
      <c r="Q398" s="47" t="n"/>
    </row>
    <row r="399" ht="15.75" customHeight="1" s="99">
      <c r="A399" s="43" t="n">
        <v>396</v>
      </c>
      <c r="B399" s="53" t="n"/>
      <c r="C399" s="54" t="n"/>
      <c r="D399" s="55" t="n"/>
      <c r="E399" s="55" t="n"/>
      <c r="F399" s="55" t="n"/>
      <c r="G399" s="55" t="n"/>
      <c r="H399" s="55" t="n"/>
      <c r="I399" s="56" t="n"/>
      <c r="J399" s="55" t="n"/>
      <c r="K399" s="57" t="n"/>
      <c r="L399" s="58" t="n"/>
      <c r="M399" s="59" t="n"/>
      <c r="N399" s="59" t="n"/>
      <c r="O399" s="58" t="n"/>
      <c r="P399" s="55" t="n"/>
      <c r="Q399" s="55" t="n"/>
    </row>
    <row r="400" ht="15.75" customHeight="1" s="99">
      <c r="A400" s="41" t="n">
        <v>397</v>
      </c>
      <c r="B400" s="45" t="n"/>
      <c r="C400" s="46" t="n"/>
      <c r="D400" s="47" t="n"/>
      <c r="E400" s="47" t="n"/>
      <c r="F400" s="47" t="n"/>
      <c r="G400" s="47" t="n"/>
      <c r="H400" s="47" t="n"/>
      <c r="I400" s="48" t="n"/>
      <c r="J400" s="47" t="n"/>
      <c r="K400" s="49" t="n"/>
      <c r="L400" s="50" t="n"/>
      <c r="M400" s="51" t="n"/>
      <c r="N400" s="51" t="n"/>
      <c r="O400" s="50" t="n"/>
      <c r="P400" s="47" t="n"/>
      <c r="Q400" s="47" t="n"/>
    </row>
    <row r="401" ht="15.75" customHeight="1" s="99">
      <c r="A401" s="43" t="n">
        <v>398</v>
      </c>
      <c r="B401" s="53" t="n"/>
      <c r="C401" s="54" t="n"/>
      <c r="D401" s="55" t="n"/>
      <c r="E401" s="55" t="n"/>
      <c r="F401" s="55" t="n"/>
      <c r="G401" s="55" t="n"/>
      <c r="H401" s="55" t="n"/>
      <c r="I401" s="56" t="n"/>
      <c r="J401" s="55" t="n"/>
      <c r="K401" s="57" t="n"/>
      <c r="L401" s="58" t="n"/>
      <c r="M401" s="59" t="n"/>
      <c r="N401" s="59" t="n"/>
      <c r="O401" s="58" t="n"/>
      <c r="P401" s="55" t="n"/>
      <c r="Q401" s="55" t="n"/>
    </row>
    <row r="402" ht="15.75" customHeight="1" s="99">
      <c r="A402" s="41" t="n">
        <v>399</v>
      </c>
      <c r="B402" s="45" t="n"/>
      <c r="C402" s="46" t="n"/>
      <c r="D402" s="47" t="n"/>
      <c r="E402" s="47" t="n"/>
      <c r="F402" s="47" t="n"/>
      <c r="G402" s="47" t="n"/>
      <c r="H402" s="47" t="n"/>
      <c r="I402" s="48" t="n"/>
      <c r="J402" s="47" t="n"/>
      <c r="K402" s="49" t="n"/>
      <c r="L402" s="50" t="n"/>
      <c r="M402" s="51" t="n"/>
      <c r="N402" s="51" t="n"/>
      <c r="O402" s="50" t="n"/>
      <c r="P402" s="47" t="n"/>
      <c r="Q402" s="47" t="n"/>
    </row>
    <row r="403" ht="15.75" customHeight="1" s="99">
      <c r="A403" s="43" t="n">
        <v>400</v>
      </c>
      <c r="B403" s="53" t="n"/>
      <c r="C403" s="54" t="n"/>
      <c r="D403" s="55" t="n"/>
      <c r="E403" s="55" t="n"/>
      <c r="F403" s="55" t="n"/>
      <c r="G403" s="55" t="n"/>
      <c r="H403" s="55" t="n"/>
      <c r="I403" s="56" t="n"/>
      <c r="J403" s="55" t="n"/>
      <c r="K403" s="57" t="n"/>
      <c r="L403" s="58" t="n"/>
      <c r="M403" s="59" t="n"/>
      <c r="N403" s="59" t="n"/>
      <c r="O403" s="58" t="n"/>
      <c r="P403" s="55" t="n"/>
      <c r="Q403" s="55" t="n"/>
    </row>
    <row r="404" ht="15.75" customHeight="1" s="99">
      <c r="A404" s="41" t="n">
        <v>401</v>
      </c>
      <c r="B404" s="45" t="n"/>
      <c r="C404" s="46" t="n"/>
      <c r="D404" s="47" t="n"/>
      <c r="E404" s="47" t="n"/>
      <c r="F404" s="47" t="n"/>
      <c r="G404" s="47" t="n"/>
      <c r="H404" s="47" t="n"/>
      <c r="I404" s="48" t="n"/>
      <c r="J404" s="47" t="n"/>
      <c r="K404" s="49" t="n"/>
      <c r="L404" s="50" t="n"/>
      <c r="M404" s="51" t="n"/>
      <c r="N404" s="51" t="n"/>
      <c r="O404" s="50" t="n"/>
      <c r="P404" s="47" t="n"/>
      <c r="Q404" s="47" t="n"/>
    </row>
    <row r="405" ht="15.75" customHeight="1" s="99">
      <c r="A405" s="43" t="n">
        <v>402</v>
      </c>
      <c r="B405" s="53" t="n"/>
      <c r="C405" s="54" t="n"/>
      <c r="D405" s="55" t="n"/>
      <c r="E405" s="55" t="n"/>
      <c r="F405" s="55" t="n"/>
      <c r="G405" s="55" t="n"/>
      <c r="H405" s="55" t="n"/>
      <c r="I405" s="56" t="n"/>
      <c r="J405" s="55" t="n"/>
      <c r="K405" s="57" t="n"/>
      <c r="L405" s="58" t="n"/>
      <c r="M405" s="59" t="n"/>
      <c r="N405" s="59" t="n"/>
      <c r="O405" s="58" t="n"/>
      <c r="P405" s="55" t="n"/>
      <c r="Q405" s="55" t="n"/>
    </row>
    <row r="406" ht="15.75" customHeight="1" s="99">
      <c r="A406" s="41" t="n">
        <v>403</v>
      </c>
      <c r="B406" s="45" t="n"/>
      <c r="C406" s="46" t="n"/>
      <c r="D406" s="47" t="n"/>
      <c r="E406" s="47" t="n"/>
      <c r="F406" s="47" t="n"/>
      <c r="G406" s="47" t="n"/>
      <c r="H406" s="47" t="n"/>
      <c r="I406" s="48" t="n"/>
      <c r="J406" s="47" t="n"/>
      <c r="K406" s="49" t="n"/>
      <c r="L406" s="50" t="n"/>
      <c r="M406" s="51" t="n"/>
      <c r="N406" s="51" t="n"/>
      <c r="O406" s="50" t="n"/>
      <c r="P406" s="47" t="n"/>
      <c r="Q406" s="47" t="n"/>
    </row>
    <row r="407" ht="15.75" customHeight="1" s="99">
      <c r="A407" s="43" t="n">
        <v>404</v>
      </c>
      <c r="B407" s="53" t="n"/>
      <c r="C407" s="54" t="n"/>
      <c r="D407" s="55" t="n"/>
      <c r="E407" s="55" t="n"/>
      <c r="F407" s="55" t="n"/>
      <c r="G407" s="55" t="n"/>
      <c r="H407" s="55" t="n"/>
      <c r="I407" s="56" t="n"/>
      <c r="J407" s="55" t="n"/>
      <c r="K407" s="57" t="n"/>
      <c r="L407" s="58" t="n"/>
      <c r="M407" s="59" t="n"/>
      <c r="N407" s="59" t="n"/>
      <c r="O407" s="58" t="n"/>
      <c r="P407" s="55" t="n"/>
      <c r="Q407" s="55" t="n"/>
    </row>
    <row r="408" ht="15.75" customHeight="1" s="99">
      <c r="A408" s="41" t="n">
        <v>405</v>
      </c>
      <c r="B408" s="45" t="n"/>
      <c r="C408" s="46" t="n"/>
      <c r="D408" s="47" t="n"/>
      <c r="E408" s="47" t="n"/>
      <c r="F408" s="47" t="n"/>
      <c r="G408" s="47" t="n"/>
      <c r="H408" s="47" t="n"/>
      <c r="I408" s="48" t="n"/>
      <c r="J408" s="47" t="n"/>
      <c r="K408" s="49" t="n"/>
      <c r="L408" s="50" t="n"/>
      <c r="M408" s="51" t="n"/>
      <c r="N408" s="51" t="n"/>
      <c r="O408" s="50" t="n"/>
      <c r="P408" s="47" t="n"/>
      <c r="Q408" s="47" t="n"/>
    </row>
    <row r="409" ht="15.75" customHeight="1" s="99">
      <c r="A409" s="43" t="n">
        <v>406</v>
      </c>
      <c r="B409" s="53" t="n"/>
      <c r="C409" s="54" t="n"/>
      <c r="D409" s="55" t="n"/>
      <c r="E409" s="55" t="n"/>
      <c r="F409" s="55" t="n"/>
      <c r="G409" s="55" t="n"/>
      <c r="H409" s="55" t="n"/>
      <c r="I409" s="56" t="n"/>
      <c r="J409" s="55" t="n"/>
      <c r="K409" s="57" t="n"/>
      <c r="L409" s="58" t="n"/>
      <c r="M409" s="59" t="n"/>
      <c r="N409" s="59" t="n"/>
      <c r="O409" s="58" t="n"/>
      <c r="P409" s="55" t="n"/>
      <c r="Q409" s="55" t="n"/>
    </row>
    <row r="410" ht="15.75" customHeight="1" s="99">
      <c r="A410" s="41" t="n">
        <v>407</v>
      </c>
      <c r="B410" s="45" t="n"/>
      <c r="C410" s="46" t="n"/>
      <c r="D410" s="47" t="n"/>
      <c r="E410" s="47" t="n"/>
      <c r="F410" s="47" t="n"/>
      <c r="G410" s="47" t="n"/>
      <c r="H410" s="47" t="n"/>
      <c r="I410" s="48" t="n"/>
      <c r="J410" s="47" t="n"/>
      <c r="K410" s="49" t="n"/>
      <c r="L410" s="50" t="n"/>
      <c r="M410" s="51" t="n"/>
      <c r="N410" s="51" t="n"/>
      <c r="O410" s="50" t="n"/>
      <c r="P410" s="47" t="n"/>
      <c r="Q410" s="47" t="n"/>
    </row>
    <row r="411" ht="15.75" customHeight="1" s="99">
      <c r="A411" s="43" t="n">
        <v>408</v>
      </c>
      <c r="B411" s="53" t="n"/>
      <c r="C411" s="54" t="n"/>
      <c r="D411" s="55" t="n"/>
      <c r="E411" s="55" t="n"/>
      <c r="F411" s="55" t="n"/>
      <c r="G411" s="55" t="n"/>
      <c r="H411" s="55" t="n"/>
      <c r="I411" s="56" t="n"/>
      <c r="J411" s="55" t="n"/>
      <c r="K411" s="57" t="n"/>
      <c r="L411" s="58" t="n"/>
      <c r="M411" s="59" t="n"/>
      <c r="N411" s="59" t="n"/>
      <c r="O411" s="58" t="n"/>
      <c r="P411" s="55" t="n"/>
      <c r="Q411" s="55" t="n"/>
    </row>
    <row r="412" ht="15.75" customHeight="1" s="99">
      <c r="A412" s="41" t="n">
        <v>409</v>
      </c>
      <c r="B412" s="45" t="n"/>
      <c r="C412" s="46" t="n"/>
      <c r="D412" s="47" t="n"/>
      <c r="E412" s="47" t="n"/>
      <c r="F412" s="47" t="n"/>
      <c r="G412" s="47" t="n"/>
      <c r="H412" s="47" t="n"/>
      <c r="I412" s="48" t="n"/>
      <c r="J412" s="47" t="n"/>
      <c r="K412" s="49" t="n"/>
      <c r="L412" s="50" t="n"/>
      <c r="M412" s="51" t="n"/>
      <c r="N412" s="51" t="n"/>
      <c r="O412" s="50" t="n"/>
      <c r="P412" s="47" t="n"/>
      <c r="Q412" s="47" t="n"/>
    </row>
    <row r="413" ht="15.75" customHeight="1" s="99">
      <c r="A413" s="43" t="n">
        <v>410</v>
      </c>
      <c r="B413" s="53" t="n"/>
      <c r="C413" s="54" t="n"/>
      <c r="D413" s="55" t="n"/>
      <c r="E413" s="55" t="n"/>
      <c r="F413" s="55" t="n"/>
      <c r="G413" s="55" t="n"/>
      <c r="H413" s="55" t="n"/>
      <c r="I413" s="56" t="n"/>
      <c r="J413" s="55" t="n"/>
      <c r="K413" s="57" t="n"/>
      <c r="L413" s="58" t="n"/>
      <c r="M413" s="59" t="n"/>
      <c r="N413" s="59" t="n"/>
      <c r="O413" s="58" t="n"/>
      <c r="P413" s="55" t="n"/>
      <c r="Q413" s="55" t="n"/>
    </row>
    <row r="414" ht="15.75" customHeight="1" s="99">
      <c r="A414" s="41" t="n">
        <v>411</v>
      </c>
      <c r="B414" s="45" t="n"/>
      <c r="C414" s="46" t="n"/>
      <c r="D414" s="47" t="n"/>
      <c r="E414" s="47" t="n"/>
      <c r="F414" s="47" t="n"/>
      <c r="G414" s="47" t="n"/>
      <c r="H414" s="47" t="n"/>
      <c r="I414" s="48" t="n"/>
      <c r="J414" s="47" t="n"/>
      <c r="K414" s="49" t="n"/>
      <c r="L414" s="50" t="n"/>
      <c r="M414" s="51" t="n"/>
      <c r="N414" s="51" t="n"/>
      <c r="O414" s="50" t="n"/>
      <c r="P414" s="47" t="n"/>
      <c r="Q414" s="47" t="n"/>
    </row>
    <row r="415" ht="15.75" customHeight="1" s="99">
      <c r="A415" s="43" t="n">
        <v>412</v>
      </c>
      <c r="B415" s="53" t="n"/>
      <c r="C415" s="54" t="n"/>
      <c r="D415" s="55" t="n"/>
      <c r="E415" s="55" t="n"/>
      <c r="F415" s="55" t="n"/>
      <c r="G415" s="55" t="n"/>
      <c r="H415" s="55" t="n"/>
      <c r="I415" s="56" t="n"/>
      <c r="J415" s="55" t="n"/>
      <c r="K415" s="57" t="n"/>
      <c r="L415" s="58" t="n"/>
      <c r="M415" s="59" t="n"/>
      <c r="N415" s="59" t="n"/>
      <c r="O415" s="58" t="n"/>
      <c r="P415" s="55" t="n"/>
      <c r="Q415" s="55" t="n"/>
    </row>
    <row r="416" ht="15.75" customHeight="1" s="99">
      <c r="A416" s="41" t="n">
        <v>413</v>
      </c>
      <c r="B416" s="45" t="n"/>
      <c r="C416" s="46" t="n"/>
      <c r="D416" s="47" t="n"/>
      <c r="E416" s="47" t="n"/>
      <c r="F416" s="47" t="n"/>
      <c r="G416" s="47" t="n"/>
      <c r="H416" s="47" t="n"/>
      <c r="I416" s="48" t="n"/>
      <c r="J416" s="47" t="n"/>
      <c r="K416" s="49" t="n"/>
      <c r="L416" s="50" t="n"/>
      <c r="M416" s="51" t="n"/>
      <c r="N416" s="51" t="n"/>
      <c r="O416" s="50" t="n"/>
      <c r="P416" s="47" t="n"/>
      <c r="Q416" s="47" t="n"/>
    </row>
    <row r="417" ht="15.75" customHeight="1" s="99">
      <c r="A417" s="43" t="n">
        <v>414</v>
      </c>
      <c r="B417" s="53" t="n"/>
      <c r="C417" s="54" t="n"/>
      <c r="D417" s="55" t="n"/>
      <c r="E417" s="55" t="n"/>
      <c r="F417" s="55" t="n"/>
      <c r="G417" s="55" t="n"/>
      <c r="H417" s="55" t="n"/>
      <c r="I417" s="56" t="n"/>
      <c r="J417" s="55" t="n"/>
      <c r="K417" s="57" t="n"/>
      <c r="L417" s="58" t="n"/>
      <c r="M417" s="59" t="n"/>
      <c r="N417" s="59" t="n"/>
      <c r="O417" s="58" t="n"/>
      <c r="P417" s="55" t="n"/>
      <c r="Q417" s="55" t="n"/>
    </row>
    <row r="418" ht="15.75" customHeight="1" s="99">
      <c r="A418" s="41" t="n">
        <v>415</v>
      </c>
      <c r="B418" s="45" t="n"/>
      <c r="C418" s="46" t="n"/>
      <c r="D418" s="47" t="n"/>
      <c r="E418" s="47" t="n"/>
      <c r="F418" s="47" t="n"/>
      <c r="G418" s="47" t="n"/>
      <c r="H418" s="47" t="n"/>
      <c r="I418" s="48" t="n"/>
      <c r="J418" s="47" t="n"/>
      <c r="K418" s="49" t="n"/>
      <c r="L418" s="50" t="n"/>
      <c r="M418" s="51" t="n"/>
      <c r="N418" s="51" t="n"/>
      <c r="O418" s="50" t="n"/>
      <c r="P418" s="47" t="n"/>
      <c r="Q418" s="47" t="n"/>
    </row>
    <row r="419" ht="15.75" customHeight="1" s="99">
      <c r="A419" s="43" t="n">
        <v>416</v>
      </c>
      <c r="B419" s="53" t="n"/>
      <c r="C419" s="54" t="n"/>
      <c r="D419" s="55" t="n"/>
      <c r="E419" s="55" t="n"/>
      <c r="F419" s="55" t="n"/>
      <c r="G419" s="55" t="n"/>
      <c r="H419" s="55" t="n"/>
      <c r="I419" s="56" t="n"/>
      <c r="J419" s="55" t="n"/>
      <c r="K419" s="57" t="n"/>
      <c r="L419" s="58" t="n"/>
      <c r="M419" s="59" t="n"/>
      <c r="N419" s="59" t="n"/>
      <c r="O419" s="58" t="n"/>
      <c r="P419" s="55" t="n"/>
      <c r="Q419" s="55" t="n"/>
    </row>
    <row r="420" ht="15.75" customHeight="1" s="99">
      <c r="A420" s="41" t="n">
        <v>417</v>
      </c>
      <c r="B420" s="45" t="n"/>
      <c r="C420" s="46" t="n"/>
      <c r="D420" s="47" t="n"/>
      <c r="E420" s="47" t="n"/>
      <c r="F420" s="47" t="n"/>
      <c r="G420" s="47" t="n"/>
      <c r="H420" s="47" t="n"/>
      <c r="I420" s="48" t="n"/>
      <c r="J420" s="47" t="n"/>
      <c r="K420" s="49" t="n"/>
      <c r="L420" s="50" t="n"/>
      <c r="M420" s="51" t="n"/>
      <c r="N420" s="51" t="n"/>
      <c r="O420" s="50" t="n"/>
      <c r="P420" s="47" t="n"/>
      <c r="Q420" s="47" t="n"/>
    </row>
    <row r="421" ht="15.75" customHeight="1" s="99">
      <c r="A421" s="43" t="n">
        <v>418</v>
      </c>
      <c r="B421" s="53" t="n"/>
      <c r="C421" s="54" t="n"/>
      <c r="D421" s="55" t="n"/>
      <c r="E421" s="55" t="n"/>
      <c r="F421" s="55" t="n"/>
      <c r="G421" s="55" t="n"/>
      <c r="H421" s="55" t="n"/>
      <c r="I421" s="56" t="n"/>
      <c r="J421" s="55" t="n"/>
      <c r="K421" s="57" t="n"/>
      <c r="L421" s="58" t="n"/>
      <c r="M421" s="59" t="n"/>
      <c r="N421" s="59" t="n"/>
      <c r="O421" s="58" t="n"/>
      <c r="P421" s="55" t="n"/>
      <c r="Q421" s="55" t="n"/>
    </row>
    <row r="422" ht="15.75" customHeight="1" s="99">
      <c r="A422" s="41" t="n">
        <v>419</v>
      </c>
      <c r="B422" s="45" t="n"/>
      <c r="C422" s="46" t="n"/>
      <c r="D422" s="47" t="n"/>
      <c r="E422" s="47" t="n"/>
      <c r="F422" s="47" t="n"/>
      <c r="G422" s="47" t="n"/>
      <c r="H422" s="47" t="n"/>
      <c r="I422" s="48" t="n"/>
      <c r="J422" s="47" t="n"/>
      <c r="K422" s="49" t="n"/>
      <c r="L422" s="50" t="n"/>
      <c r="M422" s="51" t="n"/>
      <c r="N422" s="51" t="n"/>
      <c r="O422" s="50" t="n"/>
      <c r="P422" s="47" t="n"/>
      <c r="Q422" s="47" t="n"/>
    </row>
    <row r="423" ht="15.75" customHeight="1" s="99">
      <c r="A423" s="43" t="n">
        <v>420</v>
      </c>
      <c r="B423" s="53" t="n"/>
      <c r="C423" s="54" t="n"/>
      <c r="D423" s="55" t="n"/>
      <c r="E423" s="55" t="n"/>
      <c r="F423" s="55" t="n"/>
      <c r="G423" s="55" t="n"/>
      <c r="H423" s="55" t="n"/>
      <c r="I423" s="56" t="n"/>
      <c r="J423" s="55" t="n"/>
      <c r="K423" s="57" t="n"/>
      <c r="L423" s="58" t="n"/>
      <c r="M423" s="59" t="n"/>
      <c r="N423" s="59" t="n"/>
      <c r="O423" s="58" t="n"/>
      <c r="P423" s="55" t="n"/>
      <c r="Q423" s="55" t="n"/>
    </row>
    <row r="424" ht="15.75" customHeight="1" s="99">
      <c r="A424" s="41" t="n">
        <v>421</v>
      </c>
      <c r="B424" s="45" t="n"/>
      <c r="C424" s="46" t="n"/>
      <c r="D424" s="47" t="n"/>
      <c r="E424" s="47" t="n"/>
      <c r="F424" s="47" t="n"/>
      <c r="G424" s="47" t="n"/>
      <c r="H424" s="47" t="n"/>
      <c r="I424" s="48" t="n"/>
      <c r="J424" s="47" t="n"/>
      <c r="K424" s="49" t="n"/>
      <c r="L424" s="50" t="n"/>
      <c r="M424" s="51" t="n"/>
      <c r="N424" s="51" t="n"/>
      <c r="O424" s="50" t="n"/>
      <c r="P424" s="47" t="n"/>
      <c r="Q424" s="47" t="n"/>
    </row>
    <row r="425" ht="15.75" customHeight="1" s="99">
      <c r="A425" s="43" t="n">
        <v>422</v>
      </c>
      <c r="B425" s="53" t="n"/>
      <c r="C425" s="54" t="n"/>
      <c r="D425" s="55" t="n"/>
      <c r="E425" s="55" t="n"/>
      <c r="F425" s="55" t="n"/>
      <c r="G425" s="55" t="n"/>
      <c r="H425" s="55" t="n"/>
      <c r="I425" s="56" t="n"/>
      <c r="J425" s="55" t="n"/>
      <c r="K425" s="57" t="n"/>
      <c r="L425" s="58" t="n"/>
      <c r="M425" s="59" t="n"/>
      <c r="N425" s="59" t="n"/>
      <c r="O425" s="58" t="n"/>
      <c r="P425" s="55" t="n"/>
      <c r="Q425" s="55" t="n"/>
    </row>
    <row r="426" ht="15.75" customHeight="1" s="99">
      <c r="A426" s="41" t="n">
        <v>423</v>
      </c>
      <c r="B426" s="45" t="n"/>
      <c r="C426" s="46" t="n"/>
      <c r="D426" s="47" t="n"/>
      <c r="E426" s="47" t="n"/>
      <c r="F426" s="47" t="n"/>
      <c r="G426" s="47" t="n"/>
      <c r="H426" s="47" t="n"/>
      <c r="I426" s="48" t="n"/>
      <c r="J426" s="47" t="n"/>
      <c r="K426" s="49" t="n"/>
      <c r="L426" s="50" t="n"/>
      <c r="M426" s="51" t="n"/>
      <c r="N426" s="51" t="n"/>
      <c r="O426" s="50" t="n"/>
      <c r="P426" s="47" t="n"/>
      <c r="Q426" s="47" t="n"/>
    </row>
    <row r="427" ht="15.75" customHeight="1" s="99">
      <c r="A427" s="43" t="n">
        <v>424</v>
      </c>
      <c r="B427" s="53" t="n"/>
      <c r="C427" s="54" t="n"/>
      <c r="D427" s="55" t="n"/>
      <c r="E427" s="55" t="n"/>
      <c r="F427" s="55" t="n"/>
      <c r="G427" s="55" t="n"/>
      <c r="H427" s="55" t="n"/>
      <c r="I427" s="56" t="n"/>
      <c r="J427" s="55" t="n"/>
      <c r="K427" s="57" t="n"/>
      <c r="L427" s="58" t="n"/>
      <c r="M427" s="59" t="n"/>
      <c r="N427" s="59" t="n"/>
      <c r="O427" s="58" t="n"/>
      <c r="P427" s="55" t="n"/>
      <c r="Q427" s="55" t="n"/>
    </row>
    <row r="428" ht="15.75" customHeight="1" s="99">
      <c r="A428" s="41" t="n">
        <v>425</v>
      </c>
      <c r="B428" s="45" t="n"/>
      <c r="C428" s="46" t="n"/>
      <c r="D428" s="47" t="n"/>
      <c r="E428" s="47" t="n"/>
      <c r="F428" s="47" t="n"/>
      <c r="G428" s="47" t="n"/>
      <c r="H428" s="47" t="n"/>
      <c r="I428" s="48" t="n"/>
      <c r="J428" s="47" t="n"/>
      <c r="K428" s="49" t="n"/>
      <c r="L428" s="50" t="n"/>
      <c r="M428" s="51" t="n"/>
      <c r="N428" s="51" t="n"/>
      <c r="O428" s="50" t="n"/>
      <c r="P428" s="47" t="n"/>
      <c r="Q428" s="47" t="n"/>
    </row>
    <row r="429" ht="15.75" customHeight="1" s="99">
      <c r="A429" s="43" t="n">
        <v>426</v>
      </c>
      <c r="B429" s="53" t="n"/>
      <c r="C429" s="54" t="n"/>
      <c r="D429" s="55" t="n"/>
      <c r="E429" s="55" t="n"/>
      <c r="F429" s="55" t="n"/>
      <c r="G429" s="55" t="n"/>
      <c r="H429" s="55" t="n"/>
      <c r="I429" s="56" t="n"/>
      <c r="J429" s="55" t="n"/>
      <c r="K429" s="57" t="n"/>
      <c r="L429" s="58" t="n"/>
      <c r="M429" s="59" t="n"/>
      <c r="N429" s="59" t="n"/>
      <c r="O429" s="58" t="n"/>
      <c r="P429" s="55" t="n"/>
      <c r="Q429" s="55" t="n"/>
    </row>
    <row r="430" ht="15.75" customHeight="1" s="99">
      <c r="A430" s="41" t="n">
        <v>427</v>
      </c>
      <c r="B430" s="45" t="n"/>
      <c r="C430" s="46" t="n"/>
      <c r="D430" s="47" t="n"/>
      <c r="E430" s="47" t="n"/>
      <c r="F430" s="47" t="n"/>
      <c r="G430" s="47" t="n"/>
      <c r="H430" s="47" t="n"/>
      <c r="I430" s="48" t="n"/>
      <c r="J430" s="47" t="n"/>
      <c r="K430" s="49" t="n"/>
      <c r="L430" s="50" t="n"/>
      <c r="M430" s="51" t="n"/>
      <c r="N430" s="51" t="n"/>
      <c r="O430" s="50" t="n"/>
      <c r="P430" s="47" t="n"/>
      <c r="Q430" s="47" t="n"/>
    </row>
    <row r="431" ht="15.75" customHeight="1" s="99">
      <c r="A431" s="43" t="n">
        <v>428</v>
      </c>
      <c r="B431" s="53" t="n"/>
      <c r="C431" s="54" t="n"/>
      <c r="D431" s="55" t="n"/>
      <c r="E431" s="55" t="n"/>
      <c r="F431" s="55" t="n"/>
      <c r="G431" s="55" t="n"/>
      <c r="H431" s="55" t="n"/>
      <c r="I431" s="56" t="n"/>
      <c r="J431" s="55" t="n"/>
      <c r="K431" s="57" t="n"/>
      <c r="L431" s="58" t="n"/>
      <c r="M431" s="59" t="n"/>
      <c r="N431" s="59" t="n"/>
      <c r="O431" s="58" t="n"/>
      <c r="P431" s="55" t="n"/>
      <c r="Q431" s="55" t="n"/>
    </row>
    <row r="432" ht="15.75" customHeight="1" s="99">
      <c r="A432" s="41" t="n">
        <v>429</v>
      </c>
      <c r="B432" s="45" t="n"/>
      <c r="C432" s="46" t="n"/>
      <c r="D432" s="47" t="n"/>
      <c r="E432" s="47" t="n"/>
      <c r="F432" s="47" t="n"/>
      <c r="G432" s="47" t="n"/>
      <c r="H432" s="47" t="n"/>
      <c r="I432" s="48" t="n"/>
      <c r="J432" s="47" t="n"/>
      <c r="K432" s="49" t="n"/>
      <c r="L432" s="50" t="n"/>
      <c r="M432" s="51" t="n"/>
      <c r="N432" s="51" t="n"/>
      <c r="O432" s="50" t="n"/>
      <c r="P432" s="47" t="n"/>
      <c r="Q432" s="47" t="n"/>
    </row>
    <row r="433" ht="15.75" customHeight="1" s="99">
      <c r="A433" s="43" t="n">
        <v>430</v>
      </c>
      <c r="B433" s="53" t="n"/>
      <c r="C433" s="54" t="n"/>
      <c r="D433" s="55" t="n"/>
      <c r="E433" s="55" t="n"/>
      <c r="F433" s="55" t="n"/>
      <c r="G433" s="55" t="n"/>
      <c r="H433" s="55" t="n"/>
      <c r="I433" s="56" t="n"/>
      <c r="J433" s="55" t="n"/>
      <c r="K433" s="57" t="n"/>
      <c r="L433" s="58" t="n"/>
      <c r="M433" s="59" t="n"/>
      <c r="N433" s="59" t="n"/>
      <c r="O433" s="58" t="n"/>
      <c r="P433" s="55" t="n"/>
      <c r="Q433" s="55" t="n"/>
    </row>
    <row r="434" ht="15.75" customHeight="1" s="99">
      <c r="A434" s="41" t="n">
        <v>431</v>
      </c>
      <c r="B434" s="45" t="n"/>
      <c r="C434" s="46" t="n"/>
      <c r="D434" s="47" t="n"/>
      <c r="E434" s="47" t="n"/>
      <c r="F434" s="47" t="n"/>
      <c r="G434" s="47" t="n"/>
      <c r="H434" s="47" t="n"/>
      <c r="I434" s="48" t="n"/>
      <c r="J434" s="47" t="n"/>
      <c r="K434" s="49" t="n"/>
      <c r="L434" s="50" t="n"/>
      <c r="M434" s="51" t="n"/>
      <c r="N434" s="51" t="n"/>
      <c r="O434" s="50" t="n"/>
      <c r="P434" s="47" t="n"/>
      <c r="Q434" s="47" t="n"/>
    </row>
    <row r="435" ht="15.75" customHeight="1" s="99">
      <c r="A435" s="43" t="n">
        <v>432</v>
      </c>
      <c r="B435" s="53" t="n"/>
      <c r="C435" s="54" t="n"/>
      <c r="D435" s="55" t="n"/>
      <c r="E435" s="55" t="n"/>
      <c r="F435" s="55" t="n"/>
      <c r="G435" s="55" t="n"/>
      <c r="H435" s="55" t="n"/>
      <c r="I435" s="56" t="n"/>
      <c r="J435" s="55" t="n"/>
      <c r="K435" s="57" t="n"/>
      <c r="L435" s="58" t="n"/>
      <c r="M435" s="59" t="n"/>
      <c r="N435" s="59" t="n"/>
      <c r="O435" s="58" t="n"/>
      <c r="P435" s="55" t="n"/>
      <c r="Q435" s="55" t="n"/>
    </row>
    <row r="436" ht="15.75" customHeight="1" s="99">
      <c r="A436" s="41" t="n">
        <v>433</v>
      </c>
      <c r="B436" s="45" t="n"/>
      <c r="C436" s="46" t="n"/>
      <c r="D436" s="47" t="n"/>
      <c r="E436" s="47" t="n"/>
      <c r="F436" s="47" t="n"/>
      <c r="G436" s="47" t="n"/>
      <c r="H436" s="47" t="n"/>
      <c r="I436" s="48" t="n"/>
      <c r="J436" s="47" t="n"/>
      <c r="K436" s="49" t="n"/>
      <c r="L436" s="50" t="n"/>
      <c r="M436" s="51" t="n"/>
      <c r="N436" s="51" t="n"/>
      <c r="O436" s="50" t="n"/>
      <c r="P436" s="47" t="n"/>
      <c r="Q436" s="47" t="n"/>
    </row>
    <row r="437" ht="15.75" customHeight="1" s="99">
      <c r="A437" s="43" t="n">
        <v>434</v>
      </c>
      <c r="B437" s="53" t="n"/>
      <c r="C437" s="54" t="n"/>
      <c r="D437" s="55" t="n"/>
      <c r="E437" s="55" t="n"/>
      <c r="F437" s="55" t="n"/>
      <c r="G437" s="55" t="n"/>
      <c r="H437" s="55" t="n"/>
      <c r="I437" s="56" t="n"/>
      <c r="J437" s="55" t="n"/>
      <c r="K437" s="57" t="n"/>
      <c r="L437" s="58" t="n"/>
      <c r="M437" s="59" t="n"/>
      <c r="N437" s="59" t="n"/>
      <c r="O437" s="58" t="n"/>
      <c r="P437" s="55" t="n"/>
      <c r="Q437" s="55" t="n"/>
    </row>
    <row r="438" ht="15.75" customHeight="1" s="99">
      <c r="A438" s="41" t="n">
        <v>435</v>
      </c>
      <c r="B438" s="45" t="n"/>
      <c r="C438" s="46" t="n"/>
      <c r="D438" s="47" t="n"/>
      <c r="E438" s="47" t="n"/>
      <c r="F438" s="47" t="n"/>
      <c r="G438" s="47" t="n"/>
      <c r="H438" s="47" t="n"/>
      <c r="I438" s="48" t="n"/>
      <c r="J438" s="47" t="n"/>
      <c r="K438" s="49" t="n"/>
      <c r="L438" s="50" t="n"/>
      <c r="M438" s="51" t="n"/>
      <c r="N438" s="51" t="n"/>
      <c r="O438" s="50" t="n"/>
      <c r="P438" s="47" t="n"/>
      <c r="Q438" s="47" t="n"/>
    </row>
    <row r="439" ht="15.75" customHeight="1" s="99">
      <c r="A439" s="43" t="n">
        <v>436</v>
      </c>
      <c r="B439" s="53" t="n"/>
      <c r="C439" s="54" t="n"/>
      <c r="D439" s="55" t="n"/>
      <c r="E439" s="55" t="n"/>
      <c r="F439" s="55" t="n"/>
      <c r="G439" s="55" t="n"/>
      <c r="H439" s="55" t="n"/>
      <c r="I439" s="56" t="n"/>
      <c r="J439" s="55" t="n"/>
      <c r="K439" s="57" t="n"/>
      <c r="L439" s="58" t="n"/>
      <c r="M439" s="59" t="n"/>
      <c r="N439" s="59" t="n"/>
      <c r="O439" s="58" t="n"/>
      <c r="P439" s="55" t="n"/>
      <c r="Q439" s="55" t="n"/>
    </row>
    <row r="440" ht="15.75" customHeight="1" s="99">
      <c r="A440" s="41" t="n">
        <v>437</v>
      </c>
      <c r="B440" s="45" t="n"/>
      <c r="C440" s="46" t="n"/>
      <c r="D440" s="47" t="n"/>
      <c r="E440" s="47" t="n"/>
      <c r="F440" s="47" t="n"/>
      <c r="G440" s="47" t="n"/>
      <c r="H440" s="47" t="n"/>
      <c r="I440" s="48" t="n"/>
      <c r="J440" s="47" t="n"/>
      <c r="K440" s="49" t="n"/>
      <c r="L440" s="50" t="n"/>
      <c r="M440" s="51" t="n"/>
      <c r="N440" s="51" t="n"/>
      <c r="O440" s="50" t="n"/>
      <c r="P440" s="47" t="n"/>
      <c r="Q440" s="47" t="n"/>
    </row>
    <row r="441" ht="15.75" customHeight="1" s="99">
      <c r="A441" s="43" t="n">
        <v>438</v>
      </c>
      <c r="B441" s="53" t="n"/>
      <c r="C441" s="54" t="n"/>
      <c r="D441" s="55" t="n"/>
      <c r="E441" s="55" t="n"/>
      <c r="F441" s="55" t="n"/>
      <c r="G441" s="55" t="n"/>
      <c r="H441" s="55" t="n"/>
      <c r="I441" s="56" t="n"/>
      <c r="J441" s="55" t="n"/>
      <c r="K441" s="57" t="n"/>
      <c r="L441" s="58" t="n"/>
      <c r="M441" s="59" t="n"/>
      <c r="N441" s="59" t="n"/>
      <c r="O441" s="58" t="n"/>
      <c r="P441" s="55" t="n"/>
      <c r="Q441" s="55" t="n"/>
    </row>
    <row r="442" ht="15.75" customHeight="1" s="99">
      <c r="A442" s="41" t="n">
        <v>439</v>
      </c>
      <c r="B442" s="45" t="n"/>
      <c r="C442" s="46" t="n"/>
      <c r="D442" s="47" t="n"/>
      <c r="E442" s="47" t="n"/>
      <c r="F442" s="47" t="n"/>
      <c r="G442" s="47" t="n"/>
      <c r="H442" s="47" t="n"/>
      <c r="I442" s="48" t="n"/>
      <c r="J442" s="47" t="n"/>
      <c r="K442" s="49" t="n"/>
      <c r="L442" s="50" t="n"/>
      <c r="M442" s="51" t="n"/>
      <c r="N442" s="51" t="n"/>
      <c r="O442" s="50" t="n"/>
      <c r="P442" s="47" t="n"/>
      <c r="Q442" s="47" t="n"/>
    </row>
    <row r="443" ht="15.75" customHeight="1" s="99">
      <c r="A443" s="43" t="n">
        <v>440</v>
      </c>
      <c r="B443" s="53" t="n"/>
      <c r="C443" s="54" t="n"/>
      <c r="D443" s="55" t="n"/>
      <c r="E443" s="55" t="n"/>
      <c r="F443" s="55" t="n"/>
      <c r="G443" s="55" t="n"/>
      <c r="H443" s="55" t="n"/>
      <c r="I443" s="56" t="n"/>
      <c r="J443" s="55" t="n"/>
      <c r="K443" s="57" t="n"/>
      <c r="L443" s="58" t="n"/>
      <c r="M443" s="59" t="n"/>
      <c r="N443" s="59" t="n"/>
      <c r="O443" s="58" t="n"/>
      <c r="P443" s="55" t="n"/>
      <c r="Q443" s="55" t="n"/>
    </row>
    <row r="444" ht="15.75" customHeight="1" s="99">
      <c r="A444" s="41" t="n">
        <v>441</v>
      </c>
      <c r="B444" s="45" t="n"/>
      <c r="C444" s="46" t="n"/>
      <c r="D444" s="47" t="n"/>
      <c r="E444" s="47" t="n"/>
      <c r="F444" s="47" t="n"/>
      <c r="G444" s="47" t="n"/>
      <c r="H444" s="47" t="n"/>
      <c r="I444" s="48" t="n"/>
      <c r="J444" s="47" t="n"/>
      <c r="K444" s="49" t="n"/>
      <c r="L444" s="50" t="n"/>
      <c r="M444" s="51" t="n"/>
      <c r="N444" s="51" t="n"/>
      <c r="O444" s="50" t="n"/>
      <c r="P444" s="47" t="n"/>
      <c r="Q444" s="47" t="n"/>
    </row>
    <row r="445" ht="15.75" customHeight="1" s="99">
      <c r="A445" s="43" t="n">
        <v>442</v>
      </c>
      <c r="B445" s="53" t="n"/>
      <c r="C445" s="54" t="n"/>
      <c r="D445" s="55" t="n"/>
      <c r="E445" s="55" t="n"/>
      <c r="F445" s="55" t="n"/>
      <c r="G445" s="55" t="n"/>
      <c r="H445" s="55" t="n"/>
      <c r="I445" s="56" t="n"/>
      <c r="J445" s="55" t="n"/>
      <c r="K445" s="57" t="n"/>
      <c r="L445" s="58" t="n"/>
      <c r="M445" s="59" t="n"/>
      <c r="N445" s="59" t="n"/>
      <c r="O445" s="58" t="n"/>
      <c r="P445" s="55" t="n"/>
      <c r="Q445" s="55" t="n"/>
    </row>
    <row r="446" ht="15.75" customHeight="1" s="99">
      <c r="A446" s="41" t="n">
        <v>443</v>
      </c>
      <c r="B446" s="45" t="n"/>
      <c r="C446" s="46" t="n"/>
      <c r="D446" s="47" t="n"/>
      <c r="E446" s="47" t="n"/>
      <c r="F446" s="47" t="n"/>
      <c r="G446" s="47" t="n"/>
      <c r="H446" s="47" t="n"/>
      <c r="I446" s="48" t="n"/>
      <c r="J446" s="47" t="n"/>
      <c r="K446" s="49" t="n"/>
      <c r="L446" s="50" t="n"/>
      <c r="M446" s="51" t="n"/>
      <c r="N446" s="51" t="n"/>
      <c r="O446" s="50" t="n"/>
      <c r="P446" s="47" t="n"/>
      <c r="Q446" s="47" t="n"/>
    </row>
    <row r="447" ht="15.75" customHeight="1" s="99">
      <c r="A447" s="43" t="n">
        <v>444</v>
      </c>
      <c r="B447" s="53" t="n"/>
      <c r="C447" s="54" t="n"/>
      <c r="D447" s="55" t="n"/>
      <c r="E447" s="55" t="n"/>
      <c r="F447" s="55" t="n"/>
      <c r="G447" s="55" t="n"/>
      <c r="H447" s="55" t="n"/>
      <c r="I447" s="56" t="n"/>
      <c r="J447" s="55" t="n"/>
      <c r="K447" s="57" t="n"/>
      <c r="L447" s="58" t="n"/>
      <c r="M447" s="59" t="n"/>
      <c r="N447" s="59" t="n"/>
      <c r="O447" s="58" t="n"/>
      <c r="P447" s="55" t="n"/>
      <c r="Q447" s="55" t="n"/>
    </row>
    <row r="448" ht="15.75" customHeight="1" s="99">
      <c r="A448" s="41" t="n">
        <v>445</v>
      </c>
      <c r="B448" s="45" t="n"/>
      <c r="C448" s="46" t="n"/>
      <c r="D448" s="47" t="n"/>
      <c r="E448" s="47" t="n"/>
      <c r="F448" s="47" t="n"/>
      <c r="G448" s="47" t="n"/>
      <c r="H448" s="47" t="n"/>
      <c r="I448" s="48" t="n"/>
      <c r="J448" s="47" t="n"/>
      <c r="K448" s="49" t="n"/>
      <c r="L448" s="50" t="n"/>
      <c r="M448" s="51" t="n"/>
      <c r="N448" s="51" t="n"/>
      <c r="O448" s="50" t="n"/>
      <c r="P448" s="47" t="n"/>
      <c r="Q448" s="47" t="n"/>
    </row>
    <row r="449" ht="15.75" customHeight="1" s="99">
      <c r="A449" s="43" t="n">
        <v>446</v>
      </c>
      <c r="B449" s="53" t="n"/>
      <c r="C449" s="54" t="n"/>
      <c r="D449" s="55" t="n"/>
      <c r="E449" s="55" t="n"/>
      <c r="F449" s="55" t="n"/>
      <c r="G449" s="55" t="n"/>
      <c r="H449" s="55" t="n"/>
      <c r="I449" s="56" t="n"/>
      <c r="J449" s="55" t="n"/>
      <c r="K449" s="57" t="n"/>
      <c r="L449" s="58" t="n"/>
      <c r="M449" s="59" t="n"/>
      <c r="N449" s="59" t="n"/>
      <c r="O449" s="58" t="n"/>
      <c r="P449" s="55" t="n"/>
      <c r="Q449" s="55" t="n"/>
    </row>
    <row r="450" ht="15.75" customHeight="1" s="99">
      <c r="A450" s="41" t="n">
        <v>447</v>
      </c>
      <c r="B450" s="45" t="n"/>
      <c r="C450" s="46" t="n"/>
      <c r="D450" s="47" t="n"/>
      <c r="E450" s="47" t="n"/>
      <c r="F450" s="47" t="n"/>
      <c r="G450" s="47" t="n"/>
      <c r="H450" s="47" t="n"/>
      <c r="I450" s="48" t="n"/>
      <c r="J450" s="47" t="n"/>
      <c r="K450" s="49" t="n"/>
      <c r="L450" s="50" t="n"/>
      <c r="M450" s="51" t="n"/>
      <c r="N450" s="51" t="n"/>
      <c r="O450" s="50" t="n"/>
      <c r="P450" s="47" t="n"/>
      <c r="Q450" s="47" t="n"/>
    </row>
    <row r="451" ht="15.75" customHeight="1" s="99">
      <c r="A451" s="43" t="n">
        <v>448</v>
      </c>
      <c r="B451" s="53" t="n"/>
      <c r="C451" s="54" t="n"/>
      <c r="D451" s="55" t="n"/>
      <c r="E451" s="55" t="n"/>
      <c r="F451" s="55" t="n"/>
      <c r="G451" s="55" t="n"/>
      <c r="H451" s="55" t="n"/>
      <c r="I451" s="56" t="n"/>
      <c r="J451" s="55" t="n"/>
      <c r="K451" s="57" t="n"/>
      <c r="L451" s="58" t="n"/>
      <c r="M451" s="59" t="n"/>
      <c r="N451" s="59" t="n"/>
      <c r="O451" s="58" t="n"/>
      <c r="P451" s="55" t="n"/>
      <c r="Q451" s="55" t="n"/>
    </row>
    <row r="452" ht="15.75" customHeight="1" s="99">
      <c r="A452" s="41" t="n">
        <v>449</v>
      </c>
      <c r="B452" s="45" t="n"/>
      <c r="C452" s="46" t="n"/>
      <c r="D452" s="47" t="n"/>
      <c r="E452" s="47" t="n"/>
      <c r="F452" s="47" t="n"/>
      <c r="G452" s="47" t="n"/>
      <c r="H452" s="47" t="n"/>
      <c r="I452" s="48" t="n"/>
      <c r="J452" s="47" t="n"/>
      <c r="K452" s="49" t="n"/>
      <c r="L452" s="50" t="n"/>
      <c r="M452" s="51" t="n"/>
      <c r="N452" s="51" t="n"/>
      <c r="O452" s="50" t="n"/>
      <c r="P452" s="47" t="n"/>
      <c r="Q452" s="47" t="n"/>
    </row>
    <row r="453" ht="15.75" customHeight="1" s="99">
      <c r="A453" s="43" t="n">
        <v>450</v>
      </c>
      <c r="B453" s="53" t="n"/>
      <c r="C453" s="54" t="n"/>
      <c r="D453" s="55" t="n"/>
      <c r="E453" s="55" t="n"/>
      <c r="F453" s="55" t="n"/>
      <c r="G453" s="55" t="n"/>
      <c r="H453" s="55" t="n"/>
      <c r="I453" s="56" t="n"/>
      <c r="J453" s="55" t="n"/>
      <c r="K453" s="57" t="n"/>
      <c r="L453" s="58" t="n"/>
      <c r="M453" s="59" t="n"/>
      <c r="N453" s="59" t="n"/>
      <c r="O453" s="58" t="n"/>
      <c r="P453" s="55" t="n"/>
      <c r="Q453" s="55" t="n"/>
    </row>
    <row r="454" ht="15.75" customHeight="1" s="99">
      <c r="A454" s="41" t="n">
        <v>451</v>
      </c>
      <c r="B454" s="45" t="n"/>
      <c r="C454" s="46" t="n"/>
      <c r="D454" s="47" t="n"/>
      <c r="E454" s="47" t="n"/>
      <c r="F454" s="47" t="n"/>
      <c r="G454" s="47" t="n"/>
      <c r="H454" s="47" t="n"/>
      <c r="I454" s="48" t="n"/>
      <c r="J454" s="47" t="n"/>
      <c r="K454" s="49" t="n"/>
      <c r="L454" s="50" t="n"/>
      <c r="M454" s="51" t="n"/>
      <c r="N454" s="51" t="n"/>
      <c r="O454" s="50" t="n"/>
      <c r="P454" s="47" t="n"/>
      <c r="Q454" s="47" t="n"/>
    </row>
    <row r="455" ht="15.75" customHeight="1" s="99">
      <c r="A455" s="43" t="n">
        <v>452</v>
      </c>
      <c r="B455" s="53" t="n"/>
      <c r="C455" s="54" t="n"/>
      <c r="D455" s="55" t="n"/>
      <c r="E455" s="55" t="n"/>
      <c r="F455" s="55" t="n"/>
      <c r="G455" s="55" t="n"/>
      <c r="H455" s="55" t="n"/>
      <c r="I455" s="56" t="n"/>
      <c r="J455" s="55" t="n"/>
      <c r="K455" s="57" t="n"/>
      <c r="L455" s="58" t="n"/>
      <c r="M455" s="59" t="n"/>
      <c r="N455" s="59" t="n"/>
      <c r="O455" s="58" t="n"/>
      <c r="P455" s="55" t="n"/>
      <c r="Q455" s="55" t="n"/>
    </row>
    <row r="456" ht="15.75" customHeight="1" s="99">
      <c r="A456" s="41" t="n">
        <v>453</v>
      </c>
      <c r="B456" s="45" t="n"/>
      <c r="C456" s="46" t="n"/>
      <c r="D456" s="47" t="n"/>
      <c r="E456" s="47" t="n"/>
      <c r="F456" s="47" t="n"/>
      <c r="G456" s="47" t="n"/>
      <c r="H456" s="47" t="n"/>
      <c r="I456" s="48" t="n"/>
      <c r="J456" s="47" t="n"/>
      <c r="K456" s="49" t="n"/>
      <c r="L456" s="50" t="n"/>
      <c r="M456" s="51" t="n"/>
      <c r="N456" s="51" t="n"/>
      <c r="O456" s="50" t="n"/>
      <c r="P456" s="47" t="n"/>
      <c r="Q456" s="47" t="n"/>
    </row>
    <row r="457" ht="15.75" customHeight="1" s="99">
      <c r="A457" s="43" t="n">
        <v>454</v>
      </c>
      <c r="B457" s="53" t="n"/>
      <c r="C457" s="54" t="n"/>
      <c r="D457" s="55" t="n"/>
      <c r="E457" s="55" t="n"/>
      <c r="F457" s="55" t="n"/>
      <c r="G457" s="55" t="n"/>
      <c r="H457" s="55" t="n"/>
      <c r="I457" s="56" t="n"/>
      <c r="J457" s="55" t="n"/>
      <c r="K457" s="57" t="n"/>
      <c r="L457" s="58" t="n"/>
      <c r="M457" s="59" t="n"/>
      <c r="N457" s="59" t="n"/>
      <c r="O457" s="58" t="n"/>
      <c r="P457" s="55" t="n"/>
      <c r="Q457" s="55" t="n"/>
    </row>
    <row r="458" ht="15.75" customHeight="1" s="99">
      <c r="A458" s="41" t="n">
        <v>455</v>
      </c>
      <c r="B458" s="45" t="n"/>
      <c r="C458" s="46" t="n"/>
      <c r="D458" s="47" t="n"/>
      <c r="E458" s="47" t="n"/>
      <c r="F458" s="47" t="n"/>
      <c r="G458" s="47" t="n"/>
      <c r="H458" s="47" t="n"/>
      <c r="I458" s="48" t="n"/>
      <c r="J458" s="47" t="n"/>
      <c r="K458" s="49" t="n"/>
      <c r="L458" s="50" t="n"/>
      <c r="M458" s="51" t="n"/>
      <c r="N458" s="51" t="n"/>
      <c r="O458" s="50" t="n"/>
      <c r="P458" s="47" t="n"/>
      <c r="Q458" s="47" t="n"/>
    </row>
    <row r="459" ht="15.75" customHeight="1" s="99">
      <c r="A459" s="43" t="n">
        <v>456</v>
      </c>
      <c r="B459" s="53" t="n"/>
      <c r="C459" s="54" t="n"/>
      <c r="D459" s="55" t="n"/>
      <c r="E459" s="55" t="n"/>
      <c r="F459" s="55" t="n"/>
      <c r="G459" s="55" t="n"/>
      <c r="H459" s="55" t="n"/>
      <c r="I459" s="56" t="n"/>
      <c r="J459" s="55" t="n"/>
      <c r="K459" s="57" t="n"/>
      <c r="L459" s="58" t="n"/>
      <c r="M459" s="59" t="n"/>
      <c r="N459" s="59" t="n"/>
      <c r="O459" s="58" t="n"/>
      <c r="P459" s="55" t="n"/>
      <c r="Q459" s="55" t="n"/>
    </row>
    <row r="460" ht="15.75" customHeight="1" s="99">
      <c r="A460" s="41" t="n">
        <v>457</v>
      </c>
      <c r="B460" s="45" t="n"/>
      <c r="C460" s="46" t="n"/>
      <c r="D460" s="47" t="n"/>
      <c r="E460" s="47" t="n"/>
      <c r="F460" s="47" t="n"/>
      <c r="G460" s="47" t="n"/>
      <c r="H460" s="47" t="n"/>
      <c r="I460" s="48" t="n"/>
      <c r="J460" s="47" t="n"/>
      <c r="K460" s="49" t="n"/>
      <c r="L460" s="50" t="n"/>
      <c r="M460" s="51" t="n"/>
      <c r="N460" s="51" t="n"/>
      <c r="O460" s="50" t="n"/>
      <c r="P460" s="47" t="n"/>
      <c r="Q460" s="47" t="n"/>
    </row>
    <row r="461" ht="15.75" customHeight="1" s="99">
      <c r="A461" s="43" t="n">
        <v>458</v>
      </c>
      <c r="B461" s="53" t="n"/>
      <c r="C461" s="54" t="n"/>
      <c r="D461" s="55" t="n"/>
      <c r="E461" s="55" t="n"/>
      <c r="F461" s="55" t="n"/>
      <c r="G461" s="55" t="n"/>
      <c r="H461" s="55" t="n"/>
      <c r="I461" s="56" t="n"/>
      <c r="J461" s="55" t="n"/>
      <c r="K461" s="57" t="n"/>
      <c r="L461" s="58" t="n"/>
      <c r="M461" s="59" t="n"/>
      <c r="N461" s="59" t="n"/>
      <c r="O461" s="58" t="n"/>
      <c r="P461" s="55" t="n"/>
      <c r="Q461" s="55" t="n"/>
    </row>
    <row r="462" ht="15.75" customHeight="1" s="99">
      <c r="A462" s="41" t="n">
        <v>459</v>
      </c>
      <c r="B462" s="45" t="n"/>
      <c r="C462" s="46" t="n"/>
      <c r="D462" s="47" t="n"/>
      <c r="E462" s="47" t="n"/>
      <c r="F462" s="47" t="n"/>
      <c r="G462" s="47" t="n"/>
      <c r="H462" s="47" t="n"/>
      <c r="I462" s="48" t="n"/>
      <c r="J462" s="47" t="n"/>
      <c r="K462" s="49" t="n"/>
      <c r="L462" s="50" t="n"/>
      <c r="M462" s="51" t="n"/>
      <c r="N462" s="51" t="n"/>
      <c r="O462" s="50" t="n"/>
      <c r="P462" s="47" t="n"/>
      <c r="Q462" s="47" t="n"/>
    </row>
    <row r="463" ht="15.75" customHeight="1" s="99">
      <c r="A463" s="43" t="n">
        <v>460</v>
      </c>
      <c r="B463" s="53" t="n"/>
      <c r="C463" s="54" t="n"/>
      <c r="D463" s="55" t="n"/>
      <c r="E463" s="55" t="n"/>
      <c r="F463" s="55" t="n"/>
      <c r="G463" s="55" t="n"/>
      <c r="H463" s="55" t="n"/>
      <c r="I463" s="56" t="n"/>
      <c r="J463" s="55" t="n"/>
      <c r="K463" s="57" t="n"/>
      <c r="L463" s="58" t="n"/>
      <c r="M463" s="59" t="n"/>
      <c r="N463" s="59" t="n"/>
      <c r="O463" s="58" t="n"/>
      <c r="P463" s="55" t="n"/>
      <c r="Q463" s="55" t="n"/>
    </row>
    <row r="464" ht="15.75" customHeight="1" s="99">
      <c r="A464" s="41" t="n">
        <v>461</v>
      </c>
      <c r="B464" s="45" t="n"/>
      <c r="C464" s="46" t="n"/>
      <c r="D464" s="47" t="n"/>
      <c r="E464" s="47" t="n"/>
      <c r="F464" s="47" t="n"/>
      <c r="G464" s="47" t="n"/>
      <c r="H464" s="47" t="n"/>
      <c r="I464" s="48" t="n"/>
      <c r="J464" s="47" t="n"/>
      <c r="K464" s="49" t="n"/>
      <c r="L464" s="50" t="n"/>
      <c r="M464" s="51" t="n"/>
      <c r="N464" s="51" t="n"/>
      <c r="O464" s="50" t="n"/>
      <c r="P464" s="47" t="n"/>
      <c r="Q464" s="47" t="n"/>
    </row>
    <row r="465" ht="15.75" customHeight="1" s="99">
      <c r="A465" s="43" t="n">
        <v>462</v>
      </c>
      <c r="B465" s="53" t="n"/>
      <c r="C465" s="54" t="n"/>
      <c r="D465" s="55" t="n"/>
      <c r="E465" s="55" t="n"/>
      <c r="F465" s="55" t="n"/>
      <c r="G465" s="55" t="n"/>
      <c r="H465" s="55" t="n"/>
      <c r="I465" s="56" t="n"/>
      <c r="J465" s="55" t="n"/>
      <c r="K465" s="57" t="n"/>
      <c r="L465" s="58" t="n"/>
      <c r="M465" s="59" t="n"/>
      <c r="N465" s="59" t="n"/>
      <c r="O465" s="58" t="n"/>
      <c r="P465" s="55" t="n"/>
      <c r="Q465" s="55" t="n"/>
    </row>
    <row r="466" ht="15.75" customHeight="1" s="99">
      <c r="A466" s="41" t="n">
        <v>463</v>
      </c>
      <c r="B466" s="45" t="n"/>
      <c r="C466" s="46" t="n"/>
      <c r="D466" s="47" t="n"/>
      <c r="E466" s="47" t="n"/>
      <c r="F466" s="47" t="n"/>
      <c r="G466" s="47" t="n"/>
      <c r="H466" s="47" t="n"/>
      <c r="I466" s="48" t="n"/>
      <c r="J466" s="47" t="n"/>
      <c r="K466" s="49" t="n"/>
      <c r="L466" s="50" t="n"/>
      <c r="M466" s="51" t="n"/>
      <c r="N466" s="51" t="n"/>
      <c r="O466" s="50" t="n"/>
      <c r="P466" s="47" t="n"/>
      <c r="Q466" s="47" t="n"/>
    </row>
    <row r="467" ht="15.75" customHeight="1" s="99">
      <c r="A467" s="43" t="n">
        <v>464</v>
      </c>
      <c r="B467" s="53" t="n"/>
      <c r="C467" s="54" t="n"/>
      <c r="D467" s="55" t="n"/>
      <c r="E467" s="55" t="n"/>
      <c r="F467" s="55" t="n"/>
      <c r="G467" s="55" t="n"/>
      <c r="H467" s="55" t="n"/>
      <c r="I467" s="56" t="n"/>
      <c r="J467" s="55" t="n"/>
      <c r="K467" s="57" t="n"/>
      <c r="L467" s="58" t="n"/>
      <c r="M467" s="59" t="n"/>
      <c r="N467" s="59" t="n"/>
      <c r="O467" s="58" t="n"/>
      <c r="P467" s="55" t="n"/>
      <c r="Q467" s="55" t="n"/>
    </row>
    <row r="468" ht="15.75" customHeight="1" s="99">
      <c r="A468" s="41" t="n">
        <v>465</v>
      </c>
      <c r="B468" s="45" t="n"/>
      <c r="C468" s="46" t="n"/>
      <c r="D468" s="47" t="n"/>
      <c r="E468" s="47" t="n"/>
      <c r="F468" s="47" t="n"/>
      <c r="G468" s="47" t="n"/>
      <c r="H468" s="47" t="n"/>
      <c r="I468" s="48" t="n"/>
      <c r="J468" s="47" t="n"/>
      <c r="K468" s="49" t="n"/>
      <c r="L468" s="50" t="n"/>
      <c r="M468" s="51" t="n"/>
      <c r="N468" s="51" t="n"/>
      <c r="O468" s="50" t="n"/>
      <c r="P468" s="47" t="n"/>
      <c r="Q468" s="47" t="n"/>
    </row>
    <row r="469" ht="15.75" customHeight="1" s="99">
      <c r="A469" s="43" t="n">
        <v>466</v>
      </c>
      <c r="B469" s="53" t="n"/>
      <c r="C469" s="54" t="n"/>
      <c r="D469" s="55" t="n"/>
      <c r="E469" s="55" t="n"/>
      <c r="F469" s="55" t="n"/>
      <c r="G469" s="55" t="n"/>
      <c r="H469" s="55" t="n"/>
      <c r="I469" s="56" t="n"/>
      <c r="J469" s="55" t="n"/>
      <c r="K469" s="57" t="n"/>
      <c r="L469" s="58" t="n"/>
      <c r="M469" s="59" t="n"/>
      <c r="N469" s="59" t="n"/>
      <c r="O469" s="58" t="n"/>
      <c r="P469" s="55" t="n"/>
      <c r="Q469" s="55" t="n"/>
    </row>
    <row r="470" ht="15.75" customHeight="1" s="99">
      <c r="A470" s="41" t="n">
        <v>467</v>
      </c>
      <c r="B470" s="45" t="n"/>
      <c r="C470" s="46" t="n"/>
      <c r="D470" s="47" t="n"/>
      <c r="E470" s="47" t="n"/>
      <c r="F470" s="47" t="n"/>
      <c r="G470" s="47" t="n"/>
      <c r="H470" s="47" t="n"/>
      <c r="I470" s="48" t="n"/>
      <c r="J470" s="47" t="n"/>
      <c r="K470" s="49" t="n"/>
      <c r="L470" s="50" t="n"/>
      <c r="M470" s="51" t="n"/>
      <c r="N470" s="51" t="n"/>
      <c r="O470" s="50" t="n"/>
      <c r="P470" s="47" t="n"/>
      <c r="Q470" s="47" t="n"/>
    </row>
    <row r="471" ht="15.75" customHeight="1" s="99">
      <c r="A471" s="43" t="n">
        <v>468</v>
      </c>
      <c r="B471" s="53" t="n"/>
      <c r="C471" s="54" t="n"/>
      <c r="D471" s="55" t="n"/>
      <c r="E471" s="55" t="n"/>
      <c r="F471" s="55" t="n"/>
      <c r="G471" s="55" t="n"/>
      <c r="H471" s="55" t="n"/>
      <c r="I471" s="56" t="n"/>
      <c r="J471" s="55" t="n"/>
      <c r="K471" s="57" t="n"/>
      <c r="L471" s="58" t="n"/>
      <c r="M471" s="59" t="n"/>
      <c r="N471" s="59" t="n"/>
      <c r="O471" s="58" t="n"/>
      <c r="P471" s="55" t="n"/>
      <c r="Q471" s="55" t="n"/>
    </row>
    <row r="472" ht="15.75" customHeight="1" s="99">
      <c r="A472" s="41" t="n">
        <v>469</v>
      </c>
      <c r="B472" s="45" t="n"/>
      <c r="C472" s="46" t="n"/>
      <c r="D472" s="47" t="n"/>
      <c r="E472" s="47" t="n"/>
      <c r="F472" s="47" t="n"/>
      <c r="G472" s="47" t="n"/>
      <c r="H472" s="47" t="n"/>
      <c r="I472" s="48" t="n"/>
      <c r="J472" s="47" t="n"/>
      <c r="K472" s="49" t="n"/>
      <c r="L472" s="50" t="n"/>
      <c r="M472" s="51" t="n"/>
      <c r="N472" s="51" t="n"/>
      <c r="O472" s="50" t="n"/>
      <c r="P472" s="47" t="n"/>
      <c r="Q472" s="47" t="n"/>
    </row>
    <row r="473" ht="15.75" customHeight="1" s="99">
      <c r="A473" s="43" t="n">
        <v>470</v>
      </c>
      <c r="B473" s="53" t="n"/>
      <c r="C473" s="54" t="n"/>
      <c r="D473" s="55" t="n"/>
      <c r="E473" s="55" t="n"/>
      <c r="F473" s="55" t="n"/>
      <c r="G473" s="55" t="n"/>
      <c r="H473" s="55" t="n"/>
      <c r="I473" s="56" t="n"/>
      <c r="J473" s="55" t="n"/>
      <c r="K473" s="57" t="n"/>
      <c r="L473" s="58" t="n"/>
      <c r="M473" s="59" t="n"/>
      <c r="N473" s="59" t="n"/>
      <c r="O473" s="58" t="n"/>
      <c r="P473" s="55" t="n"/>
      <c r="Q473" s="55" t="n"/>
    </row>
    <row r="474" ht="15.75" customHeight="1" s="99">
      <c r="A474" s="41" t="n">
        <v>471</v>
      </c>
      <c r="B474" s="45" t="n"/>
      <c r="C474" s="46" t="n"/>
      <c r="D474" s="47" t="n"/>
      <c r="E474" s="47" t="n"/>
      <c r="F474" s="47" t="n"/>
      <c r="G474" s="47" t="n"/>
      <c r="H474" s="47" t="n"/>
      <c r="I474" s="48" t="n"/>
      <c r="J474" s="47" t="n"/>
      <c r="K474" s="49" t="n"/>
      <c r="L474" s="50" t="n"/>
      <c r="M474" s="51" t="n"/>
      <c r="N474" s="51" t="n"/>
      <c r="O474" s="50" t="n"/>
      <c r="P474" s="47" t="n"/>
      <c r="Q474" s="47" t="n"/>
    </row>
    <row r="475" ht="15.75" customHeight="1" s="99">
      <c r="A475" s="43" t="n">
        <v>472</v>
      </c>
      <c r="B475" s="53" t="n"/>
      <c r="C475" s="54" t="n"/>
      <c r="D475" s="55" t="n"/>
      <c r="E475" s="55" t="n"/>
      <c r="F475" s="55" t="n"/>
      <c r="G475" s="55" t="n"/>
      <c r="H475" s="55" t="n"/>
      <c r="I475" s="56" t="n"/>
      <c r="J475" s="55" t="n"/>
      <c r="K475" s="57" t="n"/>
      <c r="L475" s="58" t="n"/>
      <c r="M475" s="59" t="n"/>
      <c r="N475" s="59" t="n"/>
      <c r="O475" s="58" t="n"/>
      <c r="P475" s="55" t="n"/>
      <c r="Q475" s="55" t="n"/>
    </row>
    <row r="476" ht="15.75" customHeight="1" s="99">
      <c r="A476" s="41" t="n">
        <v>473</v>
      </c>
      <c r="B476" s="45" t="n"/>
      <c r="C476" s="46" t="n"/>
      <c r="D476" s="47" t="n"/>
      <c r="E476" s="47" t="n"/>
      <c r="F476" s="47" t="n"/>
      <c r="G476" s="47" t="n"/>
      <c r="H476" s="47" t="n"/>
      <c r="I476" s="48" t="n"/>
      <c r="J476" s="47" t="n"/>
      <c r="K476" s="49" t="n"/>
      <c r="L476" s="50" t="n"/>
      <c r="M476" s="51" t="n"/>
      <c r="N476" s="51" t="n"/>
      <c r="O476" s="50" t="n"/>
      <c r="P476" s="47" t="n"/>
      <c r="Q476" s="47" t="n"/>
    </row>
    <row r="477" ht="15.75" customHeight="1" s="99">
      <c r="A477" s="43" t="n">
        <v>474</v>
      </c>
      <c r="B477" s="53" t="n"/>
      <c r="C477" s="54" t="n"/>
      <c r="D477" s="55" t="n"/>
      <c r="E477" s="55" t="n"/>
      <c r="F477" s="55" t="n"/>
      <c r="G477" s="55" t="n"/>
      <c r="H477" s="55" t="n"/>
      <c r="I477" s="56" t="n"/>
      <c r="J477" s="55" t="n"/>
      <c r="K477" s="57" t="n"/>
      <c r="L477" s="58" t="n"/>
      <c r="M477" s="59" t="n"/>
      <c r="N477" s="59" t="n"/>
      <c r="O477" s="58" t="n"/>
      <c r="P477" s="55" t="n"/>
      <c r="Q477" s="55" t="n"/>
    </row>
    <row r="478" ht="15.75" customHeight="1" s="99">
      <c r="A478" s="41" t="n">
        <v>475</v>
      </c>
      <c r="B478" s="45" t="n"/>
      <c r="C478" s="46" t="n"/>
      <c r="D478" s="47" t="n"/>
      <c r="E478" s="47" t="n"/>
      <c r="F478" s="47" t="n"/>
      <c r="G478" s="47" t="n"/>
      <c r="H478" s="47" t="n"/>
      <c r="I478" s="48" t="n"/>
      <c r="J478" s="47" t="n"/>
      <c r="K478" s="49" t="n"/>
      <c r="L478" s="50" t="n"/>
      <c r="M478" s="51" t="n"/>
      <c r="N478" s="51" t="n"/>
      <c r="O478" s="50" t="n"/>
      <c r="P478" s="47" t="n"/>
      <c r="Q478" s="47" t="n"/>
    </row>
    <row r="479" ht="15.75" customHeight="1" s="99">
      <c r="A479" s="43" t="n">
        <v>476</v>
      </c>
      <c r="B479" s="53" t="n"/>
      <c r="C479" s="54" t="n"/>
      <c r="D479" s="55" t="n"/>
      <c r="E479" s="55" t="n"/>
      <c r="F479" s="55" t="n"/>
      <c r="G479" s="55" t="n"/>
      <c r="H479" s="55" t="n"/>
      <c r="I479" s="56" t="n"/>
      <c r="J479" s="55" t="n"/>
      <c r="K479" s="57" t="n"/>
      <c r="L479" s="58" t="n"/>
      <c r="M479" s="59" t="n"/>
      <c r="N479" s="59" t="n"/>
      <c r="O479" s="58" t="n"/>
      <c r="P479" s="55" t="n"/>
      <c r="Q479" s="55" t="n"/>
    </row>
    <row r="480" ht="15.75" customHeight="1" s="99">
      <c r="A480" s="41" t="n">
        <v>477</v>
      </c>
      <c r="B480" s="45" t="n"/>
      <c r="C480" s="46" t="n"/>
      <c r="D480" s="47" t="n"/>
      <c r="E480" s="47" t="n"/>
      <c r="F480" s="47" t="n"/>
      <c r="G480" s="47" t="n"/>
      <c r="H480" s="47" t="n"/>
      <c r="I480" s="48" t="n"/>
      <c r="J480" s="47" t="n"/>
      <c r="K480" s="49" t="n"/>
      <c r="L480" s="50" t="n"/>
      <c r="M480" s="51" t="n"/>
      <c r="N480" s="51" t="n"/>
      <c r="O480" s="50" t="n"/>
      <c r="P480" s="47" t="n"/>
      <c r="Q480" s="47" t="n"/>
    </row>
    <row r="481" ht="15.75" customHeight="1" s="99">
      <c r="A481" s="43" t="n">
        <v>478</v>
      </c>
      <c r="B481" s="53" t="n"/>
      <c r="C481" s="54" t="n"/>
      <c r="D481" s="55" t="n"/>
      <c r="E481" s="55" t="n"/>
      <c r="F481" s="55" t="n"/>
      <c r="G481" s="55" t="n"/>
      <c r="H481" s="55" t="n"/>
      <c r="I481" s="56" t="n"/>
      <c r="J481" s="55" t="n"/>
      <c r="K481" s="57" t="n"/>
      <c r="L481" s="58" t="n"/>
      <c r="M481" s="59" t="n"/>
      <c r="N481" s="59" t="n"/>
      <c r="O481" s="58" t="n"/>
      <c r="P481" s="55" t="n"/>
      <c r="Q481" s="55" t="n"/>
    </row>
    <row r="482" ht="15.75" customHeight="1" s="99">
      <c r="A482" s="41" t="n">
        <v>479</v>
      </c>
      <c r="B482" s="45" t="n"/>
      <c r="C482" s="46" t="n"/>
      <c r="D482" s="47" t="n"/>
      <c r="E482" s="47" t="n"/>
      <c r="F482" s="47" t="n"/>
      <c r="G482" s="47" t="n"/>
      <c r="H482" s="47" t="n"/>
      <c r="I482" s="48" t="n"/>
      <c r="J482" s="47" t="n"/>
      <c r="K482" s="49" t="n"/>
      <c r="L482" s="50" t="n"/>
      <c r="M482" s="51" t="n"/>
      <c r="N482" s="51" t="n"/>
      <c r="O482" s="50" t="n"/>
      <c r="P482" s="47" t="n"/>
      <c r="Q482" s="47" t="n"/>
    </row>
    <row r="483" ht="15.75" customHeight="1" s="99">
      <c r="A483" s="43" t="n">
        <v>480</v>
      </c>
      <c r="B483" s="53" t="n"/>
      <c r="C483" s="54" t="n"/>
      <c r="D483" s="55" t="n"/>
      <c r="E483" s="55" t="n"/>
      <c r="F483" s="55" t="n"/>
      <c r="G483" s="55" t="n"/>
      <c r="H483" s="55" t="n"/>
      <c r="I483" s="56" t="n"/>
      <c r="J483" s="55" t="n"/>
      <c r="K483" s="57" t="n"/>
      <c r="L483" s="58" t="n"/>
      <c r="M483" s="59" t="n"/>
      <c r="N483" s="59" t="n"/>
      <c r="O483" s="58" t="n"/>
      <c r="P483" s="55" t="n"/>
      <c r="Q483" s="55" t="n"/>
    </row>
    <row r="484" ht="15.75" customHeight="1" s="99">
      <c r="A484" s="41" t="n">
        <v>481</v>
      </c>
      <c r="B484" s="45" t="n"/>
      <c r="C484" s="46" t="n"/>
      <c r="D484" s="47" t="n"/>
      <c r="E484" s="47" t="n"/>
      <c r="F484" s="47" t="n"/>
      <c r="G484" s="47" t="n"/>
      <c r="H484" s="47" t="n"/>
      <c r="I484" s="48" t="n"/>
      <c r="J484" s="47" t="n"/>
      <c r="K484" s="49" t="n"/>
      <c r="L484" s="50" t="n"/>
      <c r="M484" s="51" t="n"/>
      <c r="N484" s="51" t="n"/>
      <c r="O484" s="50" t="n"/>
      <c r="P484" s="47" t="n"/>
      <c r="Q484" s="47" t="n"/>
    </row>
    <row r="485" ht="15.75" customHeight="1" s="99">
      <c r="A485" s="43" t="n">
        <v>482</v>
      </c>
      <c r="B485" s="53" t="n"/>
      <c r="C485" s="54" t="n"/>
      <c r="D485" s="55" t="n"/>
      <c r="E485" s="55" t="n"/>
      <c r="F485" s="55" t="n"/>
      <c r="G485" s="55" t="n"/>
      <c r="H485" s="55" t="n"/>
      <c r="I485" s="56" t="n"/>
      <c r="J485" s="55" t="n"/>
      <c r="K485" s="57" t="n"/>
      <c r="L485" s="58" t="n"/>
      <c r="M485" s="59" t="n"/>
      <c r="N485" s="59" t="n"/>
      <c r="O485" s="58" t="n"/>
      <c r="P485" s="55" t="n"/>
      <c r="Q485" s="55" t="n"/>
    </row>
    <row r="486" ht="15.75" customHeight="1" s="99">
      <c r="A486" s="41" t="n">
        <v>483</v>
      </c>
      <c r="B486" s="45" t="n"/>
      <c r="C486" s="46" t="n"/>
      <c r="D486" s="47" t="n"/>
      <c r="E486" s="47" t="n"/>
      <c r="F486" s="47" t="n"/>
      <c r="G486" s="47" t="n"/>
      <c r="H486" s="47" t="n"/>
      <c r="I486" s="48" t="n"/>
      <c r="J486" s="47" t="n"/>
      <c r="K486" s="49" t="n"/>
      <c r="L486" s="50" t="n"/>
      <c r="M486" s="51" t="n"/>
      <c r="N486" s="51" t="n"/>
      <c r="O486" s="50" t="n"/>
      <c r="P486" s="47" t="n"/>
      <c r="Q486" s="47" t="n"/>
    </row>
    <row r="487" ht="15.75" customHeight="1" s="99">
      <c r="A487" s="43" t="n">
        <v>484</v>
      </c>
      <c r="B487" s="53" t="n"/>
      <c r="C487" s="54" t="n"/>
      <c r="D487" s="55" t="n"/>
      <c r="E487" s="55" t="n"/>
      <c r="F487" s="55" t="n"/>
      <c r="G487" s="55" t="n"/>
      <c r="H487" s="55" t="n"/>
      <c r="I487" s="56" t="n"/>
      <c r="J487" s="55" t="n"/>
      <c r="K487" s="57" t="n"/>
      <c r="L487" s="58" t="n"/>
      <c r="M487" s="59" t="n"/>
      <c r="N487" s="59" t="n"/>
      <c r="O487" s="58" t="n"/>
      <c r="P487" s="55" t="n"/>
      <c r="Q487" s="55" t="n"/>
    </row>
    <row r="488" ht="15.75" customHeight="1" s="99">
      <c r="A488" s="41" t="n">
        <v>485</v>
      </c>
      <c r="B488" s="45" t="n"/>
      <c r="C488" s="46" t="n"/>
      <c r="D488" s="47" t="n"/>
      <c r="E488" s="47" t="n"/>
      <c r="F488" s="47" t="n"/>
      <c r="G488" s="47" t="n"/>
      <c r="H488" s="47" t="n"/>
      <c r="I488" s="48" t="n"/>
      <c r="J488" s="47" t="n"/>
      <c r="K488" s="49" t="n"/>
      <c r="L488" s="50" t="n"/>
      <c r="M488" s="51" t="n"/>
      <c r="N488" s="51" t="n"/>
      <c r="O488" s="50" t="n"/>
      <c r="P488" s="47" t="n"/>
      <c r="Q488" s="47" t="n"/>
    </row>
    <row r="489" ht="15.75" customHeight="1" s="99">
      <c r="A489" s="43" t="n">
        <v>486</v>
      </c>
      <c r="B489" s="53" t="n"/>
      <c r="C489" s="54" t="n"/>
      <c r="D489" s="55" t="n"/>
      <c r="E489" s="55" t="n"/>
      <c r="F489" s="55" t="n"/>
      <c r="G489" s="55" t="n"/>
      <c r="H489" s="55" t="n"/>
      <c r="I489" s="56" t="n"/>
      <c r="J489" s="55" t="n"/>
      <c r="K489" s="57" t="n"/>
      <c r="L489" s="58" t="n"/>
      <c r="M489" s="59" t="n"/>
      <c r="N489" s="59" t="n"/>
      <c r="O489" s="58" t="n"/>
      <c r="P489" s="55" t="n"/>
      <c r="Q489" s="55" t="n"/>
    </row>
    <row r="490" ht="15.75" customHeight="1" s="99">
      <c r="A490" s="41" t="n">
        <v>487</v>
      </c>
      <c r="B490" s="45" t="n"/>
      <c r="C490" s="46" t="n"/>
      <c r="D490" s="47" t="n"/>
      <c r="E490" s="47" t="n"/>
      <c r="F490" s="47" t="n"/>
      <c r="G490" s="47" t="n"/>
      <c r="H490" s="47" t="n"/>
      <c r="I490" s="48" t="n"/>
      <c r="J490" s="47" t="n"/>
      <c r="K490" s="49" t="n"/>
      <c r="L490" s="50" t="n"/>
      <c r="M490" s="51" t="n"/>
      <c r="N490" s="51" t="n"/>
      <c r="O490" s="50" t="n"/>
      <c r="P490" s="47" t="n"/>
      <c r="Q490" s="47" t="n"/>
    </row>
    <row r="491" ht="15.75" customHeight="1" s="99">
      <c r="A491" s="43" t="n">
        <v>488</v>
      </c>
      <c r="B491" s="53" t="n"/>
      <c r="C491" s="54" t="n"/>
      <c r="D491" s="55" t="n"/>
      <c r="E491" s="55" t="n"/>
      <c r="F491" s="55" t="n"/>
      <c r="G491" s="55" t="n"/>
      <c r="H491" s="55" t="n"/>
      <c r="I491" s="56" t="n"/>
      <c r="J491" s="55" t="n"/>
      <c r="K491" s="57" t="n"/>
      <c r="L491" s="58" t="n"/>
      <c r="M491" s="59" t="n"/>
      <c r="N491" s="59" t="n"/>
      <c r="O491" s="58" t="n"/>
      <c r="P491" s="55" t="n"/>
      <c r="Q491" s="55" t="n"/>
    </row>
    <row r="492" ht="15.75" customHeight="1" s="99">
      <c r="A492" s="41" t="n">
        <v>489</v>
      </c>
      <c r="B492" s="45" t="n"/>
      <c r="C492" s="46" t="n"/>
      <c r="D492" s="47" t="n"/>
      <c r="E492" s="47" t="n"/>
      <c r="F492" s="47" t="n"/>
      <c r="G492" s="47" t="n"/>
      <c r="H492" s="47" t="n"/>
      <c r="I492" s="48" t="n"/>
      <c r="J492" s="47" t="n"/>
      <c r="K492" s="49" t="n"/>
      <c r="L492" s="50" t="n"/>
      <c r="M492" s="51" t="n"/>
      <c r="N492" s="51" t="n"/>
      <c r="O492" s="50" t="n"/>
      <c r="P492" s="47" t="n"/>
      <c r="Q492" s="47" t="n"/>
    </row>
    <row r="493" ht="15.75" customHeight="1" s="99">
      <c r="A493" s="43" t="n">
        <v>490</v>
      </c>
      <c r="B493" s="53" t="n"/>
      <c r="C493" s="54" t="n"/>
      <c r="D493" s="55" t="n"/>
      <c r="E493" s="55" t="n"/>
      <c r="F493" s="55" t="n"/>
      <c r="G493" s="55" t="n"/>
      <c r="H493" s="55" t="n"/>
      <c r="I493" s="56" t="n"/>
      <c r="J493" s="55" t="n"/>
      <c r="K493" s="57" t="n"/>
      <c r="L493" s="58" t="n"/>
      <c r="M493" s="59" t="n"/>
      <c r="N493" s="59" t="n"/>
      <c r="O493" s="58" t="n"/>
      <c r="P493" s="55" t="n"/>
      <c r="Q493" s="55" t="n"/>
    </row>
    <row r="494" ht="15.75" customHeight="1" s="99">
      <c r="A494" s="41" t="n">
        <v>491</v>
      </c>
      <c r="B494" s="45" t="n"/>
      <c r="C494" s="46" t="n"/>
      <c r="D494" s="47" t="n"/>
      <c r="E494" s="47" t="n"/>
      <c r="F494" s="47" t="n"/>
      <c r="G494" s="47" t="n"/>
      <c r="H494" s="47" t="n"/>
      <c r="I494" s="48" t="n"/>
      <c r="J494" s="47" t="n"/>
      <c r="K494" s="49" t="n"/>
      <c r="L494" s="50" t="n"/>
      <c r="M494" s="51" t="n"/>
      <c r="N494" s="51" t="n"/>
      <c r="O494" s="50" t="n"/>
      <c r="P494" s="47" t="n"/>
      <c r="Q494" s="47" t="n"/>
    </row>
    <row r="495" ht="15.75" customHeight="1" s="99">
      <c r="A495" s="43" t="n">
        <v>492</v>
      </c>
      <c r="B495" s="53" t="n"/>
      <c r="C495" s="54" t="n"/>
      <c r="D495" s="55" t="n"/>
      <c r="E495" s="55" t="n"/>
      <c r="F495" s="55" t="n"/>
      <c r="G495" s="55" t="n"/>
      <c r="H495" s="55" t="n"/>
      <c r="I495" s="56" t="n"/>
      <c r="J495" s="55" t="n"/>
      <c r="K495" s="57" t="n"/>
      <c r="L495" s="58" t="n"/>
      <c r="M495" s="59" t="n"/>
      <c r="N495" s="59" t="n"/>
      <c r="O495" s="58" t="n"/>
      <c r="P495" s="55" t="n"/>
      <c r="Q495" s="55" t="n"/>
    </row>
    <row r="496" ht="15.75" customHeight="1" s="99">
      <c r="A496" s="41" t="n">
        <v>493</v>
      </c>
      <c r="B496" s="45" t="n"/>
      <c r="C496" s="46" t="n"/>
      <c r="D496" s="47" t="n"/>
      <c r="E496" s="47" t="n"/>
      <c r="F496" s="47" t="n"/>
      <c r="G496" s="47" t="n"/>
      <c r="H496" s="47" t="n"/>
      <c r="I496" s="48" t="n"/>
      <c r="J496" s="47" t="n"/>
      <c r="K496" s="49" t="n"/>
      <c r="L496" s="50" t="n"/>
      <c r="M496" s="51" t="n"/>
      <c r="N496" s="51" t="n"/>
      <c r="O496" s="50" t="n"/>
      <c r="P496" s="47" t="n"/>
      <c r="Q496" s="47" t="n"/>
    </row>
    <row r="497" ht="15.75" customHeight="1" s="99">
      <c r="A497" s="43" t="n">
        <v>494</v>
      </c>
      <c r="B497" s="53" t="n"/>
      <c r="C497" s="54" t="n"/>
      <c r="D497" s="55" t="n"/>
      <c r="E497" s="55" t="n"/>
      <c r="F497" s="55" t="n"/>
      <c r="G497" s="55" t="n"/>
      <c r="H497" s="55" t="n"/>
      <c r="I497" s="56" t="n"/>
      <c r="J497" s="55" t="n"/>
      <c r="K497" s="57" t="n"/>
      <c r="L497" s="58" t="n"/>
      <c r="M497" s="59" t="n"/>
      <c r="N497" s="59" t="n"/>
      <c r="O497" s="58" t="n"/>
      <c r="P497" s="55" t="n"/>
      <c r="Q497" s="55" t="n"/>
    </row>
    <row r="498" ht="15.75" customHeight="1" s="99">
      <c r="A498" s="41" t="n">
        <v>495</v>
      </c>
      <c r="B498" s="45" t="n"/>
      <c r="C498" s="46" t="n"/>
      <c r="D498" s="47" t="n"/>
      <c r="E498" s="47" t="n"/>
      <c r="F498" s="47" t="n"/>
      <c r="G498" s="47" t="n"/>
      <c r="H498" s="47" t="n"/>
      <c r="I498" s="48" t="n"/>
      <c r="J498" s="47" t="n"/>
      <c r="K498" s="49" t="n"/>
      <c r="L498" s="50" t="n"/>
      <c r="M498" s="51" t="n"/>
      <c r="N498" s="51" t="n"/>
      <c r="O498" s="50" t="n"/>
      <c r="P498" s="47" t="n"/>
      <c r="Q498" s="47" t="n"/>
    </row>
    <row r="499" ht="15.75" customHeight="1" s="99">
      <c r="A499" s="43" t="n">
        <v>496</v>
      </c>
      <c r="B499" s="53" t="n"/>
      <c r="C499" s="54" t="n"/>
      <c r="D499" s="55" t="n"/>
      <c r="E499" s="55" t="n"/>
      <c r="F499" s="55" t="n"/>
      <c r="G499" s="55" t="n"/>
      <c r="H499" s="55" t="n"/>
      <c r="I499" s="56" t="n"/>
      <c r="J499" s="55" t="n"/>
      <c r="K499" s="57" t="n"/>
      <c r="L499" s="58" t="n"/>
      <c r="M499" s="59" t="n"/>
      <c r="N499" s="59" t="n"/>
      <c r="O499" s="58" t="n"/>
      <c r="P499" s="55" t="n"/>
      <c r="Q499" s="55" t="n"/>
    </row>
    <row r="500" ht="15.75" customHeight="1" s="99">
      <c r="A500" s="41" t="n">
        <v>497</v>
      </c>
      <c r="B500" s="45" t="n"/>
      <c r="C500" s="46" t="n"/>
      <c r="D500" s="47" t="n"/>
      <c r="E500" s="47" t="n"/>
      <c r="F500" s="47" t="n"/>
      <c r="G500" s="47" t="n"/>
      <c r="H500" s="47" t="n"/>
      <c r="I500" s="48" t="n"/>
      <c r="J500" s="47" t="n"/>
      <c r="K500" s="49" t="n"/>
      <c r="L500" s="50" t="n"/>
      <c r="M500" s="51" t="n"/>
      <c r="N500" s="51" t="n"/>
      <c r="O500" s="50" t="n"/>
      <c r="P500" s="47" t="n"/>
      <c r="Q500" s="47" t="n"/>
    </row>
    <row r="501" ht="15.75" customHeight="1" s="99">
      <c r="A501" s="43" t="n">
        <v>498</v>
      </c>
      <c r="B501" s="53" t="n"/>
      <c r="C501" s="54" t="n"/>
      <c r="D501" s="55" t="n"/>
      <c r="E501" s="55" t="n"/>
      <c r="F501" s="55" t="n"/>
      <c r="G501" s="55" t="n"/>
      <c r="H501" s="55" t="n"/>
      <c r="I501" s="56" t="n"/>
      <c r="J501" s="55" t="n"/>
      <c r="K501" s="57" t="n"/>
      <c r="L501" s="58" t="n"/>
      <c r="M501" s="59" t="n"/>
      <c r="N501" s="59" t="n"/>
      <c r="O501" s="58" t="n"/>
      <c r="P501" s="55" t="n"/>
      <c r="Q501" s="55" t="n"/>
    </row>
    <row r="502" ht="15.75" customHeight="1" s="99">
      <c r="A502" s="41" t="n">
        <v>499</v>
      </c>
      <c r="B502" s="45" t="n"/>
      <c r="C502" s="46" t="n"/>
      <c r="D502" s="47" t="n"/>
      <c r="E502" s="47" t="n"/>
      <c r="F502" s="47" t="n"/>
      <c r="G502" s="47" t="n"/>
      <c r="H502" s="47" t="n"/>
      <c r="I502" s="48" t="n"/>
      <c r="J502" s="47" t="n"/>
      <c r="K502" s="49" t="n"/>
      <c r="L502" s="50" t="n"/>
      <c r="M502" s="51" t="n"/>
      <c r="N502" s="51" t="n"/>
      <c r="O502" s="50" t="n"/>
      <c r="P502" s="47" t="n"/>
      <c r="Q502" s="47" t="n"/>
    </row>
    <row r="503" ht="15.75" customHeight="1" s="99">
      <c r="A503" s="43" t="n">
        <v>500</v>
      </c>
      <c r="B503" s="53" t="n"/>
      <c r="C503" s="54" t="n"/>
      <c r="D503" s="55" t="n"/>
      <c r="E503" s="55" t="n"/>
      <c r="F503" s="55" t="n"/>
      <c r="G503" s="55" t="n"/>
      <c r="H503" s="55" t="n"/>
      <c r="I503" s="56" t="n"/>
      <c r="J503" s="55" t="n"/>
      <c r="K503" s="57" t="n"/>
      <c r="L503" s="58" t="n"/>
      <c r="M503" s="59" t="n"/>
      <c r="N503" s="59" t="n"/>
      <c r="O503" s="58" t="n"/>
      <c r="P503" s="55" t="n"/>
      <c r="Q503" s="55" t="n"/>
    </row>
    <row r="504" ht="15.75" customHeight="1" s="99">
      <c r="A504" t="n">
        <v>501</v>
      </c>
      <c r="B504" s="127" t="n">
        <v>46189</v>
      </c>
      <c r="C504">
        <f>IF(B504="","",TEXT(B504,"MMM-YYYY"))</f>
        <v/>
      </c>
      <c r="D504" t="inlineStr">
        <is>
          <t>Plinth Phase</t>
        </is>
      </c>
      <c r="E504" t="inlineStr">
        <is>
          <t>Land Development</t>
        </is>
      </c>
      <c r="F504" t="inlineStr">
        <is>
          <t>Mitti Filling</t>
        </is>
      </c>
      <c r="G504" t="inlineStr">
        <is>
          <t>Mitti filling 2 trailers @ ₹600</t>
        </is>
      </c>
      <c r="H504" t="inlineStr">
        <is>
          <t>Mukesh Yadav</t>
        </is>
      </c>
      <c r="I504" t="n">
        <v>2</v>
      </c>
      <c r="J504" t="inlineStr">
        <is>
          <t>Trailer</t>
        </is>
      </c>
      <c r="K504" t="n">
        <v>600</v>
      </c>
      <c r="L504">
        <f>IF(OR(I504="",K504=""),"",I504*K504)</f>
        <v/>
      </c>
      <c r="N504">
        <f>M504*L504</f>
        <v/>
      </c>
      <c r="O504">
        <f>IF(L504="","",IF(M504="",L504,L504*(1-M504)))</f>
        <v/>
      </c>
    </row>
    <row r="505" ht="15.75" customHeight="1" s="99">
      <c r="A505" t="n">
        <v>502</v>
      </c>
      <c r="B505" s="127" t="n">
        <v>46190</v>
      </c>
      <c r="C505">
        <f>IF(B505="","",TEXT(B505,"MMM-YYYY"))</f>
        <v/>
      </c>
      <c r="D505" t="inlineStr">
        <is>
          <t>Plinth Phase</t>
        </is>
      </c>
      <c r="E505" t="inlineStr">
        <is>
          <t>Land Development</t>
        </is>
      </c>
      <c r="F505" t="inlineStr">
        <is>
          <t>Mitti Filling</t>
        </is>
      </c>
      <c r="G505" t="inlineStr">
        <is>
          <t>Mitti filling 20 trailers @ ₹600</t>
        </is>
      </c>
      <c r="H505" t="inlineStr">
        <is>
          <t>Mukesh Yadav</t>
        </is>
      </c>
      <c r="I505" t="n">
        <v>20</v>
      </c>
      <c r="J505" t="inlineStr">
        <is>
          <t>Trailer</t>
        </is>
      </c>
      <c r="K505" t="n">
        <v>600</v>
      </c>
      <c r="L505">
        <f>IF(OR(I505="",K505=""),"",I505*K505)</f>
        <v/>
      </c>
      <c r="N505">
        <f>M505*L505</f>
        <v/>
      </c>
      <c r="O505">
        <f>IF(L505="","",IF(M505="",L505,L505*(1-M505)))</f>
        <v/>
      </c>
    </row>
    <row r="506">
      <c r="A506" t="n">
        <v>503</v>
      </c>
      <c r="B506" s="127" t="n">
        <v>46194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Cement</t>
        </is>
      </c>
      <c r="G506" t="inlineStr">
        <is>
          <t>Ultratech Super Cement 50 bags @ ₹360</t>
        </is>
      </c>
      <c r="H506" t="inlineStr">
        <is>
          <t>Pappu Hardware</t>
        </is>
      </c>
      <c r="I506" t="n">
        <v>50</v>
      </c>
      <c r="J506" t="inlineStr">
        <is>
          <t>Bag</t>
        </is>
      </c>
      <c r="K506" t="n">
        <v>360</v>
      </c>
      <c r="L506">
        <f>IF(OR(I506="",K506=""),"",I506*K506)</f>
        <v/>
      </c>
      <c r="N506">
        <f>M506*L506</f>
        <v/>
      </c>
      <c r="O506">
        <f>IF(L506="","",IF(M506="",L506,L506*(1-M506)))</f>
        <v/>
      </c>
      <c r="P506" t="inlineStr">
        <is>
          <t>Self-GPay</t>
        </is>
      </c>
      <c r="Q506" t="inlineStr">
        <is>
          <t>GPay</t>
        </is>
      </c>
    </row>
    <row r="507">
      <c r="A507" t="n">
        <v>504</v>
      </c>
      <c r="B507" s="127" t="n">
        <v>46194</v>
      </c>
      <c r="C507">
        <f>IF(B507="","",TEXT(B507,"MMM-YYYY"))</f>
        <v/>
      </c>
      <c r="D507" t="inlineStr">
        <is>
          <t>Plinth Phase</t>
        </is>
      </c>
      <c r="E507" t="inlineStr">
        <is>
          <t>Transport · Food · Misc</t>
        </is>
      </c>
      <c r="F507" t="inlineStr">
        <is>
          <t>Transport</t>
        </is>
      </c>
      <c r="G507" t="inlineStr">
        <is>
          <t>Cement transport charge</t>
        </is>
      </c>
      <c r="H507" t="inlineStr">
        <is>
          <t>Pappu Hardware</t>
        </is>
      </c>
      <c r="I507" t="n">
        <v>1</v>
      </c>
      <c r="J507" t="inlineStr">
        <is>
          <t>Lumpsum</t>
        </is>
      </c>
      <c r="K507" t="n">
        <v>300</v>
      </c>
      <c r="L507">
        <f>IF(OR(I507="",K507=""),"",I507*K507)</f>
        <v/>
      </c>
      <c r="N507">
        <f>M507*L507</f>
        <v/>
      </c>
      <c r="O507">
        <f>IF(L507="","",IF(M507="",L507,L507*(1-M507)))</f>
        <v/>
      </c>
      <c r="P507" t="inlineStr">
        <is>
          <t>Self-GPay</t>
        </is>
      </c>
      <c r="Q507" t="inlineStr">
        <is>
          <t>GPay</t>
        </is>
      </c>
    </row>
    <row r="508">
      <c r="A508" t="n">
        <v>505</v>
      </c>
      <c r="B508" s="127" t="n">
        <v>46194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Labour-Unloading</t>
        </is>
      </c>
      <c r="G508" t="inlineStr">
        <is>
          <t>Cement unloading labour</t>
        </is>
      </c>
      <c r="H508" t="inlineStr">
        <is>
          <t>Pappu Hardware</t>
        </is>
      </c>
      <c r="I508" t="n">
        <v>1</v>
      </c>
      <c r="J508" t="inlineStr">
        <is>
          <t>Lumpsum</t>
        </is>
      </c>
      <c r="K508" t="n">
        <v>200</v>
      </c>
      <c r="L508">
        <f>IF(OR(I508="",K508=""),"",I508*K508)</f>
        <v/>
      </c>
      <c r="N508">
        <f>M508*L508</f>
        <v/>
      </c>
      <c r="O508">
        <f>IF(L508="","",IF(M508="",L508,L508*(1-M508)))</f>
        <v/>
      </c>
      <c r="P508" t="inlineStr">
        <is>
          <t>Self-GPay</t>
        </is>
      </c>
      <c r="Q508" t="inlineStr">
        <is>
          <t>GPay</t>
        </is>
      </c>
    </row>
    <row r="509">
      <c r="A509" t="n">
        <v>506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Building Materials</t>
        </is>
      </c>
      <c r="F509" t="inlineStr">
        <is>
          <t>Bricks</t>
        </is>
      </c>
      <c r="G509" t="inlineStr">
        <is>
          <t>Brick delivery — tractor 13 (1,500 bricks @ ₹8.5)</t>
        </is>
      </c>
      <c r="H509" t="inlineStr">
        <is>
          <t>Brick Company</t>
        </is>
      </c>
      <c r="I509" t="n">
        <v>1500</v>
      </c>
      <c r="J509" t="inlineStr">
        <is>
          <t>Nos</t>
        </is>
      </c>
      <c r="K509" t="n">
        <v>8.5</v>
      </c>
      <c r="L509">
        <f>IF(OR(I509="",K509=""),"",I509*K509)</f>
        <v/>
      </c>
      <c r="N509">
        <f>M509*L509</f>
        <v/>
      </c>
      <c r="O509">
        <f>IF(L509="","",IF(M509="",L509,L509*(1-M509)))</f>
        <v/>
      </c>
    </row>
    <row r="510">
      <c r="A510" t="n">
        <v>507</v>
      </c>
      <c r="B510" s="127" t="n">
        <v>46195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M510*L510</f>
        <v/>
      </c>
      <c r="O510">
        <f>IF(L510="","",IF(M510="",L510,L510*(1-M510)))</f>
        <v/>
      </c>
    </row>
    <row r="511">
      <c r="A511" t="n">
        <v>508</v>
      </c>
      <c r="B511" s="127" t="n">
        <v>46195</v>
      </c>
      <c r="C511">
        <f>IF(B511="","",TEXT(B511,"MMM-YYYY"))</f>
        <v/>
      </c>
      <c r="D511" t="inlineStr">
        <is>
          <t>Plinth Phase</t>
        </is>
      </c>
      <c r="E511" t="inlineStr">
        <is>
          <t>Labour</t>
        </is>
      </c>
      <c r="F511" t="inlineStr">
        <is>
          <t>Daily Labour-Mitti Bharai</t>
        </is>
      </c>
      <c r="G511" t="inlineStr">
        <is>
          <t>Mitti bharai 46 labourers @ ₹350</t>
        </is>
      </c>
      <c r="H511" t="inlineStr">
        <is>
          <t>Daily Labour</t>
        </is>
      </c>
      <c r="I511" t="n">
        <v>46</v>
      </c>
      <c r="J511" t="inlineStr">
        <is>
          <t>Labour</t>
        </is>
      </c>
      <c r="K511" t="n">
        <v>350</v>
      </c>
      <c r="L511">
        <f>IF(OR(I511="",K511=""),"",I511*K511)</f>
        <v/>
      </c>
      <c r="N511">
        <f>M511*L511</f>
        <v/>
      </c>
      <c r="O511">
        <f>IF(L511="","",IF(M511="",L511,L511*(1-M511)))</f>
        <v/>
      </c>
    </row>
    <row r="512">
      <c r="A512" t="n">
        <v>509</v>
      </c>
      <c r="B512" s="127" t="n">
        <v>46196</v>
      </c>
      <c r="C512">
        <f>IF(B512="","",TEXT(B512,"MMM-YYYY"))</f>
        <v/>
      </c>
      <c r="D512" t="inlineStr">
        <is>
          <t>Plinth Phase</t>
        </is>
      </c>
      <c r="E512" t="inlineStr">
        <is>
          <t>Labour</t>
        </is>
      </c>
      <c r="F512" t="inlineStr">
        <is>
          <t>Daily Labour-Kitchen</t>
        </is>
      </c>
      <c r="G512" t="inlineStr">
        <is>
          <t>Kitchen area labour</t>
        </is>
      </c>
      <c r="H512" t="inlineStr">
        <is>
          <t>Daily Labour</t>
        </is>
      </c>
      <c r="I512" t="n">
        <v>1</v>
      </c>
      <c r="J512" t="inlineStr">
        <is>
          <t>Lumpsum</t>
        </is>
      </c>
      <c r="K512" t="n">
        <v>2200</v>
      </c>
      <c r="L512">
        <f>IF(OR(I512="",K512=""),"",I512*K512)</f>
        <v/>
      </c>
      <c r="N512">
        <f>M512*L512</f>
        <v/>
      </c>
      <c r="O512">
        <f>IF(L512="","",IF(M512="",L512,L512*(1-M512)))</f>
        <v/>
      </c>
    </row>
    <row r="513">
      <c r="A513" t="n">
        <v>510</v>
      </c>
      <c r="B513" s="127" t="n">
        <v>46196</v>
      </c>
      <c r="C513">
        <f>IF(B513="","",TEXT(B513,"MMM-YYYY"))</f>
        <v/>
      </c>
      <c r="D513" t="inlineStr">
        <is>
          <t>Plinth Phase</t>
        </is>
      </c>
      <c r="E513" t="inlineStr">
        <is>
          <t>Land Development</t>
        </is>
      </c>
      <c r="F513" t="inlineStr">
        <is>
          <t>Mitti Filling</t>
        </is>
      </c>
      <c r="G513" t="inlineStr">
        <is>
          <t>Mitti filling 22 trailers @ ₹600</t>
        </is>
      </c>
      <c r="H513" t="inlineStr">
        <is>
          <t>Mukesh Yadav</t>
        </is>
      </c>
      <c r="I513" t="n">
        <v>22</v>
      </c>
      <c r="J513" t="inlineStr">
        <is>
          <t>Trailer</t>
        </is>
      </c>
      <c r="K513" t="n">
        <v>600</v>
      </c>
      <c r="L513">
        <f>IF(OR(I513="",K513=""),"",I513*K513)</f>
        <v/>
      </c>
      <c r="N513">
        <f>M513*L513</f>
        <v/>
      </c>
      <c r="O513">
        <f>IF(L513="","",IF(M513="",L513,L513*(1-M513)))</f>
        <v/>
      </c>
    </row>
    <row r="514">
      <c r="A514" t="n">
        <v>511</v>
      </c>
      <c r="B514" s="127" t="n">
        <v>46207</v>
      </c>
      <c r="C514">
        <f>IF(B514="","",TEXT(B514,"MMM-YYYY"))</f>
        <v/>
      </c>
      <c r="D514" t="inlineStr">
        <is>
          <t>Plinth Phase</t>
        </is>
      </c>
      <c r="E514" t="inlineStr">
        <is>
          <t>Land Development</t>
        </is>
      </c>
      <c r="F514" t="inlineStr">
        <is>
          <t>JCB Work</t>
        </is>
      </c>
      <c r="G514" t="inlineStr">
        <is>
          <t>JCB work 1.25 hrs @ ₹1,000</t>
        </is>
      </c>
      <c r="H514" t="inlineStr">
        <is>
          <t>Mukesh Yadav</t>
        </is>
      </c>
      <c r="I514" t="n">
        <v>1.25</v>
      </c>
      <c r="J514" t="inlineStr">
        <is>
          <t>Hour</t>
        </is>
      </c>
      <c r="K514" t="n">
        <v>1000</v>
      </c>
      <c r="L514">
        <f>IF(OR(I514="",K514=""),"",I514*K514)</f>
        <v/>
      </c>
      <c r="N514">
        <f>M514*L514</f>
        <v/>
      </c>
      <c r="O514">
        <f>IF(L514="","",IF(M514="",L514,L514*(1-M514)))</f>
        <v/>
      </c>
    </row>
    <row r="515">
      <c r="A515" t="n">
        <v>512</v>
      </c>
      <c r="B515" s="127" t="n">
        <v>46195</v>
      </c>
      <c r="C515">
        <f>IF(B515="","",TEXT(B515,"MMM-YYYY"))</f>
        <v/>
      </c>
      <c r="D515" t="inlineStr">
        <is>
          <t>Plinth Phase</t>
        </is>
      </c>
      <c r="E515" t="inlineStr">
        <is>
          <t>Professional Fees</t>
        </is>
      </c>
      <c r="F515" t="inlineStr">
        <is>
          <t>Engineer Supervision</t>
        </is>
      </c>
      <c r="G515" t="inlineStr">
        <is>
          <t>Engineer supervision fee — Jun payment</t>
        </is>
      </c>
      <c r="H515" t="inlineStr">
        <is>
          <t>Econ Builder</t>
        </is>
      </c>
      <c r="I515" t="n">
        <v>1</v>
      </c>
      <c r="J515" t="inlineStr">
        <is>
          <t>Lumpsum</t>
        </is>
      </c>
      <c r="K515" t="n">
        <v>5000</v>
      </c>
      <c r="L515">
        <f>IF(OR(I515="",K515=""),"",I515*K515)</f>
        <v/>
      </c>
      <c r="O515">
        <f>IF(L515="","",IF(M515="",L515,L515*(1-M515)))</f>
        <v/>
      </c>
      <c r="P515" t="inlineStr">
        <is>
          <t>Papa</t>
        </is>
      </c>
      <c r="Q515" t="inlineStr">
        <is>
          <t>GPay</t>
        </is>
      </c>
    </row>
    <row r="516">
      <c r="A516" t="n">
        <v>513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Professional Fees</t>
        </is>
      </c>
      <c r="F516" t="inlineStr">
        <is>
          <t>Engineer Supervision</t>
        </is>
      </c>
      <c r="G516" t="inlineStr">
        <is>
          <t>Engineer supervision fee — Jul payment</t>
        </is>
      </c>
      <c r="H516" t="inlineStr">
        <is>
          <t>Econ Builder</t>
        </is>
      </c>
      <c r="I516" t="n">
        <v>1</v>
      </c>
      <c r="J516" t="inlineStr">
        <is>
          <t>Lumpsum</t>
        </is>
      </c>
      <c r="K516" t="n">
        <v>75000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514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Building Materials</t>
        </is>
      </c>
      <c r="F517" t="inlineStr">
        <is>
          <t>Sand</t>
        </is>
      </c>
      <c r="G517" t="inlineStr">
        <is>
          <t>Sand Truck 3 — 944 CFT @ ₹59.85/CFT</t>
        </is>
      </c>
      <c r="H517" t="inlineStr">
        <is>
          <t>Sand Truck Wala</t>
        </is>
      </c>
      <c r="I517" t="n">
        <v>1</v>
      </c>
      <c r="J517" t="inlineStr">
        <is>
          <t>Lumpsum</t>
        </is>
      </c>
      <c r="K517" t="n">
        <v>56500</v>
      </c>
      <c r="L517">
        <f>IF(OR(I517="",K517=""),"",I517*K517)</f>
        <v/>
      </c>
      <c r="O517">
        <f>IF(L517="","",IF(M517="",L517,L517*(1-M517)))</f>
        <v/>
      </c>
    </row>
    <row r="518">
      <c r="A518" t="n">
        <v>515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Sand</t>
        </is>
      </c>
      <c r="G518" t="inlineStr">
        <is>
          <t>Sand Truck 4 — 936 CFT @ ₹59.85/CFT</t>
        </is>
      </c>
      <c r="H518" t="inlineStr">
        <is>
          <t>Sand Truck Wala</t>
        </is>
      </c>
      <c r="I518" t="n">
        <v>1</v>
      </c>
      <c r="J518" t="inlineStr">
        <is>
          <t>Lumpsum</t>
        </is>
      </c>
      <c r="K518" t="n">
        <v>56000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516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Cement</t>
        </is>
      </c>
      <c r="G519" t="inlineStr">
        <is>
          <t>Ultratech Super Cement 30B @ ₹350</t>
        </is>
      </c>
      <c r="H519" t="inlineStr">
        <is>
          <t>Pappu Hardware</t>
        </is>
      </c>
      <c r="I519" t="n">
        <v>30</v>
      </c>
      <c r="J519" t="inlineStr">
        <is>
          <t>Bag</t>
        </is>
      </c>
      <c r="K519" t="n">
        <v>350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517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Building Materials</t>
        </is>
      </c>
      <c r="F520" t="inlineStr">
        <is>
          <t>Cement</t>
        </is>
      </c>
      <c r="G520" t="inlineStr">
        <is>
          <t>Ultratech Cement (PPC) 30B @ ₹330</t>
        </is>
      </c>
      <c r="H520" t="inlineStr">
        <is>
          <t>Pappu Hardware</t>
        </is>
      </c>
      <c r="I520" t="n">
        <v>30</v>
      </c>
      <c r="J520" t="inlineStr">
        <is>
          <t>Bag</t>
        </is>
      </c>
      <c r="K520" t="n">
        <v>330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518</v>
      </c>
      <c r="B521" s="127" t="n">
        <v>46208</v>
      </c>
      <c r="C521">
        <f>IF(B521="","",TEXT(B521,"MMM-YYYY"))</f>
        <v/>
      </c>
      <c r="D521" t="inlineStr">
        <is>
          <t>Plinth Phase</t>
        </is>
      </c>
      <c r="E521" t="inlineStr">
        <is>
          <t>Steel / Iron</t>
        </is>
      </c>
      <c r="F521" t="inlineStr">
        <is>
          <t>Tiscon 6mm</t>
        </is>
      </c>
      <c r="G521" t="inlineStr">
        <is>
          <t>6mm Tiscon Rod 50 pcs @ ₹228</t>
        </is>
      </c>
      <c r="H521" t="inlineStr">
        <is>
          <t>Pappu Hardware</t>
        </is>
      </c>
      <c r="I521" t="n">
        <v>50</v>
      </c>
      <c r="J521" t="inlineStr">
        <is>
          <t>Pcs</t>
        </is>
      </c>
      <c r="K521" t="n">
        <v>228</v>
      </c>
      <c r="L521">
        <f>IF(OR(I521="",K521=""),"",I521*K521)</f>
        <v/>
      </c>
      <c r="O521">
        <f>IF(L521="","",IF(M521="",L521,L521*(1-M521)))</f>
        <v/>
      </c>
      <c r="P521" t="inlineStr">
        <is>
          <t>Self</t>
        </is>
      </c>
      <c r="Q521" t="inlineStr">
        <is>
          <t>GPay</t>
        </is>
      </c>
    </row>
    <row r="522">
      <c r="A522" t="n">
        <v>519</v>
      </c>
      <c r="B522" s="127" t="n">
        <v>46208</v>
      </c>
      <c r="C522">
        <f>IF(B522="","",TEXT(B522,"MMM-YYYY"))</f>
        <v/>
      </c>
      <c r="D522" t="inlineStr">
        <is>
          <t>Plinth Phase</t>
        </is>
      </c>
      <c r="E522" t="inlineStr">
        <is>
          <t>Building Materials</t>
        </is>
      </c>
      <c r="F522" t="inlineStr">
        <is>
          <t>Concrete/Gitti</t>
        </is>
      </c>
      <c r="G522" t="inlineStr">
        <is>
          <t>Gitti 1 trailer @ ₹7,500</t>
        </is>
      </c>
      <c r="H522" t="inlineStr">
        <is>
          <t>Pappu Hardware</t>
        </is>
      </c>
      <c r="I522" t="n">
        <v>1</v>
      </c>
      <c r="J522" t="inlineStr">
        <is>
          <t>Trailer</t>
        </is>
      </c>
      <c r="K522" t="n">
        <v>7500</v>
      </c>
      <c r="L522">
        <f>IF(OR(I522="",K522=""),"",I522*K522)</f>
        <v/>
      </c>
      <c r="O522">
        <f>IF(L522="","",IF(M522="",L522,L522*(1-M522)))</f>
        <v/>
      </c>
      <c r="P522" t="inlineStr">
        <is>
          <t>Self</t>
        </is>
      </c>
      <c r="Q522" t="inlineStr">
        <is>
          <t>GPay</t>
        </is>
      </c>
    </row>
    <row r="523">
      <c r="A523" t="n">
        <v>520</v>
      </c>
      <c r="B523" s="127" t="n">
        <v>46208</v>
      </c>
      <c r="C523">
        <f>IF(B523="","",TEXT(B523,"MMM-YYYY"))</f>
        <v/>
      </c>
      <c r="D523" t="inlineStr">
        <is>
          <t>Plinth Phase</t>
        </is>
      </c>
      <c r="E523" t="inlineStr">
        <is>
          <t>Building Materials</t>
        </is>
      </c>
      <c r="F523" t="inlineStr">
        <is>
          <t>Chemical</t>
        </is>
      </c>
      <c r="G523" t="inlineStr">
        <is>
          <t>Dr Fixit 10 Litre @ ₹140</t>
        </is>
      </c>
      <c r="H523" t="inlineStr">
        <is>
          <t>Pappu Hardware</t>
        </is>
      </c>
      <c r="I523" t="n">
        <v>10</v>
      </c>
      <c r="J523" t="inlineStr">
        <is>
          <t>Litre</t>
        </is>
      </c>
      <c r="K523" t="n">
        <v>140</v>
      </c>
      <c r="L523">
        <f>IF(OR(I523="",K523=""),"",I523*K523)</f>
        <v/>
      </c>
      <c r="O523">
        <f>IF(L523="","",IF(M523="",L523,L523*(1-M523)))</f>
        <v/>
      </c>
      <c r="P523" t="inlineStr">
        <is>
          <t>Self</t>
        </is>
      </c>
      <c r="Q523" t="inlineStr">
        <is>
          <t>GPay</t>
        </is>
      </c>
    </row>
    <row r="524">
      <c r="A524" t="n">
        <v>521</v>
      </c>
      <c r="B524" s="127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Labour</t>
        </is>
      </c>
      <c r="F524" t="inlineStr">
        <is>
          <t>Site Labour</t>
        </is>
      </c>
      <c r="G524" t="inlineStr">
        <is>
          <t>Labour/unloading charges</t>
        </is>
      </c>
      <c r="H524" t="inlineStr">
        <is>
          <t>Pappu Hardware</t>
        </is>
      </c>
      <c r="I524" t="n">
        <v>1</v>
      </c>
      <c r="J524" t="inlineStr">
        <is>
          <t>Lumpsum</t>
        </is>
      </c>
      <c r="K524" t="n">
        <v>950</v>
      </c>
      <c r="L524">
        <f>IF(OR(I524="",K524=""),"",I524*K524)</f>
        <v/>
      </c>
      <c r="O524">
        <f>IF(L524="","",IF(M524="",L524,L524*(1-M524)))</f>
        <v/>
      </c>
      <c r="P524" t="inlineStr">
        <is>
          <t>Self</t>
        </is>
      </c>
      <c r="Q524" t="inlineStr">
        <is>
          <t>GPay</t>
        </is>
      </c>
    </row>
    <row r="525">
      <c r="A525" t="n">
        <v>522</v>
      </c>
      <c r="B525" s="127" t="n">
        <v>46220</v>
      </c>
      <c r="C525">
        <f>IF(B525="","",TEXT(B525,"MMM-YYYY"))</f>
        <v/>
      </c>
      <c r="D525" t="inlineStr">
        <is>
          <t>Plinth Phase</t>
        </is>
      </c>
      <c r="E525" t="inlineStr">
        <is>
          <t>Professional Fees</t>
        </is>
      </c>
      <c r="F525" t="inlineStr">
        <is>
          <t>Engineer Supervision</t>
        </is>
      </c>
      <c r="G525" t="inlineStr">
        <is>
          <t>Engineer supervision fee — iron wiring works</t>
        </is>
      </c>
      <c r="H525" t="inlineStr">
        <is>
          <t>Econ Builder</t>
        </is>
      </c>
      <c r="I525" t="n">
        <v>1</v>
      </c>
      <c r="J525" t="inlineStr">
        <is>
          <t>Lumpsum</t>
        </is>
      </c>
      <c r="K525" t="n">
        <v>15000</v>
      </c>
      <c r="L525">
        <f>IF(OR(I525="",K525=""),"",I525*K525)</f>
        <v/>
      </c>
      <c r="O525">
        <f>IF(L525="","",IF(M525="",L525,L525*(1-M525)))</f>
        <v/>
      </c>
      <c r="P525" t="inlineStr">
        <is>
          <t>Papa</t>
        </is>
      </c>
      <c r="Q525" t="inlineStr">
        <is>
          <t>GPay</t>
        </is>
      </c>
    </row>
    <row r="526">
      <c r="A526" t="n">
        <v>523</v>
      </c>
      <c r="B526" s="127" t="n">
        <v>46220</v>
      </c>
      <c r="C526">
        <f>IF(B526="","",TEXT(B526,"MMM-YYYY"))</f>
        <v/>
      </c>
      <c r="D526" t="inlineStr">
        <is>
          <t>Plinth Phase</t>
        </is>
      </c>
      <c r="E526" t="inlineStr">
        <is>
          <t>Building Materials</t>
        </is>
      </c>
      <c r="F526" t="inlineStr">
        <is>
          <t>Wire</t>
        </is>
      </c>
      <c r="G526" t="inlineStr">
        <is>
          <t>Iron wire 2 Kg @ ₹600/kg</t>
        </is>
      </c>
      <c r="H526" t="inlineStr">
        <is>
          <t>Local Purchase</t>
        </is>
      </c>
      <c r="I526" t="n">
        <v>2</v>
      </c>
      <c r="J526" t="inlineStr">
        <is>
          <t>Kg</t>
        </is>
      </c>
      <c r="K526" t="n">
        <v>600</v>
      </c>
      <c r="L526">
        <f>IF(OR(I526="",K526=""),"",I526*K526)</f>
        <v/>
      </c>
      <c r="O526">
        <f>IF(L526="","",IF(M526="",L526,L526*(1-M526)))</f>
        <v/>
      </c>
      <c r="P526" t="inlineStr">
        <is>
          <t>Papa</t>
        </is>
      </c>
      <c r="Q526" t="inlineStr">
        <is>
          <t>GPay</t>
        </is>
      </c>
    </row>
    <row r="527">
      <c r="A527" t="n">
        <v>524</v>
      </c>
      <c r="B527" s="127" t="n">
        <v>46220</v>
      </c>
      <c r="C527">
        <f>IF(B527="","",TEXT(B527,"MMM-YYYY"))</f>
        <v/>
      </c>
      <c r="D527" t="inlineStr">
        <is>
          <t>Plinth Phase</t>
        </is>
      </c>
      <c r="E527" t="inlineStr">
        <is>
          <t>Transport · Food · Misc</t>
        </is>
      </c>
      <c r="F527" t="inlineStr">
        <is>
          <t>Delivery</t>
        </is>
      </c>
      <c r="G527" t="inlineStr">
        <is>
          <t>Iron wire delivery charges</t>
        </is>
      </c>
      <c r="H527" t="inlineStr">
        <is>
          <t>Local Purchase</t>
        </is>
      </c>
      <c r="I527" t="n">
        <v>1</v>
      </c>
      <c r="J527" t="inlineStr">
        <is>
          <t>Lumpsum</t>
        </is>
      </c>
      <c r="K527" t="n">
        <v>100</v>
      </c>
      <c r="L527">
        <f>IF(OR(I527="",K527=""),"",I527*K527)</f>
        <v/>
      </c>
      <c r="O527">
        <f>IF(L527="","",IF(M527="",L527,L527*(1-M527)))</f>
        <v/>
      </c>
      <c r="P527" t="inlineStr">
        <is>
          <t>Papa</t>
        </is>
      </c>
      <c r="Q527" t="inlineStr">
        <is>
          <t>GPay</t>
        </is>
      </c>
    </row>
    <row r="528">
      <c r="A528" t="n">
        <v>525</v>
      </c>
      <c r="B528" s="127" t="n">
        <v>46220</v>
      </c>
      <c r="C528">
        <f>IF(B528="","",TEXT(B528,"MMM-YYYY"))</f>
        <v/>
      </c>
      <c r="D528" t="inlineStr">
        <is>
          <t>Plinth Phase</t>
        </is>
      </c>
      <c r="E528" t="inlineStr">
        <is>
          <t>Professional Fees</t>
        </is>
      </c>
      <c r="F528" t="inlineStr">
        <is>
          <t>Shuttering Labour</t>
        </is>
      </c>
      <c r="G528" t="inlineStr">
        <is>
          <t>Payment to Santosh for shuttering work</t>
        </is>
      </c>
      <c r="H528" t="inlineStr">
        <is>
          <t>Econ Builder</t>
        </is>
      </c>
      <c r="I528" t="n">
        <v>1</v>
      </c>
      <c r="J528" t="inlineStr">
        <is>
          <t>Lumpsum</t>
        </is>
      </c>
      <c r="K528" t="n">
        <v>18000</v>
      </c>
      <c r="L528">
        <f>IF(OR(I528="",K528=""),"",I528*K528)</f>
        <v/>
      </c>
      <c r="O528">
        <f>IF(L528="","",IF(M528="",L528,L528*(1-M528)))</f>
        <v/>
      </c>
      <c r="P528" t="inlineStr">
        <is>
          <t>Papa</t>
        </is>
      </c>
      <c r="Q528" t="inlineStr">
        <is>
          <t>GPay</t>
        </is>
      </c>
    </row>
    <row r="529">
      <c r="A529" t="n">
        <v>526</v>
      </c>
      <c r="B529" s="128" t="n">
        <v>46205</v>
      </c>
      <c r="C529">
        <f>IF(B529="","",TEXT(B529,"MMM-YYYY"))</f>
        <v/>
      </c>
      <c r="D529" t="inlineStr">
        <is>
          <t>Plinth Phase</t>
        </is>
      </c>
      <c r="E529" t="inlineStr">
        <is>
          <t>Land Development</t>
        </is>
      </c>
      <c r="F529" t="inlineStr">
        <is>
          <t>Mitti Filling</t>
        </is>
      </c>
      <c r="G529" t="inlineStr">
        <is>
          <t>Mitti filling 20 trailers @ ₹600</t>
        </is>
      </c>
      <c r="H529" t="inlineStr">
        <is>
          <t>Mukesh Yadav</t>
        </is>
      </c>
      <c r="I529" t="n">
        <v>20</v>
      </c>
      <c r="J529" t="inlineStr">
        <is>
          <t>Trailer</t>
        </is>
      </c>
      <c r="K529" t="n">
        <v>600</v>
      </c>
      <c r="L529">
        <f>IF(OR(I529="",K529=""),"",I529*K529)</f>
        <v/>
      </c>
      <c r="N529">
        <f>M529*L529</f>
        <v/>
      </c>
      <c r="O529">
        <f>IF(L529="","",IF(M529="",L529,L529*(1-M529)))</f>
        <v/>
      </c>
    </row>
    <row r="530">
      <c r="A530" t="n">
        <v>527</v>
      </c>
      <c r="B530" s="128" t="n">
        <v>46208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60 min (1 hr) @ ₹1,000/hr</t>
        </is>
      </c>
      <c r="H530" t="inlineStr">
        <is>
          <t>Mukesh Yadav</t>
        </is>
      </c>
      <c r="I530" t="n">
        <v>1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M530*L530</f>
        <v/>
      </c>
      <c r="O530">
        <f>IF(L530="","",IF(M530="",L530,L530*(1-M530)))</f>
        <v/>
      </c>
    </row>
    <row r="531">
      <c r="A531" t="n">
        <v>528</v>
      </c>
      <c r="B531" s="128" t="n">
        <v>46208</v>
      </c>
      <c r="C531">
        <f>IF(B531="","",TEXT(B531,"MMM-YYYY"))</f>
        <v/>
      </c>
      <c r="D531" t="inlineStr">
        <is>
          <t>Plinth Phase</t>
        </is>
      </c>
      <c r="E531" t="inlineStr">
        <is>
          <t>Land Development</t>
        </is>
      </c>
      <c r="F531" t="inlineStr">
        <is>
          <t>Mitti Filling</t>
        </is>
      </c>
      <c r="G531" t="inlineStr">
        <is>
          <t>Mitti filling 24 trailers @ ₹600</t>
        </is>
      </c>
      <c r="H531" t="inlineStr">
        <is>
          <t>Mukesh Yadav</t>
        </is>
      </c>
      <c r="I531" t="n">
        <v>24</v>
      </c>
      <c r="J531" t="inlineStr">
        <is>
          <t>Trailer</t>
        </is>
      </c>
      <c r="K531" t="n">
        <v>600</v>
      </c>
      <c r="L531">
        <f>IF(OR(I531="",K531=""),"",I531*K531)</f>
        <v/>
      </c>
      <c r="N531">
        <f>M531*L531</f>
        <v/>
      </c>
      <c r="O531">
        <f>IF(L531="","",IF(M531="",L531,L531*(1-M531)))</f>
        <v/>
      </c>
    </row>
    <row r="532">
      <c r="A532" t="n">
        <v>529</v>
      </c>
      <c r="B532" s="128" t="n">
        <v>46209</v>
      </c>
      <c r="C532">
        <f>IF(B532="","",TEXT(B532,"MMM-YYYY"))</f>
        <v/>
      </c>
      <c r="D532" t="inlineStr">
        <is>
          <t>Plinth Phase</t>
        </is>
      </c>
      <c r="E532" t="inlineStr">
        <is>
          <t>Land Development</t>
        </is>
      </c>
      <c r="F532" t="inlineStr">
        <is>
          <t>JCB Work</t>
        </is>
      </c>
      <c r="G532" t="inlineStr">
        <is>
          <t>JCB work 60 min (1 hr) @ ₹1,000/hr</t>
        </is>
      </c>
      <c r="H532" t="inlineStr">
        <is>
          <t>Mukesh Yadav</t>
        </is>
      </c>
      <c r="I532" t="n">
        <v>1</v>
      </c>
      <c r="J532" t="inlineStr">
        <is>
          <t>Hour</t>
        </is>
      </c>
      <c r="K532" t="n">
        <v>1000</v>
      </c>
      <c r="L532">
        <f>IF(OR(I532="",K532=""),"",I532*K532)</f>
        <v/>
      </c>
      <c r="N532">
        <f>M532*L532</f>
        <v/>
      </c>
      <c r="O532">
        <f>IF(L532="","",IF(M532="",L532,L532*(1-M532)))</f>
        <v/>
      </c>
    </row>
    <row r="533">
      <c r="A533" t="n">
        <v>530</v>
      </c>
      <c r="B533" s="128" t="n">
        <v>46209</v>
      </c>
      <c r="C533">
        <f>IF(B533="","",TEXT(B533,"MMM-YYYY"))</f>
        <v/>
      </c>
      <c r="D533" t="inlineStr">
        <is>
          <t>Plinth Phase</t>
        </is>
      </c>
      <c r="E533" t="inlineStr">
        <is>
          <t>Land Development</t>
        </is>
      </c>
      <c r="F533" t="inlineStr">
        <is>
          <t>Mitti Filling</t>
        </is>
      </c>
      <c r="G533" t="inlineStr">
        <is>
          <t>Mitti filling 42 trailers @ ₹600</t>
        </is>
      </c>
      <c r="H533" t="inlineStr">
        <is>
          <t>Mukesh Yadav</t>
        </is>
      </c>
      <c r="I533" t="n">
        <v>42</v>
      </c>
      <c r="J533" t="inlineStr">
        <is>
          <t>Trailer</t>
        </is>
      </c>
      <c r="K533" t="n">
        <v>600</v>
      </c>
      <c r="L533">
        <f>IF(OR(I533="",K533=""),"",I533*K533)</f>
        <v/>
      </c>
      <c r="N533">
        <f>M533*L533</f>
        <v/>
      </c>
      <c r="O533">
        <f>IF(L533="","",IF(M533="",L533,L533*(1-M533)))</f>
        <v/>
      </c>
    </row>
    <row r="534">
      <c r="A534" t="n">
        <v>531</v>
      </c>
      <c r="B534" s="128" t="n">
        <v>46210</v>
      </c>
      <c r="C534">
        <f>IF(B534="","",TEXT(B534,"MMM-YYYY"))</f>
        <v/>
      </c>
      <c r="D534" t="inlineStr">
        <is>
          <t>Plinth Phase</t>
        </is>
      </c>
      <c r="E534" t="inlineStr">
        <is>
          <t>Land Development</t>
        </is>
      </c>
      <c r="F534" t="inlineStr">
        <is>
          <t>JCB Work</t>
        </is>
      </c>
      <c r="G534" t="inlineStr">
        <is>
          <t>JCB work 160 min (2h40m) @ ₹1,000/hr</t>
        </is>
      </c>
      <c r="H534" t="inlineStr">
        <is>
          <t>Mukesh Yadav</t>
        </is>
      </c>
      <c r="I534" t="n">
        <v>2.666666666666667</v>
      </c>
      <c r="J534" t="inlineStr">
        <is>
          <t>Hour</t>
        </is>
      </c>
      <c r="K534" t="n">
        <v>1000</v>
      </c>
      <c r="L534">
        <f>IF(OR(I534="",K534=""),"",I534*K534)</f>
        <v/>
      </c>
      <c r="N534">
        <f>M534*L534</f>
        <v/>
      </c>
      <c r="O534">
        <f>IF(L534="","",IF(M534="",L534,L534*(1-M534)))</f>
        <v/>
      </c>
    </row>
    <row r="535">
      <c r="A535" t="n">
        <v>532</v>
      </c>
      <c r="B535" s="128" t="n">
        <v>46217</v>
      </c>
      <c r="C535">
        <f>IF(B535="","",TEXT(B535,"MMM-YYYY"))</f>
        <v/>
      </c>
      <c r="D535" t="inlineStr">
        <is>
          <t>Plinth Phase</t>
        </is>
      </c>
      <c r="E535" t="inlineStr">
        <is>
          <t>Labour</t>
        </is>
      </c>
      <c r="F535" t="inlineStr">
        <is>
          <t>Sand Movement</t>
        </is>
      </c>
      <c r="G535" t="inlineStr">
        <is>
          <t>Sand movement 30 trailers @ ₹200</t>
        </is>
      </c>
      <c r="H535" t="inlineStr">
        <is>
          <t>Mukesh Yadav</t>
        </is>
      </c>
      <c r="I535" t="n">
        <v>30</v>
      </c>
      <c r="J535" t="inlineStr">
        <is>
          <t>Trailer</t>
        </is>
      </c>
      <c r="K535" t="n">
        <v>200</v>
      </c>
      <c r="L535">
        <f>IF(OR(I535="",K535=""),"",I535*K535)</f>
        <v/>
      </c>
      <c r="N535">
        <f>M535*L535</f>
        <v/>
      </c>
      <c r="O535">
        <f>IF(L535="","",IF(M535="",L535,L535*(1-M535)))</f>
        <v/>
      </c>
    </row>
    <row r="536">
      <c r="A536" t="n">
        <v>533</v>
      </c>
      <c r="B536" s="128" t="n">
        <v>46219</v>
      </c>
      <c r="C536">
        <f>IF(B536="","",TEXT(B536,"MMM-YYYY"))</f>
        <v/>
      </c>
      <c r="D536" t="inlineStr">
        <is>
          <t>Plinth Phase</t>
        </is>
      </c>
      <c r="E536" t="inlineStr">
        <is>
          <t>Land Development</t>
        </is>
      </c>
      <c r="F536" t="inlineStr">
        <is>
          <t>JCB Work</t>
        </is>
      </c>
      <c r="G536" t="inlineStr">
        <is>
          <t>JCB work 20 min (0.33 hr) @ ₹1,000/hr</t>
        </is>
      </c>
      <c r="H536" t="inlineStr">
        <is>
          <t>Mukesh Yadav</t>
        </is>
      </c>
      <c r="I536" t="n">
        <v>0.3333333333333333</v>
      </c>
      <c r="J536" t="inlineStr">
        <is>
          <t>Hour</t>
        </is>
      </c>
      <c r="K536" t="n">
        <v>1000</v>
      </c>
      <c r="L536">
        <f>IF(OR(I536="",K536=""),"",I536*K536)</f>
        <v/>
      </c>
      <c r="N536">
        <f>M536*L536</f>
        <v/>
      </c>
      <c r="O536">
        <f>IF(L536="","",IF(M536="",L536,L536*(1-M536)))</f>
        <v/>
      </c>
    </row>
    <row r="537">
      <c r="A537" t="n">
        <v>534</v>
      </c>
      <c r="B537" s="128" t="n">
        <v>46224</v>
      </c>
      <c r="C537">
        <f>IF(B537="","",TEXT(B537,"MMM-YYYY"))</f>
        <v/>
      </c>
      <c r="D537" t="inlineStr">
        <is>
          <t>Plinth Phase</t>
        </is>
      </c>
      <c r="E537" t="inlineStr">
        <is>
          <t>Professional Fees</t>
        </is>
      </c>
      <c r="F537" t="inlineStr">
        <is>
          <t>Shuttering Labour</t>
        </is>
      </c>
      <c r="G537" t="inlineStr">
        <is>
          <t>Advance to Santosh for shuttering work</t>
        </is>
      </c>
      <c r="H537" t="inlineStr">
        <is>
          <t>Econ Builder</t>
        </is>
      </c>
      <c r="I537" t="n">
        <v>1</v>
      </c>
      <c r="J537" t="inlineStr">
        <is>
          <t>Advance</t>
        </is>
      </c>
      <c r="K537" t="n">
        <v>5000</v>
      </c>
      <c r="L537">
        <f>IF(OR(I537="",K537=""),"",I537*K537)</f>
        <v/>
      </c>
      <c r="N537">
        <f>M537*L537</f>
        <v/>
      </c>
      <c r="O537">
        <f>IF(L537="","",IF(M537="",L537,L537*(1-M537)))</f>
        <v/>
      </c>
    </row>
    <row r="538">
      <c r="A538" t="n">
        <v>535</v>
      </c>
      <c r="B538" s="128" t="n">
        <v>46224</v>
      </c>
      <c r="C538">
        <f>IF(B538="","",TEXT(B538,"MMM-YYYY"))</f>
        <v/>
      </c>
      <c r="D538" t="inlineStr">
        <is>
          <t>Plinth Phase</t>
        </is>
      </c>
      <c r="E538" t="inlineStr">
        <is>
          <t>Building Materials</t>
        </is>
      </c>
      <c r="F538" t="inlineStr">
        <is>
          <t>Cement</t>
        </is>
      </c>
      <c r="G538" t="inlineStr">
        <is>
          <t>Ultratech Super Cement 30 bags @ ₹350</t>
        </is>
      </c>
      <c r="H538" t="inlineStr">
        <is>
          <t>Pappu Hardware</t>
        </is>
      </c>
      <c r="I538" t="n">
        <v>30</v>
      </c>
      <c r="J538" t="inlineStr">
        <is>
          <t>Bag</t>
        </is>
      </c>
      <c r="K538" t="n">
        <v>350</v>
      </c>
      <c r="L538">
        <f>I538*K538</f>
        <v/>
      </c>
      <c r="N538">
        <f>M538*L538</f>
        <v/>
      </c>
      <c r="O538">
        <f>IF(L538="","",IF(M538="",L538,L538*(1-M538)))</f>
        <v/>
      </c>
    </row>
    <row r="539">
      <c r="A539" t="n">
        <v>536</v>
      </c>
      <c r="B539" s="128" t="n">
        <v>46224</v>
      </c>
      <c r="C539">
        <f>IF(B539="","",TEXT(B539,"MMM-YYYY"))</f>
        <v/>
      </c>
      <c r="D539" t="inlineStr">
        <is>
          <t>Plinth Phase</t>
        </is>
      </c>
      <c r="E539" t="inlineStr">
        <is>
          <t>Building Materials</t>
        </is>
      </c>
      <c r="F539" t="inlineStr">
        <is>
          <t>Cement</t>
        </is>
      </c>
      <c r="G539" t="inlineStr">
        <is>
          <t>Ultratech Plain Cement 30 bags @ ₹330</t>
        </is>
      </c>
      <c r="H539" t="inlineStr">
        <is>
          <t>Pappu Hardware</t>
        </is>
      </c>
      <c r="I539" t="n">
        <v>30</v>
      </c>
      <c r="J539" t="inlineStr">
        <is>
          <t>Bag</t>
        </is>
      </c>
      <c r="K539" t="n">
        <v>330</v>
      </c>
      <c r="L539">
        <f>I539*K539</f>
        <v/>
      </c>
      <c r="N539">
        <f>M539*L539</f>
        <v/>
      </c>
      <c r="O539">
        <f>IF(L539="","",IF(M539="",L539,L539*(1-M539)))</f>
        <v/>
      </c>
    </row>
    <row r="540">
      <c r="A540" t="n">
        <v>537</v>
      </c>
      <c r="B540" s="128" t="n">
        <v>46224</v>
      </c>
      <c r="C540">
        <f>IF(B540="","",TEXT(B540,"MMM-YYYY"))</f>
        <v/>
      </c>
      <c r="D540" t="inlineStr">
        <is>
          <t>Plinth Phase</t>
        </is>
      </c>
      <c r="E540" t="inlineStr">
        <is>
          <t>Transport · Food · Misc</t>
        </is>
      </c>
      <c r="F540" t="inlineStr">
        <is>
          <t>Transport</t>
        </is>
      </c>
      <c r="G540" t="inlineStr">
        <is>
          <t>Cement freight/transport (Bhada)</t>
        </is>
      </c>
      <c r="H540" t="inlineStr">
        <is>
          <t>Pappu Hardware</t>
        </is>
      </c>
      <c r="I540" t="n">
        <v>1</v>
      </c>
      <c r="J540" t="inlineStr">
        <is>
          <t>Trip</t>
        </is>
      </c>
      <c r="K540" t="n">
        <v>300</v>
      </c>
      <c r="L540">
        <f>I540*K540</f>
        <v/>
      </c>
      <c r="N540">
        <f>M540*L540</f>
        <v/>
      </c>
      <c r="O540">
        <f>IF(L540="","",IF(M540="",L540,L540*(1-M540)))</f>
        <v/>
      </c>
    </row>
    <row r="541">
      <c r="A541" t="n">
        <v>538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Labour</t>
        </is>
      </c>
      <c r="F541" t="inlineStr">
        <is>
          <t>Site Labour</t>
        </is>
      </c>
      <c r="G541" t="inlineStr">
        <is>
          <t>Labour for cement loading/unloading</t>
        </is>
      </c>
      <c r="H541" t="inlineStr">
        <is>
          <t>Pappu Hardware</t>
        </is>
      </c>
      <c r="I541" t="n">
        <v>1</v>
      </c>
      <c r="J541" t="inlineStr">
        <is>
          <t>Service</t>
        </is>
      </c>
      <c r="K541" t="n">
        <v>240</v>
      </c>
      <c r="L541">
        <f>I541*K541</f>
        <v/>
      </c>
      <c r="N541">
        <f>M541*L541</f>
        <v/>
      </c>
      <c r="O541">
        <f>IF(L541="","",IF(M541="",L541,L541*(1-M541)))</f>
        <v/>
      </c>
    </row>
    <row r="542">
      <c r="A542" t="n">
        <v>539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Steel / Iron</t>
        </is>
      </c>
      <c r="F542" t="inlineStr">
        <is>
          <t>Wire</t>
        </is>
      </c>
      <c r="G542" t="inlineStr">
        <is>
          <t>Wire 2 bundles</t>
        </is>
      </c>
      <c r="H542" t="inlineStr">
        <is>
          <t>Pappu Hardware</t>
        </is>
      </c>
      <c r="I542" t="n">
        <v>2</v>
      </c>
      <c r="J542" t="inlineStr">
        <is>
          <t>Bundle</t>
        </is>
      </c>
      <c r="K542" t="n">
        <v>600</v>
      </c>
      <c r="L542">
        <f>I542*K542</f>
        <v/>
      </c>
      <c r="N542">
        <f>M542*L542</f>
        <v/>
      </c>
      <c r="O542">
        <f>IF(L542="","",IF(M542="",L542,L542*(1-M542)))</f>
        <v/>
      </c>
    </row>
    <row r="543">
      <c r="A543" t="n">
        <v>540</v>
      </c>
      <c r="B543" s="128" t="n">
        <v>46224</v>
      </c>
      <c r="C543">
        <f>IF(B543="","",TEXT(B543,"MMM-YYYY"))</f>
        <v/>
      </c>
      <c r="D543" t="inlineStr">
        <is>
          <t>Plinth Phase</t>
        </is>
      </c>
      <c r="E543" t="inlineStr">
        <is>
          <t>Labour</t>
        </is>
      </c>
      <c r="F543" t="inlineStr">
        <is>
          <t>Site Labour</t>
        </is>
      </c>
      <c r="G543" t="inlineStr">
        <is>
          <t>Labour for wire handling</t>
        </is>
      </c>
      <c r="H543" t="inlineStr">
        <is>
          <t>Pappu Hardware</t>
        </is>
      </c>
      <c r="I543" t="n">
        <v>1</v>
      </c>
      <c r="J543" t="inlineStr">
        <is>
          <t>Service</t>
        </is>
      </c>
      <c r="K543" t="n">
        <v>100</v>
      </c>
      <c r="L543">
        <f>I543*K543</f>
        <v/>
      </c>
      <c r="N543">
        <f>M543*L543</f>
        <v/>
      </c>
      <c r="O543">
        <f>IF(L543="","",IF(M543="",L543,L543*(1-M543)))</f>
        <v/>
      </c>
    </row>
    <row r="544">
      <c r="A544" t="n">
        <v>541</v>
      </c>
      <c r="B544" s="128" t="n">
        <v>46208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Daily Labour-Mitti Bharai</t>
        </is>
      </c>
      <c r="G544" t="inlineStr">
        <is>
          <t>Mitti bharai additional labour</t>
        </is>
      </c>
      <c r="H544" t="inlineStr">
        <is>
          <t>Daily Labour</t>
        </is>
      </c>
      <c r="I544" t="n">
        <v>1</v>
      </c>
      <c r="J544" t="inlineStr">
        <is>
          <t>Service</t>
        </is>
      </c>
      <c r="K544" t="n">
        <v>25000</v>
      </c>
      <c r="L544">
        <f>I544*K544</f>
        <v/>
      </c>
      <c r="N544">
        <f>M544*L544</f>
        <v/>
      </c>
      <c r="O544">
        <f>IF(L544="","",IF(M544="",L544,L544*(1-M544)))</f>
        <v/>
      </c>
    </row>
    <row r="545">
      <c r="A545" t="n">
        <v>542</v>
      </c>
      <c r="B545" s="128" t="n">
        <v>46223</v>
      </c>
      <c r="C545">
        <f>IF(B545="","",TEXT(B545,"MMM-YYYY"))</f>
        <v/>
      </c>
      <c r="D545" t="inlineStr">
        <is>
          <t>Plinth Phase</t>
        </is>
      </c>
      <c r="E545" t="inlineStr">
        <is>
          <t>Labour</t>
        </is>
      </c>
      <c r="F545" t="inlineStr">
        <is>
          <t>Daily Labour-Mitti Bharai</t>
        </is>
      </c>
      <c r="G545" t="inlineStr">
        <is>
          <t>Mitti bharai additional labour</t>
        </is>
      </c>
      <c r="H545" t="inlineStr">
        <is>
          <t>Daily Labour</t>
        </is>
      </c>
      <c r="I545" t="n">
        <v>1</v>
      </c>
      <c r="J545" t="inlineStr">
        <is>
          <t>Service</t>
        </is>
      </c>
      <c r="K545" t="n">
        <v>22875</v>
      </c>
      <c r="L545">
        <f>I545*K545</f>
        <v/>
      </c>
      <c r="N545">
        <f>M545*L545</f>
        <v/>
      </c>
      <c r="O545">
        <f>IF(L545="","",IF(M545="",L545,L545*(1-M545)))</f>
        <v/>
      </c>
    </row>
    <row r="546">
      <c r="A546" t="n">
        <v>543</v>
      </c>
      <c r="B546" s="128" t="n">
        <v>46223</v>
      </c>
      <c r="C546">
        <f>IF(B546="","",TEXT(B546,"MMM-YYYY"))</f>
        <v/>
      </c>
      <c r="D546" t="inlineStr">
        <is>
          <t>Plinth Phase</t>
        </is>
      </c>
      <c r="E546" t="inlineStr">
        <is>
          <t>Transport · Food · Misc</t>
        </is>
      </c>
      <c r="F546" t="inlineStr">
        <is>
          <t>Food/Ration</t>
        </is>
      </c>
      <c r="G546" t="inlineStr">
        <is>
          <t>Food and miscellaneous provisions</t>
        </is>
      </c>
      <c r="H546" t="inlineStr">
        <is>
          <t>Local Purchase</t>
        </is>
      </c>
      <c r="I546" t="n">
        <v>1</v>
      </c>
      <c r="J546" t="inlineStr">
        <is>
          <t>Service</t>
        </is>
      </c>
      <c r="K546" t="n">
        <v>55768</v>
      </c>
      <c r="L546">
        <f>I546*K546</f>
        <v/>
      </c>
      <c r="N546">
        <f>M546*L546</f>
        <v/>
      </c>
      <c r="O546">
        <f>IF(L546="","",IF(M546="",L546,L546*(1-M546)))</f>
        <v/>
      </c>
    </row>
    <row r="547">
      <c r="A547" t="n">
        <v>541</v>
      </c>
      <c r="B547" s="128" t="n">
        <v>46225</v>
      </c>
      <c r="C547">
        <f>IF(B547="","",TEXT(B547,"MMM-YYYY"))</f>
        <v/>
      </c>
      <c r="D547" t="inlineStr">
        <is>
          <t>Plinth Phase</t>
        </is>
      </c>
      <c r="E547" t="inlineStr">
        <is>
          <t>Building Materials</t>
        </is>
      </c>
      <c r="F547" t="inlineStr">
        <is>
          <t>Bricks</t>
        </is>
      </c>
      <c r="G547" t="inlineStr">
        <is>
          <t>Brick delivery — tractor 14-20 (10,500 bricks @ ₹8.5)</t>
        </is>
      </c>
      <c r="H547" t="inlineStr">
        <is>
          <t>Brick Company</t>
        </is>
      </c>
      <c r="I547" t="n">
        <v>10500</v>
      </c>
      <c r="J547" t="inlineStr">
        <is>
          <t>pcs</t>
        </is>
      </c>
      <c r="K547" t="n">
        <v>8.5</v>
      </c>
      <c r="L547">
        <f>I547*K547</f>
        <v/>
      </c>
      <c r="N547">
        <f>M547*L547</f>
        <v/>
      </c>
      <c r="O547">
        <f>IF(L547="","",IF(M547="",L547,L547*(1-M547)))</f>
        <v/>
      </c>
    </row>
    <row r="548">
      <c r="A548" t="n">
        <v>542</v>
      </c>
      <c r="B548" s="128" t="n">
        <v>46224</v>
      </c>
      <c r="C548">
        <f>IF(B548="","",TEXT(B548,"MMM-YYYY"))</f>
        <v/>
      </c>
      <c r="D548" t="inlineStr">
        <is>
          <t>Plinth Phase</t>
        </is>
      </c>
      <c r="E548" t="inlineStr">
        <is>
          <t>Building Materials</t>
        </is>
      </c>
      <c r="F548" t="inlineStr">
        <is>
          <t>Concrete/Gitti</t>
        </is>
      </c>
      <c r="G548" t="inlineStr">
        <is>
          <t>Gitti/Concrete 41.48 MT @ ₹2,300/MT</t>
        </is>
      </c>
      <c r="H548" t="inlineStr">
        <is>
          <t>Concrete Supplier</t>
        </is>
      </c>
      <c r="I548" t="n">
        <v>41.48</v>
      </c>
      <c r="J548" t="inlineStr">
        <is>
          <t>MT</t>
        </is>
      </c>
      <c r="K548" t="n">
        <v>2300</v>
      </c>
      <c r="L548">
        <f>I548*K548</f>
        <v/>
      </c>
      <c r="N548">
        <f>M548*L548</f>
        <v/>
      </c>
      <c r="O548">
        <f>IF(L548="","",IF(M548="",L548,L548*(1-M548)))</f>
        <v/>
      </c>
    </row>
    <row r="549">
      <c r="A549" t="n">
        <v>543</v>
      </c>
      <c r="B549" s="128" t="n">
        <v>46224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gitti/concrete loading</t>
        </is>
      </c>
      <c r="H549" t="inlineStr">
        <is>
          <t>Concrete Supplier</t>
        </is>
      </c>
      <c r="I549" t="n">
        <v>1</v>
      </c>
      <c r="J549" t="inlineStr">
        <is>
          <t>Service</t>
        </is>
      </c>
      <c r="K549" t="n">
        <v>200</v>
      </c>
      <c r="L549">
        <f>I549*K549</f>
        <v/>
      </c>
      <c r="N549">
        <f>M549*L549</f>
        <v/>
      </c>
      <c r="O549">
        <f>IF(L549="","",IF(M549="",L549,L549*(1-M549)))</f>
        <v/>
      </c>
    </row>
    <row r="550">
      <c r="A550" t="n">
        <v>544</v>
      </c>
      <c r="B550" s="128" t="n">
        <v>46224</v>
      </c>
      <c r="C550">
        <f>IF(B550="","",TEXT(B550,"MMM-YYYY"))</f>
        <v/>
      </c>
      <c r="D550" t="inlineStr">
        <is>
          <t>Plinth Phase</t>
        </is>
      </c>
      <c r="E550" t="inlineStr">
        <is>
          <t>Professional Fees</t>
        </is>
      </c>
      <c r="F550" t="inlineStr">
        <is>
          <t>Engineer Supervision</t>
        </is>
      </c>
      <c r="G550" t="inlineStr">
        <is>
          <t>Engineer supervision and site coordination</t>
        </is>
      </c>
      <c r="H550" t="inlineStr">
        <is>
          <t>Econ Builder</t>
        </is>
      </c>
      <c r="I550" t="n">
        <v>1</v>
      </c>
      <c r="J550" t="inlineStr">
        <is>
          <t>Service</t>
        </is>
      </c>
      <c r="K550" t="n">
        <v>37700</v>
      </c>
      <c r="L550">
        <f>I550*K550</f>
        <v/>
      </c>
      <c r="N550">
        <f>M550*L550</f>
        <v/>
      </c>
      <c r="O550">
        <f>IF(L550="","",IF(M550="",L550,L550*(1-M550)))</f>
        <v/>
      </c>
    </row>
    <row r="551">
      <c r="A551" t="n">
        <v>545</v>
      </c>
      <c r="B551" s="128" t="n">
        <v>46225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Premium Cement 20 bags @ ₹330</t>
        </is>
      </c>
      <c r="H551" t="inlineStr">
        <is>
          <t>Pappu Hardware</t>
        </is>
      </c>
      <c r="I551" t="n">
        <v>20</v>
      </c>
      <c r="J551" t="inlineStr">
        <is>
          <t>Bag</t>
        </is>
      </c>
      <c r="K551" t="n">
        <v>330</v>
      </c>
      <c r="L551">
        <f>I551*K551</f>
        <v/>
      </c>
      <c r="N551">
        <f>M551*L551</f>
        <v/>
      </c>
      <c r="O551">
        <f>IF(L551="","",IF(M551="",L551,L551*(1-M551)))</f>
        <v/>
      </c>
    </row>
    <row r="552">
      <c r="A552" t="n">
        <v>546</v>
      </c>
      <c r="B552" s="128" t="n">
        <v>46225</v>
      </c>
      <c r="C552">
        <f>IF(B552="","",TEXT(B552,"MMM-YYYY"))</f>
        <v/>
      </c>
      <c r="D552" t="inlineStr">
        <is>
          <t>Plinth Phase</t>
        </is>
      </c>
      <c r="E552" t="inlineStr">
        <is>
          <t>Labour</t>
        </is>
      </c>
      <c r="F552" t="inlineStr">
        <is>
          <t>Site Labour</t>
        </is>
      </c>
      <c r="G552" t="inlineStr">
        <is>
          <t>Labour for cement handling/loading</t>
        </is>
      </c>
      <c r="H552" t="inlineStr">
        <is>
          <t>Pappu Hardware</t>
        </is>
      </c>
      <c r="I552" t="n">
        <v>1</v>
      </c>
      <c r="J552" t="inlineStr">
        <is>
          <t>Service</t>
        </is>
      </c>
      <c r="K552" t="n">
        <v>400</v>
      </c>
      <c r="L552">
        <f>I552*K552</f>
        <v/>
      </c>
      <c r="N552">
        <f>M552*L552</f>
        <v/>
      </c>
      <c r="O552">
        <f>IF(L552="","",IF(M552="",L552,L552*(1-M552)))</f>
        <v/>
      </c>
    </row>
    <row r="553">
      <c r="A553" t="n">
        <v>547</v>
      </c>
      <c r="B553" s="128" t="n">
        <v>46234</v>
      </c>
      <c r="C553">
        <f>IF(B553="","",TEXT(B553,"MMM-YYYY"))</f>
        <v/>
      </c>
      <c r="D553" t="inlineStr">
        <is>
          <t>Plinth Phase</t>
        </is>
      </c>
      <c r="E553" t="inlineStr">
        <is>
          <t>Professional Fees</t>
        </is>
      </c>
      <c r="F553" t="inlineStr">
        <is>
          <t>Engineer Supervision</t>
        </is>
      </c>
      <c r="G553" t="inlineStr">
        <is>
          <t>Payment to Santosh — aara mil (received)</t>
        </is>
      </c>
      <c r="H553" t="inlineStr">
        <is>
          <t>Econ Builder</t>
        </is>
      </c>
      <c r="I553" t="n">
        <v>1</v>
      </c>
      <c r="J553" t="inlineStr">
        <is>
          <t>Service</t>
        </is>
      </c>
      <c r="K553" t="n">
        <v>4000</v>
      </c>
      <c r="L553">
        <f>I553*K553</f>
        <v/>
      </c>
      <c r="N553">
        <f>M553*L553</f>
        <v/>
      </c>
      <c r="O553">
        <f>IF(L553="","",IF(M553="",L553,L553*(1-M553)))</f>
        <v/>
      </c>
    </row>
    <row r="554">
      <c r="A554" t="n">
        <v>548</v>
      </c>
      <c r="B554" s="128" t="n">
        <v>46241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Cement</t>
        </is>
      </c>
      <c r="G554" t="inlineStr">
        <is>
          <t>Ultratech Super cement 25 bags @ ₹350</t>
        </is>
      </c>
      <c r="H554" t="inlineStr">
        <is>
          <t>Pappu Hardware</t>
        </is>
      </c>
      <c r="I554" t="n">
        <v>25</v>
      </c>
      <c r="J554" t="inlineStr">
        <is>
          <t>Bag</t>
        </is>
      </c>
      <c r="K554" t="n">
        <v>350</v>
      </c>
      <c r="L554">
        <f>I554*K554</f>
        <v/>
      </c>
      <c r="N554">
        <f>M554*L554</f>
        <v/>
      </c>
      <c r="O554">
        <f>IF(L554="","",IF(M554="",L554,L554*(1-M554)))</f>
        <v/>
      </c>
    </row>
    <row r="555">
      <c r="A555" t="n">
        <v>549</v>
      </c>
      <c r="B555" s="128" t="n">
        <v>46241</v>
      </c>
      <c r="C555">
        <f>IF(B555="","",TEXT(B555,"MMM-YYYY"))</f>
        <v/>
      </c>
      <c r="D555" t="inlineStr">
        <is>
          <t>Plinth Phase</t>
        </is>
      </c>
      <c r="E555" t="inlineStr">
        <is>
          <t>Steel / Iron</t>
        </is>
      </c>
      <c r="F555" t="inlineStr">
        <is>
          <t>Tiscon 10mm</t>
        </is>
      </c>
      <c r="G555" t="inlineStr">
        <is>
          <t>10mm Tata Tiscon Rod 50 pcs @ ₹590 (4% disc)</t>
        </is>
      </c>
      <c r="H555" t="inlineStr">
        <is>
          <t>Pappu Hardware</t>
        </is>
      </c>
      <c r="I555" t="n">
        <v>50</v>
      </c>
      <c r="J555" t="inlineStr">
        <is>
          <t>pcs</t>
        </is>
      </c>
      <c r="K555" t="n">
        <v>566.4</v>
      </c>
      <c r="L555">
        <f>I555*K555</f>
        <v/>
      </c>
      <c r="N555">
        <f>M555*L555</f>
        <v/>
      </c>
      <c r="O555">
        <f>IF(L555="","",IF(M555="",L555,L555*(1-M555)))</f>
        <v/>
      </c>
    </row>
    <row r="556">
      <c r="A556" t="n">
        <v>550</v>
      </c>
      <c r="B556" s="128" t="n">
        <v>46241</v>
      </c>
      <c r="C556">
        <f>IF(B556="","",TEXT(B556,"MMM-YYYY"))</f>
        <v/>
      </c>
      <c r="D556" t="inlineStr">
        <is>
          <t>Plinth Phase</t>
        </is>
      </c>
      <c r="E556" t="inlineStr">
        <is>
          <t>Steel / Iron</t>
        </is>
      </c>
      <c r="F556" t="inlineStr">
        <is>
          <t>Tiscon 6mm</t>
        </is>
      </c>
      <c r="G556" t="inlineStr">
        <is>
          <t>6mm Tata Tiscon Rod 40 pcs @ ₹228</t>
        </is>
      </c>
      <c r="H556" t="inlineStr">
        <is>
          <t>Pappu Hardware</t>
        </is>
      </c>
      <c r="I556" t="n">
        <v>40</v>
      </c>
      <c r="J556" t="inlineStr">
        <is>
          <t>pcs</t>
        </is>
      </c>
      <c r="K556" t="n">
        <v>228</v>
      </c>
      <c r="L556">
        <f>I556*K556</f>
        <v/>
      </c>
      <c r="N556">
        <f>M556*L556</f>
        <v/>
      </c>
      <c r="O556">
        <f>IF(L556="","",IF(M556="",L556,L556*(1-M556)))</f>
        <v/>
      </c>
    </row>
    <row r="557">
      <c r="A557" t="n">
        <v>551</v>
      </c>
      <c r="B557" s="128" t="n">
        <v>46241</v>
      </c>
      <c r="C557">
        <f>IF(B557="","",TEXT(B557,"MMM-YYYY"))</f>
        <v/>
      </c>
      <c r="D557" t="inlineStr">
        <is>
          <t>Plinth Phase</t>
        </is>
      </c>
      <c r="E557" t="inlineStr">
        <is>
          <t>Steel / Iron</t>
        </is>
      </c>
      <c r="F557" t="inlineStr">
        <is>
          <t>Wire</t>
        </is>
      </c>
      <c r="G557" t="inlineStr">
        <is>
          <t>Tata soft wire 10 Kg @ ₹110</t>
        </is>
      </c>
      <c r="H557" t="inlineStr">
        <is>
          <t>Pappu Hardware</t>
        </is>
      </c>
      <c r="I557" t="n">
        <v>10</v>
      </c>
      <c r="J557" t="inlineStr">
        <is>
          <t>Kg</t>
        </is>
      </c>
      <c r="K557" t="n">
        <v>110</v>
      </c>
      <c r="L557">
        <f>I557*K557</f>
        <v/>
      </c>
      <c r="N557">
        <f>M557*L557</f>
        <v/>
      </c>
      <c r="O557">
        <f>IF(L557="","",IF(M557="",L557,L557*(1-M557)))</f>
        <v/>
      </c>
    </row>
    <row r="558">
      <c r="A558" t="n">
        <v>552</v>
      </c>
      <c r="B558" s="128" t="n">
        <v>46241</v>
      </c>
      <c r="C558">
        <f>IF(B558="","",TEXT(B558,"MMM-YYYY"))</f>
        <v/>
      </c>
      <c r="D558" t="inlineStr">
        <is>
          <t>Plinth Phase</t>
        </is>
      </c>
      <c r="E558" t="inlineStr">
        <is>
          <t>Labour</t>
        </is>
      </c>
      <c r="F558" t="inlineStr">
        <is>
          <t>Site Labour</t>
        </is>
      </c>
      <c r="G558" t="inlineStr">
        <is>
          <t>Labour for loading/handling</t>
        </is>
      </c>
      <c r="H558" t="inlineStr">
        <is>
          <t>Pappu Hardware</t>
        </is>
      </c>
      <c r="I558" t="n">
        <v>1</v>
      </c>
      <c r="J558" t="inlineStr">
        <is>
          <t>Service</t>
        </is>
      </c>
      <c r="K558" t="n">
        <v>450</v>
      </c>
      <c r="L558">
        <f>I558*K558</f>
        <v/>
      </c>
      <c r="N558">
        <f>M558*L558</f>
        <v/>
      </c>
      <c r="O558">
        <f>IF(L558="","",IF(M558="",L558,L558*(1-M558)))</f>
        <v/>
      </c>
    </row>
    <row r="559">
      <c r="A559" t="n">
        <v>553</v>
      </c>
      <c r="B559" s="128" t="n">
        <v>46243</v>
      </c>
      <c r="C559">
        <f>IF(B559="","",TEXT(B559,"MMM-YYYY"))</f>
        <v/>
      </c>
      <c r="D559" t="inlineStr">
        <is>
          <t>Plinth Phase</t>
        </is>
      </c>
      <c r="E559" t="inlineStr">
        <is>
          <t>Labour</t>
        </is>
      </c>
      <c r="F559" t="inlineStr">
        <is>
          <t>Site Labour</t>
        </is>
      </c>
      <c r="G559" t="inlineStr">
        <is>
          <t>Darbhanga labour payment</t>
        </is>
      </c>
      <c r="H559" t="inlineStr">
        <is>
          <t>Econ Builder</t>
        </is>
      </c>
      <c r="I559" t="n">
        <v>1</v>
      </c>
      <c r="J559" t="inlineStr">
        <is>
          <t>Lot</t>
        </is>
      </c>
      <c r="K559" t="n">
        <v>1200</v>
      </c>
      <c r="L559">
        <f>I559*K559</f>
        <v/>
      </c>
      <c r="N559">
        <f>M559*L559</f>
        <v/>
      </c>
      <c r="O559">
        <f>IF(L559="","",IF(M559="",L559,L559*(1-M559)))</f>
        <v/>
      </c>
    </row>
    <row r="560">
      <c r="A560" t="n">
        <v>554</v>
      </c>
      <c r="B560" s="128" t="n">
        <v>46243</v>
      </c>
      <c r="C560">
        <f>IF(B560="","",TEXT(B560,"MMM-YYYY"))</f>
        <v/>
      </c>
      <c r="D560" t="inlineStr">
        <is>
          <t>Plinth Phase</t>
        </is>
      </c>
      <c r="E560" t="inlineStr">
        <is>
          <t>Steel / Iron</t>
        </is>
      </c>
      <c r="F560" t="inlineStr">
        <is>
          <t>Fabrication</t>
        </is>
      </c>
      <c r="G560" t="inlineStr">
        <is>
          <t>Chotu lohabala</t>
        </is>
      </c>
      <c r="H560" t="inlineStr">
        <is>
          <t>Econ Builder</t>
        </is>
      </c>
      <c r="I560" t="n">
        <v>1</v>
      </c>
      <c r="J560" t="inlineStr">
        <is>
          <t>Lot</t>
        </is>
      </c>
      <c r="K560" t="n">
        <v>5000</v>
      </c>
      <c r="L560">
        <f>I560*K560</f>
        <v/>
      </c>
      <c r="N560">
        <f>M560*L560</f>
        <v/>
      </c>
      <c r="O560">
        <f>IF(L560="","",IF(M560="",L560,L560*(1-M560)))</f>
        <v/>
      </c>
    </row>
    <row r="561">
      <c r="A561" t="n">
        <v>555</v>
      </c>
      <c r="B561" s="128" t="n">
        <v>46243</v>
      </c>
      <c r="C561">
        <f>IF(B561="","",TEXT(B561,"MMM-YYYY"))</f>
        <v/>
      </c>
      <c r="D561" t="inlineStr">
        <is>
          <t>Plinth Phase</t>
        </is>
      </c>
      <c r="E561" t="inlineStr">
        <is>
          <t>Steel / Iron</t>
        </is>
      </c>
      <c r="F561" t="inlineStr">
        <is>
          <t>Fabrication</t>
        </is>
      </c>
      <c r="G561" t="inlineStr">
        <is>
          <t>Grilling</t>
        </is>
      </c>
      <c r="H561" t="inlineStr">
        <is>
          <t>Econ Builder</t>
        </is>
      </c>
      <c r="I561" t="n">
        <v>1</v>
      </c>
      <c r="J561" t="inlineStr">
        <is>
          <t>Service</t>
        </is>
      </c>
      <c r="K561" t="n">
        <v>1000</v>
      </c>
      <c r="L561">
        <f>I561*K561</f>
        <v/>
      </c>
      <c r="N561">
        <f>M561*L561</f>
        <v/>
      </c>
      <c r="O561">
        <f>IF(L561="","",IF(M561="",L561,L561*(1-M561)))</f>
        <v/>
      </c>
    </row>
    <row r="562">
      <c r="A562" t="n">
        <v>556</v>
      </c>
      <c r="B562" s="128" t="n">
        <v>46243</v>
      </c>
      <c r="C562">
        <f>IF(B562="","",TEXT(B562,"MMM-YYYY"))</f>
        <v/>
      </c>
      <c r="D562" t="inlineStr">
        <is>
          <t>Plinth Phase</t>
        </is>
      </c>
      <c r="E562" t="inlineStr">
        <is>
          <t>Building Materials</t>
        </is>
      </c>
      <c r="F562" t="inlineStr">
        <is>
          <t>Plywood/Shuttering</t>
        </is>
      </c>
      <c r="G562" t="inlineStr">
        <is>
          <t>4mm ply</t>
        </is>
      </c>
      <c r="H562" t="inlineStr">
        <is>
          <t>Econ Builder</t>
        </is>
      </c>
      <c r="I562" t="n">
        <v>1</v>
      </c>
      <c r="J562" t="inlineStr">
        <is>
          <t>Lot</t>
        </is>
      </c>
      <c r="K562" t="n">
        <v>700</v>
      </c>
      <c r="L562">
        <f>I562*K562</f>
        <v/>
      </c>
      <c r="N562">
        <f>M562*L562</f>
        <v/>
      </c>
      <c r="O562">
        <f>IF(L562="","",IF(M562="",L562,L562*(1-M562)))</f>
        <v/>
      </c>
    </row>
    <row r="563">
      <c r="A563" t="n">
        <v>557</v>
      </c>
      <c r="B563" s="128" t="n">
        <v>46243</v>
      </c>
      <c r="C563">
        <f>IF(B563="","",TEXT(B563,"MMM-YYYY"))</f>
        <v/>
      </c>
      <c r="D563" t="inlineStr">
        <is>
          <t>Plinth Phase</t>
        </is>
      </c>
      <c r="E563" t="inlineStr">
        <is>
          <t>Labour</t>
        </is>
      </c>
      <c r="F563" t="inlineStr">
        <is>
          <t>Site Labour</t>
        </is>
      </c>
      <c r="G563" t="inlineStr">
        <is>
          <t>Bayju</t>
        </is>
      </c>
      <c r="H563" t="inlineStr">
        <is>
          <t>Econ Builder</t>
        </is>
      </c>
      <c r="I563" t="n">
        <v>1</v>
      </c>
      <c r="J563" t="inlineStr">
        <is>
          <t>Lot</t>
        </is>
      </c>
      <c r="K563" t="n">
        <v>30000</v>
      </c>
      <c r="L563">
        <f>I563*K563</f>
        <v/>
      </c>
      <c r="N563">
        <f>M563*L563</f>
        <v/>
      </c>
      <c r="O563">
        <f>IF(L563="","",IF(M563="",L563,L563*(1-M563)))</f>
        <v/>
      </c>
    </row>
    <row r="564">
      <c r="A564" t="n">
        <v>558</v>
      </c>
      <c r="B564" s="128" t="n">
        <v>46256</v>
      </c>
      <c r="C564">
        <f>IF(B564="","",TEXT(B564,"MMM-YYYY"))</f>
        <v/>
      </c>
      <c r="D564" t="inlineStr">
        <is>
          <t>Plinth Phase</t>
        </is>
      </c>
      <c r="E564" t="inlineStr">
        <is>
          <t>Building Materials</t>
        </is>
      </c>
      <c r="F564" t="inlineStr">
        <is>
          <t>Bricks</t>
        </is>
      </c>
      <c r="G564" t="inlineStr">
        <is>
          <t>Brick delivery — tractor 21-27 (10,500 bricks @ ₹8.5)</t>
        </is>
      </c>
      <c r="H564" t="inlineStr">
        <is>
          <t>Brick Company</t>
        </is>
      </c>
      <c r="I564" t="n">
        <v>10500</v>
      </c>
      <c r="J564" t="inlineStr">
        <is>
          <t>pcs</t>
        </is>
      </c>
      <c r="K564" t="n">
        <v>8.5</v>
      </c>
      <c r="L564">
        <f>I564*K564</f>
        <v/>
      </c>
      <c r="N564">
        <f>M564*L564</f>
        <v/>
      </c>
      <c r="O564">
        <f>IF(L564="","",IF(M564="",L564,L564*(1-M564)))</f>
        <v/>
      </c>
    </row>
    <row r="565">
      <c r="A565" t="n">
        <v>559</v>
      </c>
      <c r="B565" s="128" t="n">
        <v>46258</v>
      </c>
      <c r="C565">
        <f>IF(B565="","",TEXT(B565,"MMM-YYYY"))</f>
        <v/>
      </c>
      <c r="D565" t="inlineStr">
        <is>
          <t>Plinth Phase</t>
        </is>
      </c>
      <c r="E565" t="inlineStr">
        <is>
          <t>Building Materials</t>
        </is>
      </c>
      <c r="F565" t="inlineStr">
        <is>
          <t>Cement</t>
        </is>
      </c>
      <c r="G565" t="inlineStr">
        <is>
          <t>Ultratech Super cement 30 bags @ ₹340</t>
        </is>
      </c>
      <c r="H565" t="inlineStr">
        <is>
          <t>Pappu Hardware</t>
        </is>
      </c>
      <c r="I565" t="n">
        <v>30</v>
      </c>
      <c r="J565" t="inlineStr">
        <is>
          <t>Bag</t>
        </is>
      </c>
      <c r="K565" t="n">
        <v>340</v>
      </c>
      <c r="L565">
        <f>I565*K565</f>
        <v/>
      </c>
      <c r="N565">
        <f>M565*L565</f>
        <v/>
      </c>
      <c r="O565">
        <f>IF(L565="","",IF(M565="",L565,L565*(1-M565)))</f>
        <v/>
      </c>
    </row>
    <row r="566">
      <c r="A566" t="n">
        <v>560</v>
      </c>
      <c r="B566" s="128" t="n">
        <v>46258</v>
      </c>
      <c r="C566">
        <f>IF(B566="","",TEXT(B566,"MMM-YYYY"))</f>
        <v/>
      </c>
      <c r="D566" t="inlineStr">
        <is>
          <t>Plinth Phase</t>
        </is>
      </c>
      <c r="E566" t="inlineStr">
        <is>
          <t>Building Materials</t>
        </is>
      </c>
      <c r="F566" t="inlineStr">
        <is>
          <t>Cement</t>
        </is>
      </c>
      <c r="G566" t="inlineStr">
        <is>
          <t>Ultratech Plain cement 20 bags @ ₹320</t>
        </is>
      </c>
      <c r="H566" t="inlineStr">
        <is>
          <t>Pappu Hardware</t>
        </is>
      </c>
      <c r="I566" t="n">
        <v>20</v>
      </c>
      <c r="J566" t="inlineStr">
        <is>
          <t>Bag</t>
        </is>
      </c>
      <c r="K566" t="n">
        <v>320</v>
      </c>
      <c r="L566">
        <f>I566*K566</f>
        <v/>
      </c>
      <c r="N566">
        <f>M566*L566</f>
        <v/>
      </c>
      <c r="O566">
        <f>IF(L566="","",IF(M566="",L566,L566*(1-M566)))</f>
        <v/>
      </c>
    </row>
    <row r="567">
      <c r="A567" t="n">
        <v>561</v>
      </c>
      <c r="B567" s="128" t="n">
        <v>46258</v>
      </c>
      <c r="C567">
        <f>IF(B567="","",TEXT(B567,"MMM-YYYY"))</f>
        <v/>
      </c>
      <c r="D567" t="inlineStr">
        <is>
          <t>Plinth Phase</t>
        </is>
      </c>
      <c r="E567" t="inlineStr">
        <is>
          <t>Labour</t>
        </is>
      </c>
      <c r="F567" t="inlineStr">
        <is>
          <t>Site Labour</t>
        </is>
      </c>
      <c r="G567" t="inlineStr">
        <is>
          <t>Labour</t>
        </is>
      </c>
      <c r="H567" t="inlineStr">
        <is>
          <t>Pappu Hardware</t>
        </is>
      </c>
      <c r="I567" t="n">
        <v>1</v>
      </c>
      <c r="J567" t="inlineStr">
        <is>
          <t>Service</t>
        </is>
      </c>
      <c r="K567" t="n">
        <v>500</v>
      </c>
      <c r="L567">
        <f>I567*K567</f>
        <v/>
      </c>
      <c r="N567">
        <f>M567*L567</f>
        <v/>
      </c>
      <c r="O567">
        <f>IF(L567="","",IF(M567="",L567,L567*(1-M567)))</f>
        <v/>
      </c>
    </row>
    <row r="568">
      <c r="A568" t="n">
        <v>562</v>
      </c>
      <c r="B568" s="128" t="n">
        <v>46257</v>
      </c>
      <c r="C568">
        <f>IF(B568="","",TEXT(B568,"MMM-YYYY"))</f>
        <v/>
      </c>
      <c r="D568" t="inlineStr">
        <is>
          <t>Plinth Phase</t>
        </is>
      </c>
      <c r="E568" t="inlineStr">
        <is>
          <t>Building Materials</t>
        </is>
      </c>
      <c r="F568" t="inlineStr">
        <is>
          <t>Bricks</t>
        </is>
      </c>
      <c r="G568" t="inlineStr">
        <is>
          <t>Brick delivery — tractor 28-29 (3,000 bricks @ ₹8.5)</t>
        </is>
      </c>
      <c r="H568" t="inlineStr">
        <is>
          <t>Brick Company</t>
        </is>
      </c>
      <c r="I568" t="n">
        <v>3000</v>
      </c>
      <c r="J568" t="inlineStr">
        <is>
          <t>pcs</t>
        </is>
      </c>
      <c r="K568" t="n">
        <v>8.5</v>
      </c>
      <c r="L568">
        <f>I568*K568</f>
        <v/>
      </c>
      <c r="N568">
        <f>M568*L568</f>
        <v/>
      </c>
      <c r="O568">
        <f>IF(L568="","",IF(M568="",L568,L568*(1-M568)))</f>
        <v/>
      </c>
    </row>
    <row r="569">
      <c r="A569" s="60" t="inlineStr">
        <is>
          <t>TOTALS</t>
        </is>
      </c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1">
        <f>SUM(L5:L568)</f>
        <v/>
      </c>
      <c r="M569" s="60" t="n"/>
      <c r="N569" s="60" t="n"/>
      <c r="O569" s="61">
        <f>SUM(O5:O528)</f>
        <v/>
      </c>
      <c r="P569" s="60" t="n"/>
      <c r="Q569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50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3" t="n">
        <v>2</v>
      </c>
      <c r="B6" s="53" t="n">
        <v>46149</v>
      </c>
      <c r="C6" s="55" t="inlineStr">
        <is>
          <t>Papa</t>
        </is>
      </c>
      <c r="D6" s="55" t="inlineStr">
        <is>
          <t>Econ Builder</t>
        </is>
      </c>
      <c r="E6" s="55" t="n"/>
      <c r="F6" s="55" t="inlineStr">
        <is>
          <t>Advance to engineer</t>
        </is>
      </c>
      <c r="G6" s="94" t="n">
        <v>5000</v>
      </c>
      <c r="H6" s="55" t="inlineStr">
        <is>
          <t>GPay</t>
        </is>
      </c>
      <c r="I6" s="55" t="n"/>
      <c r="J6" s="55" t="n"/>
      <c r="K6" s="55" t="inlineStr">
        <is>
          <t>Y</t>
        </is>
      </c>
      <c r="L6" s="95">
        <f>IF(G6="","",IF(L5="",G6,L5+G6))</f>
        <v/>
      </c>
      <c r="M6" s="55" t="n"/>
    </row>
    <row r="7" ht="15.75" customHeight="1" s="99">
      <c r="A7" s="41" t="n">
        <v>3</v>
      </c>
      <c r="B7" s="45" t="n">
        <v>46149</v>
      </c>
      <c r="C7" s="47" t="inlineStr">
        <is>
          <t>Self-GPay</t>
        </is>
      </c>
      <c r="D7" s="47" t="inlineStr">
        <is>
          <t>Sonbhai-Coordinator</t>
        </is>
      </c>
      <c r="E7" s="47" t="n"/>
      <c r="F7" s="47" t="inlineStr">
        <is>
          <t>Site cleaning</t>
        </is>
      </c>
      <c r="G7" s="92" t="n">
        <v>1500</v>
      </c>
      <c r="H7" s="47" t="inlineStr">
        <is>
          <t>GPay</t>
        </is>
      </c>
      <c r="I7" s="47" t="n"/>
      <c r="J7" s="47" t="n"/>
      <c r="K7" s="47" t="inlineStr">
        <is>
          <t>Y</t>
        </is>
      </c>
      <c r="L7" s="93">
        <f>IF(G7="","",IF(L6="",G7,L6+G7))</f>
        <v/>
      </c>
      <c r="M7" s="47" t="n"/>
    </row>
    <row r="8" ht="15.75" customHeight="1" s="99">
      <c r="A8" s="43" t="n">
        <v>4</v>
      </c>
      <c r="B8" s="53" t="n">
        <v>46153</v>
      </c>
      <c r="C8" s="55" t="inlineStr">
        <is>
          <t>Self-GPay</t>
        </is>
      </c>
      <c r="D8" s="55" t="inlineStr">
        <is>
          <t>Pappu Hardware</t>
        </is>
      </c>
      <c r="E8" s="55" t="n"/>
      <c r="F8" s="55" t="inlineStr">
        <is>
          <t>Bill 63 — part 1</t>
        </is>
      </c>
      <c r="G8" s="94" t="n">
        <v>90000</v>
      </c>
      <c r="H8" s="55" t="inlineStr">
        <is>
          <t>GPay</t>
        </is>
      </c>
      <c r="I8" s="55" t="n"/>
      <c r="J8" s="55" t="n"/>
      <c r="K8" s="55" t="inlineStr">
        <is>
          <t>Y</t>
        </is>
      </c>
      <c r="L8" s="95">
        <f>IF(G8="","",IF(L7="",G8,L7+G8))</f>
        <v/>
      </c>
      <c r="M8" s="55" t="n"/>
    </row>
    <row r="9" ht="15.75" customHeight="1" s="99">
      <c r="A9" s="41" t="n">
        <v>5</v>
      </c>
      <c r="B9" s="45" t="n">
        <v>46154</v>
      </c>
      <c r="C9" s="47" t="inlineStr">
        <is>
          <t>Papa</t>
        </is>
      </c>
      <c r="D9" s="47" t="inlineStr">
        <is>
          <t>Mukesh Yadav</t>
        </is>
      </c>
      <c r="E9" s="47" t="n"/>
      <c r="F9" s="47" t="inlineStr">
        <is>
          <t>JCB advance</t>
        </is>
      </c>
      <c r="G9" s="92" t="n">
        <v>5000</v>
      </c>
      <c r="H9" s="47" t="inlineStr">
        <is>
          <t>GPay</t>
        </is>
      </c>
      <c r="I9" s="47" t="n"/>
      <c r="J9" s="47" t="n"/>
      <c r="K9" s="47" t="inlineStr">
        <is>
          <t>Y</t>
        </is>
      </c>
      <c r="L9" s="93">
        <f>IF(G9="","",IF(L8="",G9,L8+G9))</f>
        <v/>
      </c>
      <c r="M9" s="47" t="n"/>
    </row>
    <row r="10" ht="15.75" customHeight="1" s="99">
      <c r="A10" s="43" t="n">
        <v>6</v>
      </c>
      <c r="B10" s="53" t="n">
        <v>46154</v>
      </c>
      <c r="C10" s="55" t="inlineStr">
        <is>
          <t>Papa</t>
        </is>
      </c>
      <c r="D10" s="55" t="inlineStr">
        <is>
          <t>Sand Truck Wala</t>
        </is>
      </c>
      <c r="E10" s="55" t="n"/>
      <c r="F10" s="55" t="inlineStr">
        <is>
          <t>Sand Truck 2 (918 CFT)</t>
        </is>
      </c>
      <c r="G10" s="94" t="n">
        <v>55000</v>
      </c>
      <c r="H10" s="55" t="inlineStr">
        <is>
          <t>GPay</t>
        </is>
      </c>
      <c r="I10" s="55" t="n"/>
      <c r="J10" s="55" t="n"/>
      <c r="K10" s="55" t="inlineStr">
        <is>
          <t>Y</t>
        </is>
      </c>
      <c r="L10" s="95">
        <f>IF(G10="","",IF(L9="",G10,L9+G10))</f>
        <v/>
      </c>
      <c r="M10" s="55" t="n"/>
    </row>
    <row r="11" ht="15.75" customHeight="1" s="99">
      <c r="A11" s="41" t="n">
        <v>7</v>
      </c>
      <c r="B11" s="45" t="n">
        <v>46155</v>
      </c>
      <c r="C11" s="47" t="inlineStr">
        <is>
          <t>Self-GPay</t>
        </is>
      </c>
      <c r="D11" s="47" t="inlineStr">
        <is>
          <t>Pappu Hardware</t>
        </is>
      </c>
      <c r="E11" s="47" t="n"/>
      <c r="F11" s="47" t="inlineStr">
        <is>
          <t>Bill 63 — part 2 final</t>
        </is>
      </c>
      <c r="G11" s="92" t="n">
        <v>93000</v>
      </c>
      <c r="H11" s="47" t="inlineStr">
        <is>
          <t>GPay</t>
        </is>
      </c>
      <c r="I11" s="47" t="n"/>
      <c r="J11" s="47" t="n"/>
      <c r="K11" s="47" t="inlineStr">
        <is>
          <t>Y</t>
        </is>
      </c>
      <c r="L11" s="93">
        <f>IF(G11="","",IF(L10="",G11,L10+G11))</f>
        <v/>
      </c>
      <c r="M11" s="47" t="n"/>
    </row>
    <row r="12" ht="15.75" customHeight="1" s="99">
      <c r="A12" s="43" t="n">
        <v>8</v>
      </c>
      <c r="B12" s="53" t="n">
        <v>46156</v>
      </c>
      <c r="C12" s="55" t="inlineStr">
        <is>
          <t>Self-GPay</t>
        </is>
      </c>
      <c r="D12" s="55" t="inlineStr">
        <is>
          <t>Brick Company</t>
        </is>
      </c>
      <c r="E12" s="55" t="n"/>
      <c r="F12" s="55" t="inlineStr">
        <is>
          <t>Brick advance — Avinash share</t>
        </is>
      </c>
      <c r="G12" s="94" t="n">
        <v>200000</v>
      </c>
      <c r="H12" s="55" t="inlineStr">
        <is>
          <t>GPay</t>
        </is>
      </c>
      <c r="I12" s="55" t="n"/>
      <c r="J12" s="55" t="n"/>
      <c r="K12" s="55" t="inlineStr">
        <is>
          <t>Y</t>
        </is>
      </c>
      <c r="L12" s="95">
        <f>IF(G12="","",IF(L11="",G12,L11+G12))</f>
        <v/>
      </c>
      <c r="M12" s="55" t="n"/>
    </row>
    <row r="13" ht="15.75" customHeight="1" s="99">
      <c r="A13" s="41" t="n">
        <v>9</v>
      </c>
      <c r="B13" s="45" t="n">
        <v>46156</v>
      </c>
      <c r="C13" s="47" t="inlineStr">
        <is>
          <t>Chota Bhai</t>
        </is>
      </c>
      <c r="D13" s="47" t="inlineStr">
        <is>
          <t>Brick Company</t>
        </is>
      </c>
      <c r="E13" s="47" t="n"/>
      <c r="F13" s="47" t="inlineStr">
        <is>
          <t>Brick advance — Chota Bhai share</t>
        </is>
      </c>
      <c r="G13" s="92" t="n">
        <v>169000</v>
      </c>
      <c r="H13" s="47" t="inlineStr">
        <is>
          <t>GPay</t>
        </is>
      </c>
      <c r="I13" s="47" t="n"/>
      <c r="J13" s="47" t="n"/>
      <c r="K13" s="47" t="inlineStr">
        <is>
          <t>Y</t>
        </is>
      </c>
      <c r="L13" s="93">
        <f>IF(G13="","",IF(L12="",G13,L12+G13))</f>
        <v/>
      </c>
      <c r="M13" s="47" t="n"/>
    </row>
    <row r="14" ht="15.75" customHeight="1" s="99">
      <c r="A14" s="43" t="n">
        <v>10</v>
      </c>
      <c r="B14" s="53" t="n">
        <v>46157</v>
      </c>
      <c r="C14" s="55" t="inlineStr">
        <is>
          <t>Papa</t>
        </is>
      </c>
      <c r="D14" s="55" t="inlineStr">
        <is>
          <t>Concrete Supplier</t>
        </is>
      </c>
      <c r="E14" s="55" t="n"/>
      <c r="F14" s="55" t="inlineStr">
        <is>
          <t>Gitti 27.5T @ ₹2,400</t>
        </is>
      </c>
      <c r="G14" s="94" t="n">
        <v>66000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11</v>
      </c>
      <c r="B15" s="45" t="n">
        <v>46157</v>
      </c>
      <c r="C15" s="47" t="inlineStr">
        <is>
          <t>Papa</t>
        </is>
      </c>
      <c r="D15" s="47" t="inlineStr">
        <is>
          <t>Econ Builder</t>
        </is>
      </c>
      <c r="E15" s="47" t="n"/>
      <c r="F15" s="47" t="inlineStr">
        <is>
          <t>Layout / Naksha</t>
        </is>
      </c>
      <c r="G15" s="92" t="n">
        <v>11000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12</v>
      </c>
      <c r="B16" s="53" t="n">
        <v>46158</v>
      </c>
      <c r="C16" s="55" t="inlineStr">
        <is>
          <t>Self-GPay</t>
        </is>
      </c>
      <c r="D16" s="55" t="inlineStr">
        <is>
          <t>Econ Builder</t>
        </is>
      </c>
      <c r="E16" s="55" t="n"/>
      <c r="F16" s="55" t="inlineStr">
        <is>
          <t>Supervision advance</t>
        </is>
      </c>
      <c r="G16" s="94" t="n">
        <v>50000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13</v>
      </c>
      <c r="B17" s="45" t="n">
        <v>46158</v>
      </c>
      <c r="C17" s="47" t="inlineStr">
        <is>
          <t>Papa</t>
        </is>
      </c>
      <c r="D17" s="47" t="inlineStr">
        <is>
          <t>Local Purchase</t>
        </is>
      </c>
      <c r="E17" s="47" t="n"/>
      <c r="F17" s="47" t="inlineStr">
        <is>
          <t>Panni + tools + food</t>
        </is>
      </c>
      <c r="G17" s="92" t="n">
        <v>5060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14</v>
      </c>
      <c r="B18" s="53" t="n">
        <v>46161</v>
      </c>
      <c r="C18" s="55" t="inlineStr">
        <is>
          <t>Self-GPay</t>
        </is>
      </c>
      <c r="D18" s="55" t="inlineStr">
        <is>
          <t>Pappu Hardware</t>
        </is>
      </c>
      <c r="E18" s="55" t="n"/>
      <c r="F18" s="55" t="inlineStr">
        <is>
          <t>Soft wire + cover blocks</t>
        </is>
      </c>
      <c r="G18" s="94" t="n">
        <v>3500</v>
      </c>
      <c r="H18" s="55" t="inlineStr">
        <is>
          <t>GPay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15</v>
      </c>
      <c r="B19" s="45" t="n">
        <v>46163</v>
      </c>
      <c r="C19" s="47" t="inlineStr">
        <is>
          <t>Self-GPay</t>
        </is>
      </c>
      <c r="D19" s="47" t="inlineStr">
        <is>
          <t>Pappu Hardware</t>
        </is>
      </c>
      <c r="E19" s="47" t="n"/>
      <c r="F19" s="47" t="inlineStr">
        <is>
          <t>Cement 60B + metal sheet</t>
        </is>
      </c>
      <c r="G19" s="92" t="n">
        <v>24800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16</v>
      </c>
      <c r="B20" s="53" t="n">
        <v>46164</v>
      </c>
      <c r="C20" s="55" t="inlineStr">
        <is>
          <t>Self-Bank Transfer</t>
        </is>
      </c>
      <c r="D20" s="55" t="inlineStr">
        <is>
          <t>Econ Builder</t>
        </is>
      </c>
      <c r="E20" s="55" t="n"/>
      <c r="F20" s="55" t="inlineStr">
        <is>
          <t>Engineer advance — net banking</t>
        </is>
      </c>
      <c r="G20" s="94" t="n">
        <v>50000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1" t="n">
        <v>17</v>
      </c>
      <c r="B21" s="45" t="n">
        <v>46165</v>
      </c>
      <c r="C21" s="47" t="inlineStr">
        <is>
          <t>Self-GPay</t>
        </is>
      </c>
      <c r="D21" s="47" t="inlineStr">
        <is>
          <t>Concrete Supplier</t>
        </is>
      </c>
      <c r="E21" s="47" t="n"/>
      <c r="F21" s="47" t="inlineStr">
        <is>
          <t>Gitti 37.64T @ ₹2,550</t>
        </is>
      </c>
      <c r="G21" s="92" t="n">
        <v>95982</v>
      </c>
      <c r="H21" s="47" t="inlineStr">
        <is>
          <t>GPay</t>
        </is>
      </c>
      <c r="I21" s="47" t="n"/>
      <c r="J21" s="47" t="n"/>
      <c r="K21" s="47" t="inlineStr">
        <is>
          <t>Y</t>
        </is>
      </c>
      <c r="L21" s="93">
        <f>IF(G21="","",IF(L20="",G21,L20+G21))</f>
        <v/>
      </c>
      <c r="M21" s="47" t="n"/>
    </row>
    <row r="22" ht="15.75" customHeight="1" s="99">
      <c r="A22" s="43" t="n">
        <v>18</v>
      </c>
      <c r="B22" s="53" t="n">
        <v>46167</v>
      </c>
      <c r="C22" s="55" t="inlineStr">
        <is>
          <t>Self-Bank Transfer</t>
        </is>
      </c>
      <c r="D22" s="55" t="inlineStr">
        <is>
          <t>Naveen Hardware</t>
        </is>
      </c>
      <c r="E22" s="55" t="n"/>
      <c r="F22" s="55" t="inlineStr">
        <is>
          <t>Cement 50B + transport + labour</t>
        </is>
      </c>
      <c r="G22" s="94" t="n">
        <v>18650</v>
      </c>
      <c r="H22" s="55" t="inlineStr">
        <is>
          <t>Bank</t>
        </is>
      </c>
      <c r="I22" s="55" t="n"/>
      <c r="J22" s="55" t="n"/>
      <c r="K22" s="55" t="inlineStr">
        <is>
          <t>Y</t>
        </is>
      </c>
      <c r="L22" s="95">
        <f>IF(G22="","",IF(L21="",G22,L21+G22))</f>
        <v/>
      </c>
      <c r="M22" s="55" t="n"/>
    </row>
    <row r="23" ht="15.75" customHeight="1" s="99">
      <c r="A23" s="41" t="n">
        <v>19</v>
      </c>
      <c r="B23" s="45" t="n">
        <v>46167</v>
      </c>
      <c r="C23" s="47" t="inlineStr">
        <is>
          <t>Papa</t>
        </is>
      </c>
      <c r="D23" s="47" t="inlineStr">
        <is>
          <t>Econ Builder</t>
        </is>
      </c>
      <c r="E23" s="47" t="n"/>
      <c r="F23" s="47" t="inlineStr">
        <is>
          <t>Engineer payment</t>
        </is>
      </c>
      <c r="G23" s="92" t="n">
        <v>10000</v>
      </c>
      <c r="H23" s="47" t="inlineStr">
        <is>
          <t>GPay</t>
        </is>
      </c>
      <c r="I23" s="47" t="n"/>
      <c r="J23" s="47" t="n"/>
      <c r="K23" s="47" t="inlineStr">
        <is>
          <t>Y</t>
        </is>
      </c>
      <c r="L23" s="93">
        <f>IF(G23="","",IF(L22="",G23,L22+G23))</f>
        <v/>
      </c>
      <c r="M23" s="47" t="n"/>
    </row>
    <row r="24" ht="15.75" customHeight="1" s="99">
      <c r="A24" s="43" t="n">
        <v>20</v>
      </c>
      <c r="B24" s="53" t="n">
        <v>46174</v>
      </c>
      <c r="C24" s="55" t="inlineStr">
        <is>
          <t>Self-Bank Transfer</t>
        </is>
      </c>
      <c r="D24" s="55" t="inlineStr">
        <is>
          <t>Pappu Hardware</t>
        </is>
      </c>
      <c r="E24" s="55" t="n"/>
      <c r="F24" s="55" t="inlineStr">
        <is>
          <t>Bill 2: steel + cement + DrFixit</t>
        </is>
      </c>
      <c r="G24" s="94" t="n">
        <v>202830</v>
      </c>
      <c r="H24" s="55" t="inlineStr">
        <is>
          <t>Bank</t>
        </is>
      </c>
      <c r="I24" s="55" t="n"/>
      <c r="J24" s="55" t="n"/>
      <c r="K24" s="55" t="inlineStr">
        <is>
          <t>Y</t>
        </is>
      </c>
      <c r="L24" s="95">
        <f>IF(G24="","",IF(L23="",G24,L23+G24))</f>
        <v/>
      </c>
      <c r="M24" s="55" t="n"/>
    </row>
    <row r="25" ht="15.75" customHeight="1" s="99">
      <c r="A25" s="41" t="n">
        <v>21</v>
      </c>
      <c r="B25" s="45" t="n">
        <v>46174</v>
      </c>
      <c r="C25" s="47" t="inlineStr">
        <is>
          <t>Papa</t>
        </is>
      </c>
      <c r="D25" s="47" t="inlineStr">
        <is>
          <t>Daily Labour</t>
        </is>
      </c>
      <c r="E25" s="47" t="n"/>
      <c r="F25" s="47" t="inlineStr">
        <is>
          <t>Earth filling 66 labourers @ ₹350</t>
        </is>
      </c>
      <c r="G25" s="92" t="n">
        <v>23100</v>
      </c>
      <c r="H25" s="47" t="inlineStr">
        <is>
          <t>GPay</t>
        </is>
      </c>
      <c r="I25" s="47" t="n"/>
      <c r="J25" s="47" t="n"/>
      <c r="K25" s="47" t="inlineStr">
        <is>
          <t>Y</t>
        </is>
      </c>
      <c r="L25" s="93">
        <f>IF(G25="","",IF(L24="",G25,L24+G25))</f>
        <v/>
      </c>
      <c r="M25" s="47" t="n"/>
    </row>
    <row r="26" ht="15.75" customHeight="1" s="99">
      <c r="A26" s="43" t="n">
        <v>22</v>
      </c>
      <c r="B26" s="53" t="n">
        <v>46174</v>
      </c>
      <c r="C26" s="55" t="inlineStr">
        <is>
          <t>Self-GPay</t>
        </is>
      </c>
      <c r="D26" s="55" t="inlineStr">
        <is>
          <t>Econ Builder</t>
        </is>
      </c>
      <c r="E26" s="55" t="n"/>
      <c r="F26" s="55" t="inlineStr">
        <is>
          <t>Engineer payment ₹1L</t>
        </is>
      </c>
      <c r="G26" s="94" t="n">
        <v>100000</v>
      </c>
      <c r="H26" s="55" t="inlineStr">
        <is>
          <t>GPay</t>
        </is>
      </c>
      <c r="I26" s="55" t="n"/>
      <c r="J26" s="55" t="n"/>
      <c r="K26" s="55" t="inlineStr">
        <is>
          <t>Y</t>
        </is>
      </c>
      <c r="L26" s="95">
        <f>IF(G26="","",IF(L25="",G26,L25+G26))</f>
        <v/>
      </c>
      <c r="M26" s="55" t="n"/>
    </row>
    <row r="27" ht="15.75" customHeight="1" s="99">
      <c r="A27" s="41" t="n">
        <v>23</v>
      </c>
      <c r="B27" s="45" t="n">
        <v>46179</v>
      </c>
      <c r="C27" s="47" t="inlineStr">
        <is>
          <t>Self-Bank Transfer</t>
        </is>
      </c>
      <c r="D27" s="47" t="inlineStr">
        <is>
          <t>Pappu Hardware</t>
        </is>
      </c>
      <c r="E27" s="47" t="n"/>
      <c r="F27" s="47" t="inlineStr">
        <is>
          <t>Bill 3: cement 50B + 6mm 70 pcs + transport</t>
        </is>
      </c>
      <c r="G27" s="92" t="n">
        <v>35700</v>
      </c>
      <c r="H27" s="47" t="inlineStr">
        <is>
          <t>Bank</t>
        </is>
      </c>
      <c r="I27" s="47" t="n"/>
      <c r="J27" s="47" t="n"/>
      <c r="K27" s="47" t="inlineStr">
        <is>
          <t>Y</t>
        </is>
      </c>
      <c r="L27" s="93">
        <f>IF(G27="","",IF(L26="",G27,L26+G27))</f>
        <v/>
      </c>
      <c r="M27" s="47" t="n"/>
    </row>
    <row r="28" ht="15.75" customHeight="1" s="99">
      <c r="A28" s="43" t="n">
        <v>24</v>
      </c>
      <c r="B28" s="53" t="n">
        <v>46182</v>
      </c>
      <c r="C28" s="55" t="inlineStr">
        <is>
          <t>Papa</t>
        </is>
      </c>
      <c r="D28" s="55" t="inlineStr">
        <is>
          <t>Daily Labour</t>
        </is>
      </c>
      <c r="E28" s="55" t="n"/>
      <c r="F28" s="55" t="inlineStr">
        <is>
          <t>Mitti bharai 28.5 labourers @ ₹350</t>
        </is>
      </c>
      <c r="G28" s="94" t="n">
        <v>9975</v>
      </c>
      <c r="H28" s="55" t="inlineStr">
        <is>
          <t>GPay</t>
        </is>
      </c>
      <c r="I28" s="55" t="n"/>
      <c r="J28" s="55" t="n"/>
      <c r="K28" s="55" t="inlineStr">
        <is>
          <t>Y</t>
        </is>
      </c>
      <c r="L28" s="95">
        <f>IF(G28="","",IF(L27="",G28,L27+G28))</f>
        <v/>
      </c>
      <c r="M28" s="55" t="n"/>
    </row>
    <row r="29" ht="15.75" customHeight="1" s="99">
      <c r="A29" s="41" t="n">
        <v>25</v>
      </c>
      <c r="B29" s="45" t="n">
        <v>46183</v>
      </c>
      <c r="C29" s="47" t="inlineStr">
        <is>
          <t>Self-Bank Transfer</t>
        </is>
      </c>
      <c r="D29" s="47" t="inlineStr">
        <is>
          <t>Mukesh Yadav</t>
        </is>
      </c>
      <c r="E29" s="47" t="n"/>
      <c r="F29" s="47" t="inlineStr">
        <is>
          <t>Final settlement — JCB + Mitti + Sand + Gitti movement</t>
        </is>
      </c>
      <c r="G29" s="92" t="n">
        <v>58200</v>
      </c>
      <c r="H29" s="47" t="inlineStr">
        <is>
          <t>Bank</t>
        </is>
      </c>
      <c r="I29" s="47" t="n"/>
      <c r="J29" s="47" t="n"/>
      <c r="K29" s="47" t="inlineStr">
        <is>
          <t>Y</t>
        </is>
      </c>
      <c r="L29" s="93">
        <f>IF(G29="","",IF(L28="",G29,L28+G29))</f>
        <v/>
      </c>
      <c r="M29" s="47" t="n"/>
    </row>
    <row r="30" ht="15.75" customHeight="1" s="99">
      <c r="A30" s="43" t="n">
        <v>26</v>
      </c>
      <c r="B30" s="53" t="n">
        <v>46194</v>
      </c>
      <c r="C30" s="55" t="inlineStr">
        <is>
          <t>Self-GPay</t>
        </is>
      </c>
      <c r="D30" s="55" t="inlineStr">
        <is>
          <t>Pappu Hardware</t>
        </is>
      </c>
      <c r="E30" s="55" t="inlineStr">
        <is>
          <t>Building Materials</t>
        </is>
      </c>
      <c r="F30" s="55" t="inlineStr">
        <is>
          <t>Cement 50B + transport + labour</t>
        </is>
      </c>
      <c r="G30" s="63" t="n">
        <v>18500</v>
      </c>
      <c r="H30" s="55" t="inlineStr">
        <is>
          <t>GPay</t>
        </is>
      </c>
      <c r="I30" s="55" t="n"/>
      <c r="J30" s="55" t="n"/>
      <c r="K30" s="55" t="inlineStr">
        <is>
          <t>Y</t>
        </is>
      </c>
      <c r="L30" s="58">
        <f>L29+G30</f>
        <v/>
      </c>
      <c r="M30" s="55" t="n"/>
    </row>
    <row r="31" ht="15.75" customHeight="1" s="99">
      <c r="A31" s="41" t="n">
        <v>27</v>
      </c>
      <c r="B31" s="45" t="n">
        <v>46194</v>
      </c>
      <c r="C31" s="47" t="inlineStr">
        <is>
          <t>Self-GPay</t>
        </is>
      </c>
      <c r="D31" s="47" t="inlineStr">
        <is>
          <t>Pappu Hardware</t>
        </is>
      </c>
      <c r="E31" s="47" t="inlineStr">
        <is>
          <t>Building Materials</t>
        </is>
      </c>
      <c r="F31" s="47" t="inlineStr">
        <is>
          <t>Soft wire 10 Kg — Bill 4 settlement</t>
        </is>
      </c>
      <c r="G31" s="62" t="n">
        <v>1300</v>
      </c>
      <c r="H31" s="47" t="inlineStr">
        <is>
          <t>GPay</t>
        </is>
      </c>
      <c r="I31" s="47" t="n"/>
      <c r="J31" s="47" t="n"/>
      <c r="K31" s="47" t="inlineStr">
        <is>
          <t>Y</t>
        </is>
      </c>
      <c r="L31" s="50">
        <f>L30+G31</f>
        <v/>
      </c>
      <c r="M31" s="47" t="n"/>
    </row>
    <row r="32" ht="15.75" customHeight="1" s="99">
      <c r="A32" s="43" t="n">
        <v>28</v>
      </c>
      <c r="B32" s="53" t="n">
        <v>46195</v>
      </c>
      <c r="C32" s="55" t="inlineStr">
        <is>
          <t>Papa</t>
        </is>
      </c>
      <c r="D32" s="55" t="inlineStr">
        <is>
          <t>Daily Labour</t>
        </is>
      </c>
      <c r="E32" s="55" t="inlineStr">
        <is>
          <t>Labour</t>
        </is>
      </c>
      <c r="F32" s="55" t="inlineStr">
        <is>
          <t>Mitti bharai labour payment</t>
        </is>
      </c>
      <c r="G32" s="63" t="n">
        <v>2000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L31+G32</f>
        <v/>
      </c>
      <c r="M32" s="55" t="n"/>
    </row>
    <row r="33" ht="15.75" customHeight="1" s="99">
      <c r="A33" s="41" t="n">
        <v>29</v>
      </c>
      <c r="B33" s="45" t="n">
        <v>46196</v>
      </c>
      <c r="C33" s="47" t="inlineStr">
        <is>
          <t>Papa</t>
        </is>
      </c>
      <c r="D33" s="47" t="inlineStr">
        <is>
          <t>Daily Labour</t>
        </is>
      </c>
      <c r="E33" s="47" t="inlineStr">
        <is>
          <t>Labour</t>
        </is>
      </c>
      <c r="F33" s="47" t="inlineStr">
        <is>
          <t>Full labour settlement — mitti bharai + kitchen</t>
        </is>
      </c>
      <c r="G33" s="62" t="n">
        <v>16300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L32+G33</f>
        <v/>
      </c>
      <c r="M33" s="47" t="n"/>
    </row>
    <row r="34" ht="15.75" customHeight="1" s="99">
      <c r="A34" s="43" t="n">
        <v>30</v>
      </c>
      <c r="B34" s="53" t="n">
        <v>46208</v>
      </c>
      <c r="C34" s="55" t="inlineStr">
        <is>
          <t>Self</t>
        </is>
      </c>
      <c r="D34" s="55" t="inlineStr">
        <is>
          <t>Mukesh Yadav</t>
        </is>
      </c>
      <c r="E34" s="55" t="inlineStr">
        <is>
          <t>Land Development</t>
        </is>
      </c>
      <c r="F34" s="55" t="inlineStr">
        <is>
          <t>Mitti + JCB balance payment</t>
        </is>
      </c>
      <c r="G34" s="63" t="n">
        <v>30000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L33+G34</f>
        <v/>
      </c>
      <c r="M34" s="55" t="n"/>
    </row>
    <row r="35" ht="15.75" customHeight="1" s="99">
      <c r="A35" s="41" t="n">
        <v>31</v>
      </c>
      <c r="B35" s="45" t="n">
        <v>46195</v>
      </c>
      <c r="C35" s="47" t="inlineStr">
        <is>
          <t>Papa</t>
        </is>
      </c>
      <c r="D35" s="47" t="inlineStr">
        <is>
          <t>Econ Builder</t>
        </is>
      </c>
      <c r="E35" s="47" t="inlineStr">
        <is>
          <t>Professional Fees</t>
        </is>
      </c>
      <c r="F35" s="47" t="inlineStr">
        <is>
          <t>Engineer supervision fee — Jun payment</t>
        </is>
      </c>
      <c r="G35" s="62" t="n">
        <v>5000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L34+G35</f>
        <v/>
      </c>
      <c r="M35" s="47" t="n"/>
    </row>
    <row r="36" ht="15.75" customHeight="1" s="99">
      <c r="A36" s="43" t="n">
        <v>32</v>
      </c>
      <c r="B36" s="53" t="n">
        <v>46208</v>
      </c>
      <c r="C36" s="55" t="inlineStr">
        <is>
          <t>Self</t>
        </is>
      </c>
      <c r="D36" s="55" t="inlineStr">
        <is>
          <t>Econ Builder</t>
        </is>
      </c>
      <c r="E36" s="55" t="inlineStr">
        <is>
          <t>Professional Fees</t>
        </is>
      </c>
      <c r="F36" s="55" t="inlineStr">
        <is>
          <t>Engineer supervision fee — Jul payment</t>
        </is>
      </c>
      <c r="G36" s="63" t="n">
        <v>75000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L35+G36</f>
        <v/>
      </c>
      <c r="M36" s="55" t="n"/>
    </row>
    <row r="37" ht="15.75" customHeight="1" s="99">
      <c r="A37" s="41" t="n">
        <v>33</v>
      </c>
      <c r="B37" s="45" t="n">
        <v>46208</v>
      </c>
      <c r="C37" s="47" t="inlineStr">
        <is>
          <t>Self</t>
        </is>
      </c>
      <c r="D37" s="47" t="inlineStr">
        <is>
          <t>Sand Truck Wala</t>
        </is>
      </c>
      <c r="E37" s="47" t="inlineStr">
        <is>
          <t>Building Materials</t>
        </is>
      </c>
      <c r="F37" s="47" t="inlineStr">
        <is>
          <t>Sand Truck 3 — 944 CFT</t>
        </is>
      </c>
      <c r="G37" s="62" t="n">
        <v>46500</v>
      </c>
      <c r="H37" s="47" t="inlineStr">
        <is>
          <t>GPay</t>
        </is>
      </c>
      <c r="I37" s="47" t="n"/>
      <c r="J37" s="47" t="n"/>
      <c r="K37" s="47" t="inlineStr">
        <is>
          <t>Y</t>
        </is>
      </c>
      <c r="L37" s="50">
        <f>L36+G37</f>
        <v/>
      </c>
      <c r="M37" s="47" t="n"/>
    </row>
    <row r="38" ht="15.75" customHeight="1" s="99">
      <c r="A38" s="43" t="n">
        <v>34</v>
      </c>
      <c r="B38" s="53" t="n">
        <v>46208</v>
      </c>
      <c r="C38" s="55" t="inlineStr">
        <is>
          <t>Papa</t>
        </is>
      </c>
      <c r="D38" s="55" t="inlineStr">
        <is>
          <t>Sand Truck Wala</t>
        </is>
      </c>
      <c r="E38" s="55" t="inlineStr">
        <is>
          <t>Building Materials</t>
        </is>
      </c>
      <c r="F38" s="55" t="inlineStr">
        <is>
          <t>Sand Truck 3 — 944 CFT</t>
        </is>
      </c>
      <c r="G38" s="63" t="n">
        <v>10000</v>
      </c>
      <c r="H38" s="55" t="inlineStr">
        <is>
          <t>GPay</t>
        </is>
      </c>
      <c r="I38" s="55" t="n"/>
      <c r="J38" s="55" t="n"/>
      <c r="K38" s="55" t="inlineStr">
        <is>
          <t>Y</t>
        </is>
      </c>
      <c r="L38" s="58">
        <f>L37+G38</f>
        <v/>
      </c>
      <c r="M38" s="55" t="n"/>
    </row>
    <row r="39" ht="15.75" customHeight="1" s="99">
      <c r="A39" s="41" t="n">
        <v>35</v>
      </c>
      <c r="B39" s="45" t="n">
        <v>46208</v>
      </c>
      <c r="C39" s="47" t="inlineStr">
        <is>
          <t>Self</t>
        </is>
      </c>
      <c r="D39" s="47" t="inlineStr">
        <is>
          <t>Sand Truck Wala</t>
        </is>
      </c>
      <c r="E39" s="47" t="inlineStr">
        <is>
          <t>Building Materials</t>
        </is>
      </c>
      <c r="F39" s="47" t="inlineStr">
        <is>
          <t>Sand Truck 4 — 936 CFT</t>
        </is>
      </c>
      <c r="G39" s="62" t="n">
        <v>56000</v>
      </c>
      <c r="H39" s="47" t="inlineStr">
        <is>
          <t>GPay</t>
        </is>
      </c>
      <c r="I39" s="47" t="n"/>
      <c r="J39" s="47" t="n"/>
      <c r="K39" s="47" t="inlineStr">
        <is>
          <t>Y</t>
        </is>
      </c>
      <c r="L39" s="50">
        <f>L38+G39</f>
        <v/>
      </c>
      <c r="M39" s="47" t="n"/>
    </row>
    <row r="40" ht="15.75" customHeight="1" s="99">
      <c r="A40" s="43" t="n">
        <v>36</v>
      </c>
      <c r="B40" s="53" t="n">
        <v>46208</v>
      </c>
      <c r="C40" s="55" t="inlineStr">
        <is>
          <t>Self</t>
        </is>
      </c>
      <c r="D40" s="55" t="inlineStr">
        <is>
          <t>Pappu Hardware</t>
        </is>
      </c>
      <c r="E40" s="55" t="inlineStr">
        <is>
          <t>Building Materials + Steel + Labour</t>
        </is>
      </c>
      <c r="F40" s="55" t="inlineStr">
        <is>
          <t>Cement 60B + 6mm 50pcs + Gitti + DrFixit + Labour</t>
        </is>
      </c>
      <c r="G40" s="63" t="n">
        <v>41650</v>
      </c>
      <c r="H40" s="55" t="inlineStr">
        <is>
          <t>GPay</t>
        </is>
      </c>
      <c r="I40" s="55" t="n"/>
      <c r="J40" s="55" t="n"/>
      <c r="K40" s="55" t="inlineStr">
        <is>
          <t>Y</t>
        </is>
      </c>
      <c r="L40" s="58">
        <f>L39+G40</f>
        <v/>
      </c>
      <c r="M40" s="55" t="n"/>
    </row>
    <row r="41" ht="15.75" customHeight="1" s="99">
      <c r="A41" s="41" t="n">
        <v>37</v>
      </c>
      <c r="B41" s="45" t="n">
        <v>46220</v>
      </c>
      <c r="C41" s="47" t="inlineStr">
        <is>
          <t>Papa</t>
        </is>
      </c>
      <c r="D41" s="47" t="inlineStr">
        <is>
          <t>Econ Builder</t>
        </is>
      </c>
      <c r="E41" s="47" t="inlineStr">
        <is>
          <t>Professional Fees</t>
        </is>
      </c>
      <c r="F41" s="47" t="inlineStr">
        <is>
          <t>Engineer supervision — iron wiring works</t>
        </is>
      </c>
      <c r="G41" s="62" t="n">
        <v>15000</v>
      </c>
      <c r="H41" s="47" t="inlineStr">
        <is>
          <t>GPay</t>
        </is>
      </c>
      <c r="I41" s="47" t="n"/>
      <c r="J41" s="47" t="n"/>
      <c r="K41" s="47" t="inlineStr">
        <is>
          <t>Y</t>
        </is>
      </c>
      <c r="L41" s="50">
        <f>L40+G41</f>
        <v/>
      </c>
      <c r="M41" s="47" t="n"/>
    </row>
    <row r="42" ht="15.75" customHeight="1" s="99">
      <c r="A42" s="43" t="n">
        <v>38</v>
      </c>
      <c r="B42" s="53" t="n">
        <v>46220</v>
      </c>
      <c r="C42" s="55" t="inlineStr">
        <is>
          <t>Papa</t>
        </is>
      </c>
      <c r="D42" s="55" t="inlineStr">
        <is>
          <t>Local Purchase</t>
        </is>
      </c>
      <c r="E42" s="55" t="inlineStr">
        <is>
          <t>Building Materials</t>
        </is>
      </c>
      <c r="F42" s="55" t="inlineStr">
        <is>
          <t>Iron wire 2kg + delivery</t>
        </is>
      </c>
      <c r="G42" s="63" t="n">
        <v>1300</v>
      </c>
      <c r="H42" s="55" t="inlineStr">
        <is>
          <t>GPay</t>
        </is>
      </c>
      <c r="I42" s="55" t="n"/>
      <c r="J42" s="55" t="n"/>
      <c r="K42" s="55" t="inlineStr">
        <is>
          <t>Y</t>
        </is>
      </c>
      <c r="L42" s="58">
        <f>L41+G42</f>
        <v/>
      </c>
      <c r="M42" s="55" t="n"/>
    </row>
    <row r="43" ht="15.75" customHeight="1" s="99">
      <c r="A43" s="41" t="n">
        <v>39</v>
      </c>
      <c r="B43" s="45" t="n">
        <v>46220</v>
      </c>
      <c r="C43" s="47" t="inlineStr">
        <is>
          <t>Papa</t>
        </is>
      </c>
      <c r="D43" s="47" t="inlineStr">
        <is>
          <t>Econ Builder</t>
        </is>
      </c>
      <c r="E43" s="47" t="inlineStr">
        <is>
          <t>Professional Fees</t>
        </is>
      </c>
      <c r="F43" s="47" t="inlineStr">
        <is>
          <t>Payment to Santosh for shuttering work</t>
        </is>
      </c>
      <c r="G43" s="62" t="n">
        <v>18000</v>
      </c>
      <c r="H43" s="47" t="inlineStr">
        <is>
          <t>GPay</t>
        </is>
      </c>
      <c r="I43" s="47" t="n"/>
      <c r="J43" s="47" t="n"/>
      <c r="K43" s="47" t="inlineStr">
        <is>
          <t>Y</t>
        </is>
      </c>
      <c r="L43" s="50">
        <f>L42+G43</f>
        <v/>
      </c>
      <c r="M43" s="47" t="n"/>
    </row>
    <row r="44" ht="15.75" customHeight="1" s="99">
      <c r="A44" s="43" t="n">
        <v>40</v>
      </c>
      <c r="B44" s="53" t="n">
        <v>46221</v>
      </c>
      <c r="C44" s="55" t="inlineStr">
        <is>
          <t>Self</t>
        </is>
      </c>
      <c r="D44" s="55" t="inlineStr">
        <is>
          <t>Mukesh Yadav</t>
        </is>
      </c>
      <c r="E44" s="55" t="inlineStr">
        <is>
          <t>Land Development + Labour</t>
        </is>
      </c>
      <c r="F44" s="55" t="inlineStr">
        <is>
          <t>JCB + Mitti + Sand movement balance payment</t>
        </is>
      </c>
      <c r="G44" s="63" t="n">
        <v>40000</v>
      </c>
      <c r="H44" s="55" t="inlineStr">
        <is>
          <t>Cash</t>
        </is>
      </c>
      <c r="I44" s="55" t="n"/>
      <c r="J44" s="55" t="n"/>
      <c r="K44" s="55" t="inlineStr">
        <is>
          <t>Y</t>
        </is>
      </c>
      <c r="L44" s="58" t="n"/>
      <c r="M44" s="55" t="n"/>
    </row>
    <row r="45" ht="15.75" customHeight="1" s="99">
      <c r="A45" s="41" t="n">
        <v>41</v>
      </c>
      <c r="B45" s="45" t="n">
        <v>46224</v>
      </c>
      <c r="C45" s="47" t="inlineStr">
        <is>
          <t>Papa</t>
        </is>
      </c>
      <c r="D45" s="47" t="inlineStr">
        <is>
          <t>Econ Builder</t>
        </is>
      </c>
      <c r="E45" s="47" t="inlineStr">
        <is>
          <t>Professional Fees</t>
        </is>
      </c>
      <c r="F45" s="47" t="inlineStr">
        <is>
          <t>Payment to Santosh — labour supervision</t>
        </is>
      </c>
      <c r="G45" s="62" t="n">
        <v>5000</v>
      </c>
      <c r="H45" s="47" t="inlineStr">
        <is>
          <t>GPay</t>
        </is>
      </c>
      <c r="I45" s="47" t="n"/>
      <c r="J45" s="47" t="n"/>
      <c r="K45" s="47" t="inlineStr">
        <is>
          <t>Y</t>
        </is>
      </c>
      <c r="L45" s="50" t="n"/>
      <c r="M45" s="47" t="n"/>
    </row>
    <row r="46" ht="15.75" customHeight="1" s="99">
      <c r="A46" s="43" t="n">
        <v>42</v>
      </c>
      <c r="B46" s="53" t="n">
        <v>46208</v>
      </c>
      <c r="C46" s="55" t="inlineStr">
        <is>
          <t>Papa</t>
        </is>
      </c>
      <c r="D46" s="55" t="inlineStr">
        <is>
          <t>Daily Labour</t>
        </is>
      </c>
      <c r="E46" s="55" t="inlineStr">
        <is>
          <t>Labour</t>
        </is>
      </c>
      <c r="F46" s="55" t="inlineStr">
        <is>
          <t>Mitti bharai labour</t>
        </is>
      </c>
      <c r="G46" s="63" t="n">
        <v>25000</v>
      </c>
      <c r="H46" s="55" t="inlineStr">
        <is>
          <t>GPay</t>
        </is>
      </c>
      <c r="I46" s="55" t="n"/>
      <c r="J46" s="55" t="n"/>
      <c r="K46" s="55" t="inlineStr">
        <is>
          <t>Y</t>
        </is>
      </c>
      <c r="L46" s="58" t="n"/>
      <c r="M46" s="55" t="n"/>
    </row>
    <row r="47" ht="15.75" customHeight="1" s="99">
      <c r="A47" s="41" t="n">
        <v>43</v>
      </c>
      <c r="B47" s="45" t="n">
        <v>46223</v>
      </c>
      <c r="C47" s="47" t="inlineStr">
        <is>
          <t>Papa</t>
        </is>
      </c>
      <c r="D47" s="47" t="inlineStr">
        <is>
          <t>Daily Labour</t>
        </is>
      </c>
      <c r="E47" s="47" t="inlineStr">
        <is>
          <t>Labour</t>
        </is>
      </c>
      <c r="F47" s="47" t="inlineStr">
        <is>
          <t>Mitti bharai labour</t>
        </is>
      </c>
      <c r="G47" s="62" t="n">
        <v>22875</v>
      </c>
      <c r="H47" s="47" t="inlineStr">
        <is>
          <t>GPay</t>
        </is>
      </c>
      <c r="I47" s="47" t="n"/>
      <c r="J47" s="47" t="n"/>
      <c r="K47" s="47" t="inlineStr">
        <is>
          <t>Y</t>
        </is>
      </c>
      <c r="L47" s="50" t="n"/>
      <c r="M47" s="47" t="n"/>
    </row>
    <row r="48" ht="15.75" customHeight="1" s="99">
      <c r="A48" s="43" t="n">
        <v>44</v>
      </c>
      <c r="B48" s="53" t="n">
        <v>46223</v>
      </c>
      <c r="C48" s="55" t="inlineStr">
        <is>
          <t>Papa</t>
        </is>
      </c>
      <c r="D48" s="55" t="inlineStr">
        <is>
          <t>Local Purchase</t>
        </is>
      </c>
      <c r="E48" s="55" t="inlineStr">
        <is>
          <t>Transport · Food · Misc</t>
        </is>
      </c>
      <c r="F48" s="55" t="inlineStr">
        <is>
          <t>Food / Miscellaneous provisions</t>
        </is>
      </c>
      <c r="G48" s="63" t="n">
        <v>55768</v>
      </c>
      <c r="H48" s="55" t="inlineStr">
        <is>
          <t>GPay</t>
        </is>
      </c>
      <c r="I48" s="55" t="n"/>
      <c r="J48" s="55" t="n"/>
      <c r="K48" s="55" t="inlineStr">
        <is>
          <t>Y</t>
        </is>
      </c>
      <c r="L48" s="58" t="n"/>
      <c r="M48" s="55" t="n"/>
    </row>
    <row r="49" ht="15.75" customHeight="1" s="99">
      <c r="A49" s="41" t="n">
        <v>45</v>
      </c>
      <c r="B49" s="45" t="n">
        <v>46224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Transport + Labour</t>
        </is>
      </c>
      <c r="F49" s="47" t="inlineStr">
        <is>
          <t>Cement 60 bags + wire + transport + labour</t>
        </is>
      </c>
      <c r="G49" s="62" t="n">
        <v>22240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 t="n"/>
      <c r="M49" s="47" t="n"/>
    </row>
    <row r="50" ht="15.75" customHeight="1" s="99">
      <c r="A50" s="43" t="n">
        <v>46</v>
      </c>
      <c r="B50" s="53" t="n">
        <v>46224</v>
      </c>
      <c r="C50" s="55" t="inlineStr">
        <is>
          <t>Papa</t>
        </is>
      </c>
      <c r="D50" s="55" t="inlineStr">
        <is>
          <t>Concrete Supplier</t>
        </is>
      </c>
      <c r="E50" s="55" t="inlineStr">
        <is>
          <t>Building Materials</t>
        </is>
      </c>
      <c r="F50" s="55" t="inlineStr">
        <is>
          <t>Gitti/Concrete 41.48 MT + labour</t>
        </is>
      </c>
      <c r="G50" s="63" t="n">
        <v>5000</v>
      </c>
      <c r="H50" s="55" t="inlineStr">
        <is>
          <t>GPay</t>
        </is>
      </c>
      <c r="I50" s="55" t="n"/>
      <c r="J50" s="55" t="n"/>
      <c r="K50" s="55" t="inlineStr">
        <is>
          <t>Y</t>
        </is>
      </c>
      <c r="L50" s="58" t="n"/>
      <c r="M50" s="55" t="n"/>
    </row>
    <row r="51" ht="15.75" customHeight="1" s="99">
      <c r="A51" s="41" t="n">
        <v>47</v>
      </c>
      <c r="B51" s="45" t="n">
        <v>46224</v>
      </c>
      <c r="C51" s="47" t="inlineStr">
        <is>
          <t>Self</t>
        </is>
      </c>
      <c r="D51" s="47" t="inlineStr">
        <is>
          <t>Concrete Supplier</t>
        </is>
      </c>
      <c r="E51" s="47" t="inlineStr">
        <is>
          <t>Building Materials</t>
        </is>
      </c>
      <c r="F51" s="47" t="inlineStr">
        <is>
          <t>Gitti/Concrete 41.48 MT + labour</t>
        </is>
      </c>
      <c r="G51" s="62" t="n">
        <v>90600</v>
      </c>
      <c r="H51" s="47" t="inlineStr">
        <is>
          <t>Bank</t>
        </is>
      </c>
      <c r="I51" s="47" t="n"/>
      <c r="J51" s="47" t="n"/>
      <c r="K51" s="47" t="inlineStr">
        <is>
          <t>Y</t>
        </is>
      </c>
      <c r="L51" s="50" t="n"/>
      <c r="M51" s="47" t="n"/>
    </row>
    <row r="52" ht="15.75" customHeight="1" s="99">
      <c r="A52" s="43" t="n">
        <v>48</v>
      </c>
      <c r="B52" s="53" t="n">
        <v>46225</v>
      </c>
      <c r="C52" s="55" t="inlineStr">
        <is>
          <t>Self</t>
        </is>
      </c>
      <c r="D52" s="55" t="inlineStr">
        <is>
          <t>Concrete Supplier</t>
        </is>
      </c>
      <c r="E52" s="55" t="inlineStr">
        <is>
          <t>Building Materials</t>
        </is>
      </c>
      <c r="F52" s="55" t="inlineStr">
        <is>
          <t>Gitti/Concrete final settlement balance</t>
        </is>
      </c>
      <c r="G52" s="63" t="n">
        <v>4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 t="n"/>
      <c r="M52" s="55" t="n"/>
    </row>
    <row r="53" ht="15.75" customHeight="1" s="99">
      <c r="A53" s="41" t="n">
        <v>49</v>
      </c>
      <c r="B53" s="45" t="n">
        <v>46224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Professional Fees</t>
        </is>
      </c>
      <c r="F53" s="47" t="inlineStr">
        <is>
          <t>Engineer supervision and coordination</t>
        </is>
      </c>
      <c r="G53" s="62" t="n">
        <v>37700</v>
      </c>
      <c r="H53" s="47" t="inlineStr">
        <is>
          <t>GPay</t>
        </is>
      </c>
      <c r="I53" s="47" t="n"/>
      <c r="J53" s="47" t="n"/>
      <c r="K53" s="47" t="inlineStr">
        <is>
          <t>Y</t>
        </is>
      </c>
      <c r="L53" s="50" t="n"/>
      <c r="M53" s="47" t="n"/>
    </row>
    <row r="54" ht="15.75" customHeight="1" s="99">
      <c r="A54" s="43" t="n">
        <v>50</v>
      </c>
      <c r="B54" s="53" t="n">
        <v>46225</v>
      </c>
      <c r="C54" s="55" t="inlineStr">
        <is>
          <t>Self</t>
        </is>
      </c>
      <c r="D54" s="55" t="inlineStr">
        <is>
          <t>Pappu Hardware</t>
        </is>
      </c>
      <c r="E54" s="55" t="inlineStr">
        <is>
          <t>Building Materials + Labour</t>
        </is>
      </c>
      <c r="F54" s="55" t="inlineStr">
        <is>
          <t>Cement 20 bags + labour</t>
        </is>
      </c>
      <c r="G54" s="63" t="n">
        <v>7000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 t="n"/>
      <c r="M54" s="55" t="n"/>
    </row>
    <row r="55" ht="15.75" customHeight="1" s="99">
      <c r="A55" s="41" t="n">
        <v>51</v>
      </c>
      <c r="B55" s="45" t="n">
        <v>46234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Professional Fees</t>
        </is>
      </c>
      <c r="F55" s="47" t="inlineStr">
        <is>
          <t>Santosh aara mil — payment received</t>
        </is>
      </c>
      <c r="G55" s="62" t="n">
        <v>4000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 t="n"/>
      <c r="M55" s="47" t="n"/>
    </row>
    <row r="56" ht="15.75" customHeight="1" s="99">
      <c r="A56" s="43" t="n">
        <v>52</v>
      </c>
      <c r="B56" s="53" t="n">
        <v>46236</v>
      </c>
      <c r="C56" s="55" t="inlineStr">
        <is>
          <t>Self</t>
        </is>
      </c>
      <c r="D56" s="55" t="inlineStr">
        <is>
          <t>Mukesh Yadav</t>
        </is>
      </c>
      <c r="E56" s="55" t="inlineStr">
        <is>
          <t>Land Development + Labour</t>
        </is>
      </c>
      <c r="F56" s="55" t="inlineStr">
        <is>
          <t>JCB + Mitti + Sand movement — final settlement</t>
        </is>
      </c>
      <c r="G56" s="63" t="n">
        <v>32950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 t="n"/>
      <c r="M56" s="55" t="n"/>
    </row>
    <row r="57" ht="15.75" customHeight="1" s="99">
      <c r="A57" s="41" t="n">
        <v>53</v>
      </c>
      <c r="B57" s="45" t="n">
        <v>46241</v>
      </c>
      <c r="C57" s="47" t="inlineStr">
        <is>
          <t>Self</t>
        </is>
      </c>
      <c r="D57" s="47" t="inlineStr">
        <is>
          <t>Pappu Hardware</t>
        </is>
      </c>
      <c r="E57" s="47" t="inlineStr">
        <is>
          <t>Building Materials + Steel + Labour</t>
        </is>
      </c>
      <c r="F57" s="47" t="inlineStr">
        <is>
          <t>Cement + Tata Tiscon rods + wire + labour</t>
        </is>
      </c>
      <c r="G57" s="62" t="n">
        <v>47740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 t="n"/>
      <c r="M57" s="47" t="n"/>
    </row>
    <row r="58" ht="15.75" customHeight="1" s="99">
      <c r="A58" s="43" t="n">
        <v>54</v>
      </c>
      <c r="B58" s="53" t="n">
        <v>46243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 + Steel/Iron + Building Materials</t>
        </is>
      </c>
      <c r="F58" s="55" t="inlineStr">
        <is>
          <t>Darbhanga labour, chotu lohabala, grilling, 4mm ply, Bayju</t>
        </is>
      </c>
      <c r="G58" s="63" t="n">
        <v>37900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 t="n"/>
      <c r="M58" s="55" t="n"/>
    </row>
    <row r="59" ht="15.75" customHeight="1" s="99">
      <c r="A59" s="41" t="n">
        <v>55</v>
      </c>
      <c r="B59" s="45" t="n">
        <v>46258</v>
      </c>
      <c r="C59" s="47" t="inlineStr">
        <is>
          <t>Self</t>
        </is>
      </c>
      <c r="D59" s="47" t="inlineStr">
        <is>
          <t>Pappu Hardware</t>
        </is>
      </c>
      <c r="E59" s="47" t="inlineStr">
        <is>
          <t>Building Materials + Labour</t>
        </is>
      </c>
      <c r="F59" s="47" t="inlineStr">
        <is>
          <t>Ultratech Super + Plain cement, labour</t>
        </is>
      </c>
      <c r="G59" s="62" t="n">
        <v>17100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 t="n"/>
      <c r="M59" s="47" t="n"/>
    </row>
    <row r="60" ht="15.75" customHeight="1" s="99">
      <c r="A60" s="43" t="n"/>
      <c r="B60" s="53" t="n"/>
      <c r="C60" s="55" t="n"/>
      <c r="D60" s="55" t="n"/>
      <c r="E60" s="55" t="n"/>
      <c r="F60" s="55" t="n"/>
      <c r="G60" s="63" t="n"/>
      <c r="H60" s="55" t="n"/>
      <c r="I60" s="55" t="n"/>
      <c r="J60" s="55" t="n"/>
      <c r="K60" s="55" t="n"/>
      <c r="L60" s="58" t="n"/>
      <c r="M60" s="55" t="n"/>
    </row>
    <row r="61" ht="15.75" customHeight="1" s="99">
      <c r="A61" s="41" t="n"/>
      <c r="B61" s="45" t="n"/>
      <c r="C61" s="47" t="n"/>
      <c r="D61" s="47" t="n"/>
      <c r="E61" s="47" t="n"/>
      <c r="F61" s="47" t="n"/>
      <c r="G61" s="62" t="n"/>
      <c r="H61" s="47" t="n"/>
      <c r="I61" s="47" t="n"/>
      <c r="J61" s="47" t="n"/>
      <c r="K61" s="47" t="n"/>
      <c r="L61" s="50" t="n"/>
      <c r="M61" s="47" t="n"/>
    </row>
    <row r="62" ht="15.75" customHeight="1" s="99">
      <c r="A62" s="43" t="n"/>
      <c r="B62" s="53" t="n"/>
      <c r="C62" s="55" t="n"/>
      <c r="D62" s="55" t="n"/>
      <c r="E62" s="55" t="n"/>
      <c r="F62" s="55" t="n"/>
      <c r="G62" s="63" t="n"/>
      <c r="H62" s="55" t="n"/>
      <c r="I62" s="55" t="n"/>
      <c r="J62" s="55" t="n"/>
      <c r="K62" s="55" t="n"/>
      <c r="L62" s="58" t="n"/>
      <c r="M62" s="55" t="n"/>
    </row>
    <row r="63" ht="15.75" customHeight="1" s="99">
      <c r="A63" s="41" t="n"/>
      <c r="B63" s="45" t="n"/>
      <c r="C63" s="47" t="n"/>
      <c r="D63" s="47" t="n"/>
      <c r="E63" s="47" t="n"/>
      <c r="F63" s="47" t="n"/>
      <c r="G63" s="62" t="n"/>
      <c r="H63" s="47" t="n"/>
      <c r="I63" s="47" t="n"/>
      <c r="J63" s="47" t="n"/>
      <c r="K63" s="47" t="n"/>
      <c r="L63" s="50" t="n"/>
      <c r="M63" s="47" t="n"/>
    </row>
    <row r="64" ht="15.75" customHeight="1" s="99">
      <c r="A64" s="43" t="n"/>
      <c r="B64" s="53" t="n"/>
      <c r="C64" s="55" t="n"/>
      <c r="D64" s="55" t="n"/>
      <c r="E64" s="55" t="n"/>
      <c r="F64" s="55" t="n"/>
      <c r="G64" s="63" t="n"/>
      <c r="H64" s="55" t="n"/>
      <c r="I64" s="55" t="n"/>
      <c r="J64" s="55" t="n"/>
      <c r="K64" s="55" t="n"/>
      <c r="L64" s="58" t="n"/>
      <c r="M64" s="55" t="n"/>
    </row>
    <row r="65" ht="15.75" customHeight="1" s="99">
      <c r="A65" s="41" t="n"/>
      <c r="B65" s="45" t="n"/>
      <c r="C65" s="47" t="n"/>
      <c r="D65" s="47" t="n"/>
      <c r="E65" s="47" t="n"/>
      <c r="F65" s="47" t="n"/>
      <c r="G65" s="62" t="n"/>
      <c r="H65" s="47" t="n"/>
      <c r="I65" s="47" t="n"/>
      <c r="J65" s="47" t="n"/>
      <c r="K65" s="47" t="n"/>
      <c r="L65" s="50" t="n"/>
      <c r="M65" s="47" t="n"/>
    </row>
    <row r="66" ht="15.75" customHeight="1" s="99">
      <c r="A66" s="43" t="n"/>
      <c r="B66" s="53" t="n"/>
      <c r="C66" s="55" t="n"/>
      <c r="D66" s="55" t="n"/>
      <c r="E66" s="55" t="n"/>
      <c r="F66" s="55" t="n"/>
      <c r="G66" s="63" t="n"/>
      <c r="H66" s="55" t="n"/>
      <c r="I66" s="55" t="n"/>
      <c r="J66" s="55" t="n"/>
      <c r="K66" s="55" t="n"/>
      <c r="L66" s="58" t="n"/>
      <c r="M66" s="55" t="n"/>
    </row>
    <row r="67" ht="15.75" customHeight="1" s="99">
      <c r="A67" s="41" t="n"/>
      <c r="B67" s="45" t="n"/>
      <c r="C67" s="47" t="n"/>
      <c r="D67" s="47" t="n"/>
      <c r="E67" s="47" t="n"/>
      <c r="F67" s="47" t="n"/>
      <c r="G67" s="62" t="n"/>
      <c r="H67" s="47" t="n"/>
      <c r="I67" s="47" t="n"/>
      <c r="J67" s="47" t="n"/>
      <c r="K67" s="47" t="n"/>
      <c r="L67" s="50" t="n"/>
      <c r="M67" s="47" t="n"/>
    </row>
    <row r="68" ht="15.75" customHeight="1" s="99">
      <c r="A68" s="43" t="n"/>
      <c r="B68" s="53" t="n"/>
      <c r="C68" s="55" t="n"/>
      <c r="D68" s="55" t="n"/>
      <c r="E68" s="55" t="n"/>
      <c r="F68" s="55" t="n"/>
      <c r="G68" s="63" t="n"/>
      <c r="H68" s="55" t="n"/>
      <c r="I68" s="55" t="n"/>
      <c r="J68" s="55" t="n"/>
      <c r="K68" s="55" t="n"/>
      <c r="L68" s="58" t="n"/>
      <c r="M68" s="55" t="n"/>
    </row>
    <row r="69" ht="15.75" customHeight="1" s="99">
      <c r="A69" s="41" t="n"/>
      <c r="B69" s="45" t="n"/>
      <c r="C69" s="47" t="n"/>
      <c r="D69" s="47" t="n"/>
      <c r="E69" s="47" t="n"/>
      <c r="F69" s="47" t="n"/>
      <c r="G69" s="62" t="n"/>
      <c r="H69" s="47" t="n"/>
      <c r="I69" s="47" t="n"/>
      <c r="J69" s="47" t="n"/>
      <c r="K69" s="47" t="n"/>
      <c r="L69" s="50" t="n"/>
      <c r="M69" s="47" t="n"/>
    </row>
    <row r="70" ht="15.75" customHeight="1" s="99">
      <c r="A70" s="43" t="n"/>
      <c r="B70" s="53" t="n"/>
      <c r="C70" s="55" t="n"/>
      <c r="D70" s="55" t="n"/>
      <c r="E70" s="55" t="n"/>
      <c r="F70" s="55" t="n"/>
      <c r="G70" s="63" t="n"/>
      <c r="H70" s="55" t="n"/>
      <c r="I70" s="55" t="n"/>
      <c r="J70" s="55" t="n"/>
      <c r="K70" s="55" t="n"/>
      <c r="L70" s="58" t="n"/>
      <c r="M70" s="55" t="n"/>
    </row>
    <row r="71" ht="15.75" customHeight="1" s="99">
      <c r="A71" s="41" t="n"/>
      <c r="B71" s="45" t="n"/>
      <c r="C71" s="47" t="n"/>
      <c r="D71" s="47" t="n"/>
      <c r="E71" s="47" t="n"/>
      <c r="F71" s="47" t="n"/>
      <c r="G71" s="62" t="n"/>
      <c r="H71" s="47" t="n"/>
      <c r="I71" s="47" t="n"/>
      <c r="J71" s="47" t="n"/>
      <c r="K71" s="47" t="n"/>
      <c r="L71" s="50" t="n"/>
      <c r="M71" s="47" t="n"/>
    </row>
    <row r="72" ht="15.75" customHeight="1" s="99">
      <c r="A72" s="43" t="n"/>
      <c r="B72" s="53" t="n"/>
      <c r="C72" s="55" t="n"/>
      <c r="D72" s="55" t="n"/>
      <c r="E72" s="55" t="n"/>
      <c r="F72" s="55" t="n"/>
      <c r="G72" s="63" t="n"/>
      <c r="H72" s="55" t="n"/>
      <c r="I72" s="55" t="n"/>
      <c r="J72" s="55" t="n"/>
      <c r="K72" s="55" t="n"/>
      <c r="L72" s="58" t="n"/>
      <c r="M72" s="55" t="n"/>
    </row>
    <row r="73" ht="15.75" customHeight="1" s="99">
      <c r="A73" s="41" t="n"/>
      <c r="B73" s="45" t="n"/>
      <c r="C73" s="47" t="n"/>
      <c r="D73" s="47" t="n"/>
      <c r="E73" s="47" t="n"/>
      <c r="F73" s="47" t="n"/>
      <c r="G73" s="62" t="n"/>
      <c r="H73" s="47" t="n"/>
      <c r="I73" s="47" t="n"/>
      <c r="J73" s="47" t="n"/>
      <c r="K73" s="47" t="n"/>
      <c r="L73" s="50" t="n"/>
      <c r="M73" s="47" t="n"/>
    </row>
    <row r="74" ht="15.75" customHeight="1" s="99">
      <c r="A74" s="43" t="n"/>
      <c r="B74" s="53" t="n"/>
      <c r="C74" s="55" t="n"/>
      <c r="D74" s="55" t="n"/>
      <c r="E74" s="55" t="n"/>
      <c r="F74" s="55" t="n"/>
      <c r="G74" s="63" t="n"/>
      <c r="H74" s="55" t="n"/>
      <c r="I74" s="55" t="n"/>
      <c r="J74" s="55" t="n"/>
      <c r="K74" s="55" t="n"/>
      <c r="L74" s="58" t="n"/>
      <c r="M74" s="55" t="n"/>
    </row>
    <row r="75" ht="15.75" customHeight="1" s="99">
      <c r="A75" s="41" t="n"/>
      <c r="B75" s="45" t="n"/>
      <c r="C75" s="47" t="n"/>
      <c r="D75" s="47" t="n"/>
      <c r="E75" s="47" t="n"/>
      <c r="F75" s="47" t="n"/>
      <c r="G75" s="62" t="n"/>
      <c r="H75" s="47" t="n"/>
      <c r="I75" s="47" t="n"/>
      <c r="J75" s="47" t="n"/>
      <c r="K75" s="47" t="n"/>
      <c r="L75" s="50" t="n"/>
      <c r="M75" s="47" t="n"/>
    </row>
    <row r="76" ht="15.75" customHeight="1" s="99">
      <c r="A76" s="43" t="n"/>
      <c r="B76" s="53" t="n"/>
      <c r="C76" s="55" t="n"/>
      <c r="D76" s="55" t="n"/>
      <c r="E76" s="55" t="n"/>
      <c r="F76" s="55" t="n"/>
      <c r="G76" s="63" t="n"/>
      <c r="H76" s="55" t="n"/>
      <c r="I76" s="55" t="n"/>
      <c r="J76" s="55" t="n"/>
      <c r="K76" s="55" t="n"/>
      <c r="L76" s="58" t="n"/>
      <c r="M76" s="55" t="n"/>
    </row>
    <row r="77" ht="15.75" customHeight="1" s="99">
      <c r="A77" s="41" t="n"/>
      <c r="B77" s="45" t="n"/>
      <c r="C77" s="47" t="n"/>
      <c r="D77" s="47" t="n"/>
      <c r="E77" s="47" t="n"/>
      <c r="F77" s="47" t="n"/>
      <c r="G77" s="62" t="n"/>
      <c r="H77" s="47" t="n"/>
      <c r="I77" s="47" t="n"/>
      <c r="J77" s="47" t="n"/>
      <c r="K77" s="47" t="n"/>
      <c r="L77" s="50" t="n"/>
      <c r="M77" s="47" t="n"/>
    </row>
    <row r="78" ht="15.75" customHeight="1" s="99">
      <c r="A78" s="43" t="n"/>
      <c r="B78" s="53" t="n"/>
      <c r="C78" s="55" t="n"/>
      <c r="D78" s="55" t="n"/>
      <c r="E78" s="55" t="n"/>
      <c r="F78" s="55" t="n"/>
      <c r="G78" s="63" t="n"/>
      <c r="H78" s="55" t="n"/>
      <c r="I78" s="55" t="n"/>
      <c r="J78" s="55" t="n"/>
      <c r="K78" s="55" t="n"/>
      <c r="L78" s="58" t="n"/>
      <c r="M78" s="55" t="n"/>
    </row>
    <row r="79" ht="15.75" customHeight="1" s="99">
      <c r="A79" s="41" t="n"/>
      <c r="B79" s="45" t="n"/>
      <c r="C79" s="47" t="n"/>
      <c r="D79" s="47" t="n"/>
      <c r="E79" s="47" t="n"/>
      <c r="F79" s="47" t="n"/>
      <c r="G79" s="62" t="n"/>
      <c r="H79" s="47" t="n"/>
      <c r="I79" s="47" t="n"/>
      <c r="J79" s="47" t="n"/>
      <c r="K79" s="47" t="n"/>
      <c r="L79" s="50" t="n"/>
      <c r="M79" s="47" t="n"/>
    </row>
    <row r="80" ht="15.75" customHeight="1" s="99">
      <c r="A80" s="43" t="n"/>
      <c r="B80" s="53" t="n"/>
      <c r="C80" s="55" t="n"/>
      <c r="D80" s="55" t="n"/>
      <c r="E80" s="55" t="n"/>
      <c r="F80" s="55" t="n"/>
      <c r="G80" s="63" t="n"/>
      <c r="H80" s="55" t="n"/>
      <c r="I80" s="55" t="n"/>
      <c r="J80" s="55" t="n"/>
      <c r="K80" s="55" t="n"/>
      <c r="L80" s="58" t="n"/>
      <c r="M80" s="55" t="n"/>
    </row>
    <row r="81" ht="15.75" customHeight="1" s="99">
      <c r="A81" s="41" t="n"/>
      <c r="B81" s="45" t="n"/>
      <c r="C81" s="47" t="n"/>
      <c r="D81" s="47" t="n"/>
      <c r="E81" s="47" t="n"/>
      <c r="F81" s="47" t="n"/>
      <c r="G81" s="62" t="n"/>
      <c r="H81" s="47" t="n"/>
      <c r="I81" s="47" t="n"/>
      <c r="J81" s="47" t="n"/>
      <c r="K81" s="47" t="n"/>
      <c r="L81" s="50" t="n"/>
      <c r="M81" s="47" t="n"/>
    </row>
    <row r="82" ht="15.75" customHeight="1" s="99">
      <c r="A82" s="43" t="n"/>
      <c r="B82" s="53" t="n"/>
      <c r="C82" s="55" t="n"/>
      <c r="D82" s="55" t="n"/>
      <c r="E82" s="55" t="n"/>
      <c r="F82" s="55" t="n"/>
      <c r="G82" s="63" t="n"/>
      <c r="H82" s="55" t="n"/>
      <c r="I82" s="55" t="n"/>
      <c r="J82" s="55" t="n"/>
      <c r="K82" s="55" t="n"/>
      <c r="L82" s="58" t="n"/>
      <c r="M82" s="55" t="n"/>
    </row>
    <row r="83" ht="15.75" customHeight="1" s="99">
      <c r="A83" s="41" t="n"/>
      <c r="B83" s="45" t="n"/>
      <c r="C83" s="47" t="n"/>
      <c r="D83" s="47" t="n"/>
      <c r="E83" s="47" t="n"/>
      <c r="F83" s="47" t="n"/>
      <c r="G83" s="62" t="n"/>
      <c r="H83" s="47" t="n"/>
      <c r="I83" s="47" t="n"/>
      <c r="J83" s="47" t="n"/>
      <c r="K83" s="47" t="n"/>
      <c r="L83" s="50" t="n"/>
      <c r="M83" s="47" t="n"/>
    </row>
    <row r="84" ht="15.75" customHeight="1" s="99">
      <c r="A84" s="43" t="n"/>
      <c r="B84" s="53" t="n"/>
      <c r="C84" s="55" t="n"/>
      <c r="D84" s="55" t="n"/>
      <c r="E84" s="55" t="n"/>
      <c r="F84" s="55" t="n"/>
      <c r="G84" s="63" t="n"/>
      <c r="H84" s="55" t="n"/>
      <c r="I84" s="55" t="n"/>
      <c r="J84" s="55" t="n"/>
      <c r="K84" s="55" t="n"/>
      <c r="L84" s="58" t="n"/>
      <c r="M84" s="55" t="n"/>
    </row>
    <row r="85" ht="15.75" customHeight="1" s="99">
      <c r="A85" s="41" t="n"/>
      <c r="B85" s="45" t="n"/>
      <c r="C85" s="47" t="n"/>
      <c r="D85" s="47" t="n"/>
      <c r="E85" s="47" t="n"/>
      <c r="F85" s="47" t="n"/>
      <c r="G85" s="62" t="n"/>
      <c r="H85" s="47" t="n"/>
      <c r="I85" s="47" t="n"/>
      <c r="J85" s="47" t="n"/>
      <c r="K85" s="47" t="n"/>
      <c r="L85" s="50" t="n"/>
      <c r="M85" s="47" t="n"/>
    </row>
    <row r="86" ht="15.75" customHeight="1" s="99">
      <c r="A86" s="43" t="n"/>
      <c r="B86" s="53" t="n"/>
      <c r="C86" s="55" t="n"/>
      <c r="D86" s="55" t="n"/>
      <c r="E86" s="55" t="n"/>
      <c r="F86" s="55" t="n"/>
      <c r="G86" s="63" t="n"/>
      <c r="H86" s="55" t="n"/>
      <c r="I86" s="55" t="n"/>
      <c r="J86" s="55" t="n"/>
      <c r="K86" s="55" t="n"/>
      <c r="L86" s="58" t="n"/>
      <c r="M86" s="55" t="n"/>
    </row>
    <row r="87" ht="15.75" customHeight="1" s="99">
      <c r="A87" s="41" t="n"/>
      <c r="B87" s="45" t="n"/>
      <c r="C87" s="47" t="n"/>
      <c r="D87" s="47" t="n"/>
      <c r="E87" s="47" t="n"/>
      <c r="F87" s="47" t="n"/>
      <c r="G87" s="62" t="n"/>
      <c r="H87" s="47" t="n"/>
      <c r="I87" s="47" t="n"/>
      <c r="J87" s="47" t="n"/>
      <c r="K87" s="47" t="n"/>
      <c r="L87" s="50" t="n"/>
      <c r="M87" s="47" t="n"/>
    </row>
    <row r="88" ht="15.75" customHeight="1" s="99">
      <c r="A88" s="43" t="n"/>
      <c r="B88" s="53" t="n"/>
      <c r="C88" s="55" t="n"/>
      <c r="D88" s="55" t="n"/>
      <c r="E88" s="55" t="n"/>
      <c r="F88" s="55" t="n"/>
      <c r="G88" s="63" t="n"/>
      <c r="H88" s="55" t="n"/>
      <c r="I88" s="55" t="n"/>
      <c r="J88" s="55" t="n"/>
      <c r="K88" s="55" t="n"/>
      <c r="L88" s="58" t="n"/>
      <c r="M88" s="55" t="n"/>
    </row>
    <row r="89" ht="15.75" customHeight="1" s="99">
      <c r="A89" s="41" t="n"/>
      <c r="B89" s="45" t="n"/>
      <c r="C89" s="47" t="n"/>
      <c r="D89" s="47" t="n"/>
      <c r="E89" s="47" t="n"/>
      <c r="F89" s="47" t="n"/>
      <c r="G89" s="62" t="n"/>
      <c r="H89" s="47" t="n"/>
      <c r="I89" s="47" t="n"/>
      <c r="J89" s="47" t="n"/>
      <c r="K89" s="47" t="n"/>
      <c r="L89" s="50" t="n"/>
      <c r="M89" s="47" t="n"/>
    </row>
    <row r="90" ht="15.75" customHeight="1" s="99">
      <c r="A90" s="43" t="n"/>
      <c r="B90" s="53" t="n"/>
      <c r="C90" s="55" t="n"/>
      <c r="D90" s="55" t="n"/>
      <c r="E90" s="55" t="n"/>
      <c r="F90" s="55" t="n"/>
      <c r="G90" s="63" t="n"/>
      <c r="H90" s="55" t="n"/>
      <c r="I90" s="55" t="n"/>
      <c r="J90" s="55" t="n"/>
      <c r="K90" s="55" t="n"/>
      <c r="L90" s="58" t="n"/>
      <c r="M90" s="55" t="n"/>
    </row>
    <row r="91" ht="15.75" customHeight="1" s="99">
      <c r="A91" s="41" t="n"/>
      <c r="B91" s="45" t="n"/>
      <c r="C91" s="47" t="n"/>
      <c r="D91" s="47" t="n"/>
      <c r="E91" s="47" t="n"/>
      <c r="F91" s="47" t="n"/>
      <c r="G91" s="62" t="n"/>
      <c r="H91" s="47" t="n"/>
      <c r="I91" s="47" t="n"/>
      <c r="J91" s="47" t="n"/>
      <c r="K91" s="47" t="n"/>
      <c r="L91" s="50" t="n"/>
      <c r="M91" s="47" t="n"/>
    </row>
    <row r="92" ht="15.75" customHeight="1" s="99">
      <c r="A92" s="43" t="n"/>
      <c r="B92" s="53" t="n"/>
      <c r="C92" s="55" t="n"/>
      <c r="D92" s="55" t="n"/>
      <c r="E92" s="55" t="n"/>
      <c r="F92" s="55" t="n"/>
      <c r="G92" s="63" t="n"/>
      <c r="H92" s="55" t="n"/>
      <c r="I92" s="55" t="n"/>
      <c r="J92" s="55" t="n"/>
      <c r="K92" s="55" t="n"/>
      <c r="L92" s="58" t="n"/>
      <c r="M92" s="55" t="n"/>
    </row>
    <row r="93" ht="15.75" customHeight="1" s="99">
      <c r="A93" s="41" t="n"/>
      <c r="B93" s="45" t="n"/>
      <c r="C93" s="47" t="n"/>
      <c r="D93" s="47" t="n"/>
      <c r="E93" s="47" t="n"/>
      <c r="F93" s="47" t="n"/>
      <c r="G93" s="62" t="n"/>
      <c r="H93" s="47" t="n"/>
      <c r="I93" s="47" t="n"/>
      <c r="J93" s="47" t="n"/>
      <c r="K93" s="47" t="n"/>
      <c r="L93" s="50" t="n"/>
      <c r="M93" s="47" t="n"/>
    </row>
    <row r="94" ht="15.75" customHeight="1" s="99">
      <c r="A94" s="43" t="n"/>
      <c r="B94" s="53" t="n"/>
      <c r="C94" s="55" t="n"/>
      <c r="D94" s="55" t="n"/>
      <c r="E94" s="55" t="n"/>
      <c r="F94" s="55" t="n"/>
      <c r="G94" s="63" t="n"/>
      <c r="H94" s="55" t="n"/>
      <c r="I94" s="55" t="n"/>
      <c r="J94" s="55" t="n"/>
      <c r="K94" s="55" t="n"/>
      <c r="L94" s="58" t="n"/>
      <c r="M94" s="55" t="n"/>
    </row>
    <row r="95" ht="15.75" customHeight="1" s="99">
      <c r="A95" s="41" t="n"/>
      <c r="B95" s="45" t="n"/>
      <c r="C95" s="47" t="n"/>
      <c r="D95" s="47" t="n"/>
      <c r="E95" s="47" t="n"/>
      <c r="F95" s="47" t="n"/>
      <c r="G95" s="62" t="n"/>
      <c r="H95" s="47" t="n"/>
      <c r="I95" s="47" t="n"/>
      <c r="J95" s="47" t="n"/>
      <c r="K95" s="47" t="n"/>
      <c r="L95" s="50" t="n"/>
      <c r="M95" s="47" t="n"/>
    </row>
    <row r="96" ht="15.75" customHeight="1" s="99">
      <c r="A96" s="43" t="n"/>
      <c r="B96" s="53" t="n"/>
      <c r="C96" s="55" t="n"/>
      <c r="D96" s="55" t="n"/>
      <c r="E96" s="55" t="n"/>
      <c r="F96" s="55" t="n"/>
      <c r="G96" s="63" t="n"/>
      <c r="H96" s="55" t="n"/>
      <c r="I96" s="55" t="n"/>
      <c r="J96" s="55" t="n"/>
      <c r="K96" s="55" t="n"/>
      <c r="L96" s="58" t="n"/>
      <c r="M96" s="55" t="n"/>
    </row>
    <row r="97" ht="15.75" customHeight="1" s="99">
      <c r="A97" s="41" t="n"/>
      <c r="B97" s="45" t="n"/>
      <c r="C97" s="47" t="n"/>
      <c r="D97" s="47" t="n"/>
      <c r="E97" s="47" t="n"/>
      <c r="F97" s="47" t="n"/>
      <c r="G97" s="62" t="n"/>
      <c r="H97" s="47" t="n"/>
      <c r="I97" s="47" t="n"/>
      <c r="J97" s="47" t="n"/>
      <c r="K97" s="47" t="n"/>
      <c r="L97" s="50" t="n"/>
      <c r="M97" s="47" t="n"/>
    </row>
    <row r="98" ht="15.75" customHeight="1" s="99">
      <c r="A98" s="43" t="n"/>
      <c r="B98" s="53" t="n"/>
      <c r="C98" s="55" t="n"/>
      <c r="D98" s="55" t="n"/>
      <c r="E98" s="55" t="n"/>
      <c r="F98" s="55" t="n"/>
      <c r="G98" s="63" t="n"/>
      <c r="H98" s="55" t="n"/>
      <c r="I98" s="55" t="n"/>
      <c r="J98" s="55" t="n"/>
      <c r="K98" s="55" t="n"/>
      <c r="L98" s="58" t="n"/>
      <c r="M98" s="55" t="n"/>
    </row>
    <row r="99" ht="15.75" customHeight="1" s="99">
      <c r="A99" s="41" t="n"/>
      <c r="B99" s="45" t="n"/>
      <c r="C99" s="47" t="n"/>
      <c r="D99" s="47" t="n"/>
      <c r="E99" s="47" t="n"/>
      <c r="F99" s="47" t="n"/>
      <c r="G99" s="62" t="n"/>
      <c r="H99" s="47" t="n"/>
      <c r="I99" s="47" t="n"/>
      <c r="J99" s="47" t="n"/>
      <c r="K99" s="47" t="n"/>
      <c r="L99" s="50" t="n"/>
      <c r="M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55" t="n"/>
      <c r="G100" s="63" t="n"/>
      <c r="H100" s="55" t="n"/>
      <c r="I100" s="55" t="n"/>
      <c r="J100" s="55" t="n"/>
      <c r="K100" s="55" t="n"/>
      <c r="L100" s="58">
        <f>IF(G100="","",IF(L99="",G100,L99+G100))</f>
        <v/>
      </c>
      <c r="M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47" t="n"/>
      <c r="G101" s="62" t="n"/>
      <c r="H101" s="47" t="n"/>
      <c r="I101" s="47" t="n"/>
      <c r="J101" s="47" t="n"/>
      <c r="K101" s="47" t="n"/>
      <c r="L101" s="50">
        <f>IF(G101="","",IF(L100="",G101,L100+G101))</f>
        <v/>
      </c>
      <c r="M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55" t="n"/>
      <c r="G102" s="63" t="n"/>
      <c r="H102" s="55" t="n"/>
      <c r="I102" s="55" t="n"/>
      <c r="J102" s="55" t="n"/>
      <c r="K102" s="55" t="n"/>
      <c r="L102" s="58">
        <f>IF(G102="","",IF(L101="",G102,L101+G102))</f>
        <v/>
      </c>
      <c r="M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47" t="n"/>
      <c r="G103" s="62" t="n"/>
      <c r="H103" s="47" t="n"/>
      <c r="I103" s="47" t="n"/>
      <c r="J103" s="47" t="n"/>
      <c r="K103" s="47" t="n"/>
      <c r="L103" s="50">
        <f>IF(G103="","",IF(L102="",G103,L102+G103))</f>
        <v/>
      </c>
      <c r="M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55" t="n"/>
      <c r="G104" s="63" t="n"/>
      <c r="H104" s="55" t="n"/>
      <c r="I104" s="55" t="n"/>
      <c r="J104" s="55" t="n"/>
      <c r="K104" s="55" t="n"/>
      <c r="L104" s="58">
        <f>IF(G104="","",IF(L103="",G104,L103+G104))</f>
        <v/>
      </c>
      <c r="M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47" t="n"/>
      <c r="G105" s="62" t="n"/>
      <c r="H105" s="47" t="n"/>
      <c r="I105" s="47" t="n"/>
      <c r="J105" s="47" t="n"/>
      <c r="K105" s="47" t="n"/>
      <c r="L105" s="50">
        <f>IF(G105="","",IF(L104="",G105,L104+G105))</f>
        <v/>
      </c>
      <c r="M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55" t="n"/>
      <c r="G106" s="63" t="n"/>
      <c r="H106" s="55" t="n"/>
      <c r="I106" s="55" t="n"/>
      <c r="J106" s="55" t="n"/>
      <c r="K106" s="55" t="n"/>
      <c r="L106" s="58">
        <f>IF(G106="","",IF(L105="",G106,L105+G106))</f>
        <v/>
      </c>
      <c r="M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47" t="n"/>
      <c r="G107" s="62" t="n"/>
      <c r="H107" s="47" t="n"/>
      <c r="I107" s="47" t="n"/>
      <c r="J107" s="47" t="n"/>
      <c r="K107" s="47" t="n"/>
      <c r="L107" s="50">
        <f>IF(G107="","",IF(L106="",G107,L106+G107))</f>
        <v/>
      </c>
      <c r="M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55" t="n"/>
      <c r="G108" s="63" t="n"/>
      <c r="H108" s="55" t="n"/>
      <c r="I108" s="55" t="n"/>
      <c r="J108" s="55" t="n"/>
      <c r="K108" s="55" t="n"/>
      <c r="L108" s="58">
        <f>IF(G108="","",IF(L107="",G108,L107+G108))</f>
        <v/>
      </c>
      <c r="M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47" t="n"/>
      <c r="G109" s="62" t="n"/>
      <c r="H109" s="47" t="n"/>
      <c r="I109" s="47" t="n"/>
      <c r="J109" s="47" t="n"/>
      <c r="K109" s="47" t="n"/>
      <c r="L109" s="50">
        <f>IF(G109="","",IF(L108="",G109,L108+G109))</f>
        <v/>
      </c>
      <c r="M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47" t="n"/>
      <c r="G495" s="62" t="n"/>
      <c r="H495" s="47" t="n"/>
      <c r="I495" s="47" t="n"/>
      <c r="J495" s="47" t="n"/>
      <c r="K495" s="47" t="n"/>
      <c r="L495" s="50">
        <f>IF(G495="","",IF(L494="",G495,L494+G495))</f>
        <v/>
      </c>
      <c r="M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55" t="n"/>
      <c r="G496" s="63" t="n"/>
      <c r="H496" s="55" t="n"/>
      <c r="I496" s="55" t="n"/>
      <c r="J496" s="55" t="n"/>
      <c r="K496" s="55" t="n"/>
      <c r="L496" s="58">
        <f>IF(G496="","",IF(L495="",G496,L495+G496))</f>
        <v/>
      </c>
      <c r="M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47" t="n"/>
      <c r="G497" s="62" t="n"/>
      <c r="H497" s="47" t="n"/>
      <c r="I497" s="47" t="n"/>
      <c r="J497" s="47" t="n"/>
      <c r="K497" s="47" t="n"/>
      <c r="L497" s="50">
        <f>IF(G497="","",IF(L496="",G497,L496+G497))</f>
        <v/>
      </c>
      <c r="M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55" t="n"/>
      <c r="G498" s="63" t="n"/>
      <c r="H498" s="55" t="n"/>
      <c r="I498" s="55" t="n"/>
      <c r="J498" s="55" t="n"/>
      <c r="K498" s="55" t="n"/>
      <c r="L498" s="58">
        <f>IF(G498="","",IF(L497="",G498,L497+G498))</f>
        <v/>
      </c>
      <c r="M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47" t="n"/>
      <c r="G499" s="62" t="n"/>
      <c r="H499" s="47" t="n"/>
      <c r="I499" s="47" t="n"/>
      <c r="J499" s="47" t="n"/>
      <c r="K499" s="47" t="n"/>
      <c r="L499" s="50">
        <f>IF(G499="","",IF(L498="",G499,L498+G499))</f>
        <v/>
      </c>
      <c r="M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55" t="n"/>
      <c r="G500" s="63" t="n"/>
      <c r="H500" s="55" t="n"/>
      <c r="I500" s="55" t="n"/>
      <c r="J500" s="55" t="n"/>
      <c r="K500" s="55" t="n"/>
      <c r="L500" s="58">
        <f>IF(G500="","",IF(L499="",G500,L499+G500))</f>
        <v/>
      </c>
      <c r="M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47" t="n"/>
      <c r="G501" s="62" t="n"/>
      <c r="H501" s="47" t="n"/>
      <c r="I501" s="47" t="n"/>
      <c r="J501" s="47" t="n"/>
      <c r="K501" s="47" t="n"/>
      <c r="L501" s="50">
        <f>IF(G501="","",IF(L500="",G501,L500+G501))</f>
        <v/>
      </c>
      <c r="M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55" t="n"/>
      <c r="G502" s="63" t="n"/>
      <c r="H502" s="55" t="n"/>
      <c r="I502" s="55" t="n"/>
      <c r="J502" s="55" t="n"/>
      <c r="K502" s="55" t="n"/>
      <c r="L502" s="58">
        <f>IF(G502="","",IF(L501="",G502,L501+G502))</f>
        <v/>
      </c>
      <c r="M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47" t="n"/>
      <c r="G503" s="62" t="n"/>
      <c r="H503" s="47" t="n"/>
      <c r="I503" s="47" t="n"/>
      <c r="J503" s="47" t="n"/>
      <c r="K503" s="47" t="n"/>
      <c r="L503" s="50">
        <f>IF(G503="","",IF(L502="",G503,L502+G503))</f>
        <v/>
      </c>
      <c r="M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55" t="n"/>
      <c r="G504" s="63" t="n"/>
      <c r="H504" s="55" t="n"/>
      <c r="I504" s="55" t="n"/>
      <c r="J504" s="55" t="n"/>
      <c r="K504" s="55" t="n"/>
      <c r="L504" s="58">
        <f>IF(G504="","",IF(L503="",G504,L503+G504))</f>
        <v/>
      </c>
      <c r="M504" s="55" t="n"/>
    </row>
    <row r="505">
      <c r="B505" s="128" t="n"/>
      <c r="K505" t="inlineStr">
        <is>
          <t>Y</t>
        </is>
      </c>
    </row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Transactions'!F:F,B5)</f>
        <v/>
      </c>
      <c r="D5" s="42" t="inlineStr">
        <is>
          <t>Nos/Trailor</t>
        </is>
      </c>
      <c r="E5" s="65">
        <f>IFERROR(F5/C5,"")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Building Materials</t>
        </is>
      </c>
      <c r="B6" s="44" t="inlineStr">
        <is>
          <t>Sand</t>
        </is>
      </c>
      <c r="C6" s="69">
        <f>SUMIFS('All Transactions'!I:I,'All Transactions'!E:E,A6,'All Transactions'!F:F,B6)</f>
        <v/>
      </c>
      <c r="D6" s="44" t="inlineStr">
        <is>
          <t>CFT</t>
        </is>
      </c>
      <c r="E6" s="70">
        <f>IFERROR(F6/C6,"")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Transactions'!F:F,B7)</f>
        <v/>
      </c>
      <c r="D7" s="42" t="inlineStr">
        <is>
          <t>Tonnes/Trailor</t>
        </is>
      </c>
      <c r="E7" s="65">
        <f>IFERROR(F7/C7,"")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Cement-Ultratech Super</t>
        </is>
      </c>
      <c r="C8" s="69">
        <f>SUMIFS('All Transactions'!I:I,'All Transactions'!E:E,A8,'All Transactions'!F:F,B8)</f>
        <v/>
      </c>
      <c r="D8" s="44" t="inlineStr">
        <is>
          <t>Bags</t>
        </is>
      </c>
      <c r="E8" s="70">
        <f>IFERROR(F8/C8,"")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Cement-Ultratech Normal</t>
        </is>
      </c>
      <c r="C9" s="64">
        <f>SUMIFS('All Transactions'!I:I,'All Transactions'!E:E,A9,'All Transactions'!F:F,B9)</f>
        <v/>
      </c>
      <c r="D9" s="42" t="inlineStr">
        <is>
          <t>Bags</t>
        </is>
      </c>
      <c r="E9" s="65">
        <f>IFERROR(F9/C9,"")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Building Materials</t>
        </is>
      </c>
      <c r="B10" s="44" t="inlineStr">
        <is>
          <t>Cement-Ultratech Prem</t>
        </is>
      </c>
      <c r="C10" s="69">
        <f>SUMIFS('All Transactions'!I:I,'All Transactions'!E:E,A10,'All Transactions'!F:F,B10)</f>
        <v/>
      </c>
      <c r="D10" s="44" t="inlineStr">
        <is>
          <t>Bags</t>
        </is>
      </c>
      <c r="E10" s="70">
        <f>IFERROR(F10/C10,"")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Building Materials</t>
        </is>
      </c>
      <c r="B11" s="42" t="inlineStr">
        <is>
          <t>Dr Fixit</t>
        </is>
      </c>
      <c r="C11" s="64">
        <f>SUMIFS('All Transactions'!I:I,'All Transactions'!E:E,A11,'All Transactions'!F:F,B11)</f>
        <v/>
      </c>
      <c r="D11" s="42" t="inlineStr">
        <is>
          <t>Litres</t>
        </is>
      </c>
      <c r="E11" s="65">
        <f>IFERROR(F11/C11,"")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Building Materials</t>
        </is>
      </c>
      <c r="B12" s="44" t="inlineStr">
        <is>
          <t>Pipe PVC/GI</t>
        </is>
      </c>
      <c r="C12" s="69">
        <f>SUMIFS('All Transactions'!I:I,'All Transactions'!E:E,A12,'All Transactions'!F:F,B12)</f>
        <v/>
      </c>
      <c r="D12" s="44" t="inlineStr">
        <is>
          <t>Pcs</t>
        </is>
      </c>
      <c r="E12" s="70">
        <f>IFERROR(F12/C12,"")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Cover Block</t>
        </is>
      </c>
      <c r="C13" s="64">
        <f>SUMIFS('All Transactions'!I:I,'All Transactions'!E:E,A13,'All Transactions'!F:F,B13)</f>
        <v/>
      </c>
      <c r="D13" s="42" t="inlineStr">
        <is>
          <t>Packets</t>
        </is>
      </c>
      <c r="E13" s="65">
        <f>IFERROR(F13/C13,"")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Building Materials</t>
        </is>
      </c>
      <c r="B14" s="44" t="inlineStr">
        <is>
          <t>Kala Panni/Tar</t>
        </is>
      </c>
      <c r="C14" s="69">
        <f>SUMIFS('All Transactions'!I:I,'All Transactions'!E:E,A14,'All Transactions'!F:F,B14)</f>
        <v/>
      </c>
      <c r="D14" s="44" t="inlineStr">
        <is>
          <t>Kg</t>
        </is>
      </c>
      <c r="E14" s="70">
        <f>IFERROR(F14/C14,"")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Bamboo/Shuttering</t>
        </is>
      </c>
      <c r="C15" s="64">
        <f>SUMIFS('All Transactions'!I:I,'All Transactions'!E:E,A15,'All Transactions'!F:F,B15)</f>
        <v/>
      </c>
      <c r="D15" s="42" t="inlineStr">
        <is>
          <t>Nos</t>
        </is>
      </c>
      <c r="E15" s="65">
        <f>IFERROR(F15/C15,"")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Building Materials</t>
        </is>
      </c>
      <c r="B16" s="44" t="inlineStr">
        <is>
          <t>Nails</t>
        </is>
      </c>
      <c r="C16" s="69">
        <f>SUMIFS('All Transactions'!I:I,'All Transactions'!E:E,A16,'All Transactions'!F:F,B16)</f>
        <v/>
      </c>
      <c r="D16" s="44" t="inlineStr">
        <is>
          <t>Kg/Bags</t>
        </is>
      </c>
      <c r="E16" s="70">
        <f>IFERROR(F16/C16,"")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Transactions'!F:F,B17)</f>
        <v/>
      </c>
      <c r="D17" s="42" t="inlineStr">
        <is>
          <t>Kg</t>
        </is>
      </c>
      <c r="E17" s="65">
        <f>IFERROR(F17/C17,"")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Building Materials</t>
        </is>
      </c>
      <c r="B18" s="44" t="inlineStr">
        <is>
          <t>Blade</t>
        </is>
      </c>
      <c r="C18" s="69">
        <f>SUMIFS('All Transactions'!I:I,'All Transactions'!E:E,A18,'All Transactions'!F:F,B18)</f>
        <v/>
      </c>
      <c r="D18" s="44" t="inlineStr">
        <is>
          <t>Pcs</t>
        </is>
      </c>
      <c r="E18" s="70">
        <f>IFERROR(F18/C18,"")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Steel/Iron</t>
        </is>
      </c>
      <c r="B19" s="42" t="inlineStr">
        <is>
          <t>Tiscon 16mm</t>
        </is>
      </c>
      <c r="C19" s="64">
        <f>SUMIFS('All Transactions'!I:I,'All Transactions'!E:E,A19,'All Transactions'!F:F,B19)</f>
        <v/>
      </c>
      <c r="D19" s="42" t="inlineStr">
        <is>
          <t>Pcs</t>
        </is>
      </c>
      <c r="E19" s="65">
        <f>IFERROR(F19/C19,"")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Steel/Iron</t>
        </is>
      </c>
      <c r="B20" s="44" t="inlineStr">
        <is>
          <t>Tiscon 12mm</t>
        </is>
      </c>
      <c r="C20" s="69">
        <f>SUMIFS('All Transactions'!I:I,'All Transactions'!E:E,A20,'All Transactions'!F:F,B20)</f>
        <v/>
      </c>
      <c r="D20" s="44" t="inlineStr">
        <is>
          <t>Pcs</t>
        </is>
      </c>
      <c r="E20" s="70">
        <f>IFERROR(F20/C20,"")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Steel/Iron</t>
        </is>
      </c>
      <c r="B21" s="42" t="inlineStr">
        <is>
          <t>Tiscon 10mm</t>
        </is>
      </c>
      <c r="C21" s="64">
        <f>SUMIFS('All Transactions'!I:I,'All Transactions'!E:E,A21,'All Transactions'!F:F,B21)</f>
        <v/>
      </c>
      <c r="D21" s="42" t="inlineStr">
        <is>
          <t>Pcs</t>
        </is>
      </c>
      <c r="E21" s="65">
        <f>IFERROR(F21/C21,"")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Steel/Iron</t>
        </is>
      </c>
      <c r="B22" s="44" t="inlineStr">
        <is>
          <t>Tiscon 8mm</t>
        </is>
      </c>
      <c r="C22" s="69">
        <f>SUMIFS('All Transactions'!I:I,'All Transactions'!E:E,A22,'All Transactions'!F:F,B22)</f>
        <v/>
      </c>
      <c r="D22" s="44" t="inlineStr">
        <is>
          <t>Pcs</t>
        </is>
      </c>
      <c r="E22" s="70">
        <f>IFERROR(F22/C22,"")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Steel/Iron</t>
        </is>
      </c>
      <c r="B23" s="42" t="inlineStr">
        <is>
          <t>Tiscon 6mm</t>
        </is>
      </c>
      <c r="C23" s="64">
        <f>SUMIFS('All Transactions'!I:I,'All Transactions'!E:E,A23,'All Transactions'!F:F,B23)</f>
        <v/>
      </c>
      <c r="D23" s="42" t="inlineStr">
        <is>
          <t>Pcs</t>
        </is>
      </c>
      <c r="E23" s="65">
        <f>IFERROR(F23/C23,"")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Electrical</t>
        </is>
      </c>
      <c r="B24" s="44" t="inlineStr">
        <is>
          <t>Wire 4mm</t>
        </is>
      </c>
      <c r="C24" s="69">
        <f>SUMIFS('All Transactions'!I:I,'All Transactions'!E:E,A24,'All Transactions'!F:F,B24)</f>
        <v/>
      </c>
      <c r="D24" s="44" t="inlineStr">
        <is>
          <t>Bundle/Metres</t>
        </is>
      </c>
      <c r="E24" s="70">
        <f>IFERROR(F24/C24,"")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inlineStr">
        <is>
          <t>Electrical</t>
        </is>
      </c>
      <c r="B25" s="42" t="inlineStr">
        <is>
          <t>Wire 2.5mm</t>
        </is>
      </c>
      <c r="C25" s="64">
        <f>SUMIFS('All Transactions'!I:I,'All Transactions'!E:E,A25,'All Transactions'!F:F,B25)</f>
        <v/>
      </c>
      <c r="D25" s="42" t="inlineStr">
        <is>
          <t>Bundle/Metres</t>
        </is>
      </c>
      <c r="E25" s="65">
        <f>IFERROR(F25/C25,"")</f>
        <v/>
      </c>
      <c r="F25" s="66">
        <f>SUMIFS('All Transactions'!L:L,'All Transactions'!E:E,A25,'All Transactions'!F:F,B25)</f>
        <v/>
      </c>
      <c r="G25" s="67">
        <f>F25-H25</f>
        <v/>
      </c>
      <c r="H25" s="66">
        <f>SUMIFS('All Transactions'!O:O,'All Transactions'!E:E,A25,'All Transactions'!F:F,B25)</f>
        <v/>
      </c>
      <c r="I25" s="68">
        <f>IFERROR(H25/H$35,"")</f>
        <v/>
      </c>
    </row>
    <row r="26" ht="15.75" customHeight="1" s="99">
      <c r="A26" s="44" t="inlineStr">
        <is>
          <t>Electrical</t>
        </is>
      </c>
      <c r="B26" s="44" t="inlineStr">
        <is>
          <t>Wire 1.5mm</t>
        </is>
      </c>
      <c r="C26" s="69">
        <f>SUMIFS('All Transactions'!I:I,'All Transactions'!E:E,A26,'All Transactions'!F:F,B26)</f>
        <v/>
      </c>
      <c r="D26" s="44" t="inlineStr">
        <is>
          <t>Bundle/Metres</t>
        </is>
      </c>
      <c r="E26" s="70">
        <f>IFERROR(F26/C26,"")</f>
        <v/>
      </c>
      <c r="F26" s="71">
        <f>SUMIFS('All Transactions'!L:L,'All Transactions'!E:E,A26,'All Transactions'!F:F,B26)</f>
        <v/>
      </c>
      <c r="G26" s="72">
        <f>F26-H26</f>
        <v/>
      </c>
      <c r="H26" s="71">
        <f>SUMIFS('All Transactions'!O:O,'All Transactions'!E:E,A26,'All Transactions'!F:F,B26)</f>
        <v/>
      </c>
      <c r="I26" s="73">
        <f>IFERROR(H26/H$35,"")</f>
        <v/>
      </c>
    </row>
    <row r="27" ht="15.75" customHeight="1" s="99">
      <c r="A27" s="42" t="inlineStr">
        <is>
          <t>Electrical</t>
        </is>
      </c>
      <c r="B27" s="42" t="inlineStr">
        <is>
          <t>Wire 1mm</t>
        </is>
      </c>
      <c r="C27" s="64">
        <f>SUMIFS('All Transactions'!I:I,'All Transactions'!E:E,A27,'All Transactions'!F:F,B27)</f>
        <v/>
      </c>
      <c r="D27" s="42" t="inlineStr">
        <is>
          <t>Bundle/Metres</t>
        </is>
      </c>
      <c r="E27" s="65">
        <f>IFERROR(F27/C27,"")</f>
        <v/>
      </c>
      <c r="F27" s="66">
        <f>SUMIFS('All Transactions'!L:L,'All Transactions'!E:E,A27,'All Transactions'!F:F,B27)</f>
        <v/>
      </c>
      <c r="G27" s="67">
        <f>F27-H27</f>
        <v/>
      </c>
      <c r="H27" s="66">
        <f>SUMIFS('All Transactions'!O:O,'All Transactions'!E:E,A27,'All Transactions'!F:F,B27)</f>
        <v/>
      </c>
      <c r="I27" s="68">
        <f>IFERROR(H27/H$35,"")</f>
        <v/>
      </c>
    </row>
    <row r="28" ht="15.75" customHeight="1" s="99">
      <c r="A28" s="44" t="inlineStr">
        <is>
          <t>Electrical</t>
        </is>
      </c>
      <c r="B28" s="44" t="inlineStr">
        <is>
          <t>Wire 0.75mm</t>
        </is>
      </c>
      <c r="C28" s="69">
        <f>SUMIFS('All Transactions'!I:I,'All Transactions'!E:E,A28,'All Transactions'!F:F,B28)</f>
        <v/>
      </c>
      <c r="D28" s="44" t="inlineStr">
        <is>
          <t>Bundle/Metres</t>
        </is>
      </c>
      <c r="E28" s="70">
        <f>IFERROR(F28/C28,"")</f>
        <v/>
      </c>
      <c r="F28" s="71">
        <f>SUMIFS('All Transactions'!L:L,'All Transactions'!E:E,A28,'All Transactions'!F:F,B28)</f>
        <v/>
      </c>
      <c r="G28" s="72">
        <f>F28-H28</f>
        <v/>
      </c>
      <c r="H28" s="71">
        <f>SUMIFS('All Transactions'!O:O,'All Transactions'!E:E,A28,'All Transactions'!F:F,B28)</f>
        <v/>
      </c>
      <c r="I28" s="73">
        <f>IFERROR(H28/H$35,"")</f>
        <v/>
      </c>
    </row>
    <row r="29" ht="15.75" customHeight="1" s="99">
      <c r="A29" s="42" t="inlineStr">
        <is>
          <t>Electrical</t>
        </is>
      </c>
      <c r="B29" s="42" t="inlineStr">
        <is>
          <t>Switches/Sockets</t>
        </is>
      </c>
      <c r="C29" s="64">
        <f>SUMIFS('All Transactions'!I:I,'All Transactions'!E:E,A29,'All Transactions'!F:F,B29)</f>
        <v/>
      </c>
      <c r="D29" s="42" t="inlineStr">
        <is>
          <t>Pcs</t>
        </is>
      </c>
      <c r="E29" s="65">
        <f>IFERROR(F29/C29,"")</f>
        <v/>
      </c>
      <c r="F29" s="66">
        <f>SUMIFS('All Transactions'!L:L,'All Transactions'!E:E,A29,'All Transactions'!F:F,B29)</f>
        <v/>
      </c>
      <c r="G29" s="67">
        <f>F29-H29</f>
        <v/>
      </c>
      <c r="H29" s="66">
        <f>SUMIFS('All Transactions'!O:O,'All Transactions'!E:E,A29,'All Transactions'!F:F,B29)</f>
        <v/>
      </c>
      <c r="I29" s="68">
        <f>IFERROR(H29/H$35,"")</f>
        <v/>
      </c>
    </row>
    <row r="30" ht="15.75" customHeight="1" s="99">
      <c r="A30" s="44" t="inlineStr">
        <is>
          <t>Electrical</t>
        </is>
      </c>
      <c r="B30" s="44" t="inlineStr">
        <is>
          <t>MCB/Distribution Board</t>
        </is>
      </c>
      <c r="C30" s="69">
        <f>SUMIFS('All Transactions'!I:I,'All Transactions'!E:E,A30,'All Transactions'!F:F,B30)</f>
        <v/>
      </c>
      <c r="D30" s="44" t="inlineStr">
        <is>
          <t>Pcs</t>
        </is>
      </c>
      <c r="E30" s="70">
        <f>IFERROR(F30/C30,"")</f>
        <v/>
      </c>
      <c r="F30" s="71">
        <f>SUMIFS('All Transactions'!L:L,'All Transactions'!E:E,A30,'All Transactions'!F:F,B30)</f>
        <v/>
      </c>
      <c r="G30" s="72">
        <f>F30-H30</f>
        <v/>
      </c>
      <c r="H30" s="71">
        <f>SUMIFS('All Transactions'!O:O,'All Transactions'!E:E,A30,'All Transactions'!F:F,B30)</f>
        <v/>
      </c>
      <c r="I30" s="73">
        <f>IFERROR(H30/H$35,"")</f>
        <v/>
      </c>
    </row>
    <row r="31" ht="15.75" customHeight="1" s="99">
      <c r="A31" s="42" t="inlineStr">
        <is>
          <t>Electrical</t>
        </is>
      </c>
      <c r="B31" s="42" t="inlineStr">
        <is>
          <t>Conduit Pipe</t>
        </is>
      </c>
      <c r="C31" s="64">
        <f>SUMIFS('All Transactions'!I:I,'All Transactions'!E:E,A31,'All Transactions'!F:F,B31)</f>
        <v/>
      </c>
      <c r="D31" s="42" t="inlineStr">
        <is>
          <t>Pcs</t>
        </is>
      </c>
      <c r="E31" s="65">
        <f>IFERROR(F31/C31,"")</f>
        <v/>
      </c>
      <c r="F31" s="66">
        <f>SUMIFS('All Transactions'!L:L,'All Transactions'!E:E,A31,'All Transactions'!F:F,B31)</f>
        <v/>
      </c>
      <c r="G31" s="67">
        <f>F31-H31</f>
        <v/>
      </c>
      <c r="H31" s="66">
        <f>SUMIFS('All Transactions'!O:O,'All Transactions'!E:E,A31,'All Transactions'!F:F,B31)</f>
        <v/>
      </c>
      <c r="I31" s="68">
        <f>IFERROR(H31/H$35,"")</f>
        <v/>
      </c>
    </row>
    <row r="32" ht="15.75" customHeight="1" s="99">
      <c r="A32" s="44" t="inlineStr">
        <is>
          <t>Electrical</t>
        </is>
      </c>
      <c r="B32" s="44" t="inlineStr">
        <is>
          <t>Fan Hooks/Holders</t>
        </is>
      </c>
      <c r="C32" s="69">
        <f>SUMIFS('All Transactions'!I:I,'All Transactions'!E:E,A32,'All Transactions'!F:F,B32)</f>
        <v/>
      </c>
      <c r="D32" s="44" t="inlineStr">
        <is>
          <t>Pcs</t>
        </is>
      </c>
      <c r="E32" s="70">
        <f>IFERROR(F32/C32,"")</f>
        <v/>
      </c>
      <c r="F32" s="71">
        <f>SUMIFS('All Transactions'!L:L,'All Transactions'!E:E,A32,'All Transactions'!F:F,B32)</f>
        <v/>
      </c>
      <c r="G32" s="72">
        <f>F32-H32</f>
        <v/>
      </c>
      <c r="H32" s="71">
        <f>SUMIFS('All Transactions'!O:O,'All Transactions'!E:E,A32,'All Transactions'!F:F,B32)</f>
        <v/>
      </c>
      <c r="I32" s="73">
        <f>IFERROR(H32/H$35,"")</f>
        <v/>
      </c>
    </row>
    <row r="33" ht="15.75" customHeight="1" s="99">
      <c r="A33" s="42" t="inlineStr">
        <is>
          <t>Electrical</t>
        </is>
      </c>
      <c r="B33" s="42" t="inlineStr">
        <is>
          <t>Boards/Plates</t>
        </is>
      </c>
      <c r="C33" s="64">
        <f>SUMIFS('All Transactions'!I:I,'All Transactions'!E:E,A33,'All Transactions'!F:F,B33)</f>
        <v/>
      </c>
      <c r="D33" s="42" t="inlineStr">
        <is>
          <t>Pcs</t>
        </is>
      </c>
      <c r="E33" s="65">
        <f>IFERROR(F33/C33,"")</f>
        <v/>
      </c>
      <c r="F33" s="66">
        <f>SUMIFS('All Transactions'!L:L,'All Transactions'!E:E,A33,'All Transactions'!F:F,B33)</f>
        <v/>
      </c>
      <c r="G33" s="67">
        <f>F33-H33</f>
        <v/>
      </c>
      <c r="H33" s="66">
        <f>SUMIFS('All Transactions'!O:O,'All Transactions'!E:E,A33,'All Transactions'!F:F,B33)</f>
        <v/>
      </c>
      <c r="I33" s="68">
        <f>IFERROR(H33/H$35,"")</f>
        <v/>
      </c>
    </row>
    <row r="34" ht="15.75" customHeight="1" s="99">
      <c r="A34" s="44" t="inlineStr">
        <is>
          <t>Electrical</t>
        </is>
      </c>
      <c r="B34" s="44" t="inlineStr">
        <is>
          <t>Junction/Bend/Fitting</t>
        </is>
      </c>
      <c r="C34" s="69">
        <f>SUMIFS('All Transactions'!I:I,'All Transactions'!E:E,A34,'All Transactions'!F:F,B34)</f>
        <v/>
      </c>
      <c r="D34" s="44" t="inlineStr">
        <is>
          <t>Pcs</t>
        </is>
      </c>
      <c r="E34" s="70">
        <f>IFERROR(F34/C34,"")</f>
        <v/>
      </c>
      <c r="F34" s="71">
        <f>SUMIFS('All Transactions'!L:L,'All Transactions'!E:E,A34,'All Transactions'!F:F,B34)</f>
        <v/>
      </c>
      <c r="G34" s="72">
        <f>F34-H34</f>
        <v/>
      </c>
      <c r="H34" s="71">
        <f>SUMIFS('All Transactions'!O:O,'All Transactions'!E:E,A34,'All Transactions'!F:F,B34)</f>
        <v/>
      </c>
      <c r="I34" s="73">
        <f>IFERROR(H34/H$35,"")</f>
        <v/>
      </c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2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Steel/Iron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Transport ₹</t>
        </is>
      </c>
      <c r="G4" s="40" t="inlineStr">
        <is>
          <t>Food/Provisions ₹</t>
        </is>
      </c>
      <c r="H4" s="40" t="inlineStr">
        <is>
          <t>Professional Fees ₹</t>
        </is>
      </c>
      <c r="I4" s="40" t="inlineStr">
        <is>
          <t>Land Development ₹</t>
        </is>
      </c>
      <c r="J4" s="40" t="inlineStr">
        <is>
          <t>Miscellaneous ₹</t>
        </is>
      </c>
      <c r="K4" s="40" t="inlineStr">
        <is>
          <t>TOTAL ₹</t>
        </is>
      </c>
    </row>
    <row r="5" ht="15.75" customHeight="1" s="99">
      <c r="A5" s="74" t="inlineStr">
        <is>
          <t>May-2026</t>
        </is>
      </c>
      <c r="B5" s="75">
        <f>SUMIFS('All Transactions'!O:O,'All Transactions'!C:C,A5,'All Transactions'!E:E,"Building Materials")</f>
        <v/>
      </c>
      <c r="C5" s="75">
        <f>SUMIFS('All Transactions'!O:O,'All Transactions'!C:C,A5,'All Transactions'!E:E,"Steel/Iron")</f>
        <v/>
      </c>
      <c r="D5" s="75">
        <f>SUMIFS('All Transactions'!O:O,'All Transactions'!C:C,A5,'All Transactions'!E:E,"Electrical")</f>
        <v/>
      </c>
      <c r="E5" s="75">
        <f>SUMIFS('All Transactions'!O:O,'All Transactions'!C:C,A5,'All Transactions'!E:E,"Labour")</f>
        <v/>
      </c>
      <c r="F5" s="75">
        <f>SUMIFS('All Transactions'!O:O,'All Transactions'!C:C,A5,'All Transactions'!E:E,"Transport")</f>
        <v/>
      </c>
      <c r="G5" s="75">
        <f>SUMIFS('All Transactions'!O:O,'All Transactions'!C:C,A5,'All Transactions'!E:E,"Food/Provisions")</f>
        <v/>
      </c>
      <c r="H5" s="75">
        <f>SUMIFS('All Transactions'!O:O,'All Transactions'!C:C,A5,'All Transactions'!E:E,"Professional Fees")</f>
        <v/>
      </c>
      <c r="I5" s="75">
        <f>SUMIFS('All Transactions'!O:O,'All Transactions'!C:C,A5,'All Transactions'!E:E,"Land Development")</f>
        <v/>
      </c>
      <c r="J5" s="75">
        <f>SUMIFS('All Transactions'!O:O,'All Transactions'!C:C,A5,'All Transactions'!E:E,"Miscellaneous")</f>
        <v/>
      </c>
      <c r="K5" s="76">
        <f>SUM(B5:J5)</f>
        <v/>
      </c>
    </row>
    <row r="6" ht="15.75" customHeight="1" s="99">
      <c r="A6" s="77" t="inlineStr">
        <is>
          <t>Jun-2026</t>
        </is>
      </c>
      <c r="B6" s="78">
        <f>SUMIFS('All Transactions'!O:O,'All Transactions'!C:C,A6,'All Transactions'!E:E,"Building Materials")</f>
        <v/>
      </c>
      <c r="C6" s="78">
        <f>SUMIFS('All Transactions'!O:O,'All Transactions'!C:C,A6,'All Transactions'!E:E,"Steel/Iron")</f>
        <v/>
      </c>
      <c r="D6" s="78">
        <f>SUMIFS('All Transactions'!O:O,'All Transactions'!C:C,A6,'All Transactions'!E:E,"Electrical")</f>
        <v/>
      </c>
      <c r="E6" s="78">
        <f>SUMIFS('All Transactions'!O:O,'All Transactions'!C:C,A6,'All Transactions'!E:E,"Labour")</f>
        <v/>
      </c>
      <c r="F6" s="78">
        <f>SUMIFS('All Transactions'!O:O,'All Transactions'!C:C,A6,'All Transactions'!E:E,"Transport")</f>
        <v/>
      </c>
      <c r="G6" s="78">
        <f>SUMIFS('All Transactions'!O:O,'All Transactions'!C:C,A6,'All Transactions'!E:E,"Food/Provisions")</f>
        <v/>
      </c>
      <c r="H6" s="78">
        <f>SUMIFS('All Transactions'!O:O,'All Transactions'!C:C,A6,'All Transactions'!E:E,"Professional Fees")</f>
        <v/>
      </c>
      <c r="I6" s="78">
        <f>SUMIFS('All Transactions'!O:O,'All Transactions'!C:C,A6,'All Transactions'!E:E,"Land Development")</f>
        <v/>
      </c>
      <c r="J6" s="78">
        <f>SUMIFS('All Transactions'!O:O,'All Transactions'!C:C,A6,'All Transactions'!E:E,"Miscellaneous")</f>
        <v/>
      </c>
      <c r="K6" s="79">
        <f>SUM(B6:J6)</f>
        <v/>
      </c>
    </row>
    <row r="7" ht="15.75" customHeight="1" s="99">
      <c r="A7" s="74" t="inlineStr">
        <is>
          <t>Jul-2026</t>
        </is>
      </c>
      <c r="B7" s="75">
        <f>SUMIFS('All Transactions'!O:O,'All Transactions'!C:C,A7,'All Transactions'!E:E,"Building Materials")</f>
        <v/>
      </c>
      <c r="C7" s="75">
        <f>SUMIFS('All Transactions'!O:O,'All Transactions'!C:C,A7,'All Transactions'!E:E,"Steel/Iron")</f>
        <v/>
      </c>
      <c r="D7" s="75">
        <f>SUMIFS('All Transactions'!O:O,'All Transactions'!C:C,A7,'All Transactions'!E:E,"Electrical")</f>
        <v/>
      </c>
      <c r="E7" s="75">
        <f>SUMIFS('All Transactions'!O:O,'All Transactions'!C:C,A7,'All Transactions'!E:E,"Labour")</f>
        <v/>
      </c>
      <c r="F7" s="75">
        <f>SUMIFS('All Transactions'!O:O,'All Transactions'!C:C,A7,'All Transactions'!E:E,"Transport")</f>
        <v/>
      </c>
      <c r="G7" s="75">
        <f>SUMIFS('All Transactions'!O:O,'All Transactions'!C:C,A7,'All Transactions'!E:E,"Food/Provisions")</f>
        <v/>
      </c>
      <c r="H7" s="75">
        <f>SUMIFS('All Transactions'!O:O,'All Transactions'!C:C,A7,'All Transactions'!E:E,"Professional Fees")</f>
        <v/>
      </c>
      <c r="I7" s="75">
        <f>SUMIFS('All Transactions'!O:O,'All Transactions'!C:C,A7,'All Transactions'!E:E,"Land Development")</f>
        <v/>
      </c>
      <c r="J7" s="75">
        <f>SUMIFS('All Transactions'!O:O,'All Transactions'!C:C,A7,'All Transactions'!E:E,"Miscellaneous")</f>
        <v/>
      </c>
      <c r="K7" s="76">
        <f>SUM(B7:J7)</f>
        <v/>
      </c>
    </row>
    <row r="8" ht="15.75" customHeight="1" s="99">
      <c r="A8" s="77" t="inlineStr">
        <is>
          <t>Aug-2026</t>
        </is>
      </c>
      <c r="B8" s="78">
        <f>SUMIFS('All Transactions'!O:O,'All Transactions'!C:C,A8,'All Transactions'!E:E,"Building Materials")</f>
        <v/>
      </c>
      <c r="C8" s="78">
        <f>SUMIFS('All Transactions'!O:O,'All Transactions'!C:C,A8,'All Transactions'!E:E,"Steel/Iron")</f>
        <v/>
      </c>
      <c r="D8" s="78">
        <f>SUMIFS('All Transactions'!O:O,'All Transactions'!C:C,A8,'All Transactions'!E:E,"Electrical")</f>
        <v/>
      </c>
      <c r="E8" s="78">
        <f>SUMIFS('All Transactions'!O:O,'All Transactions'!C:C,A8,'All Transactions'!E:E,"Labour")</f>
        <v/>
      </c>
      <c r="F8" s="78">
        <f>SUMIFS('All Transactions'!O:O,'All Transactions'!C:C,A8,'All Transactions'!E:E,"Transport")</f>
        <v/>
      </c>
      <c r="G8" s="78">
        <f>SUMIFS('All Transactions'!O:O,'All Transactions'!C:C,A8,'All Transactions'!E:E,"Food/Provisions")</f>
        <v/>
      </c>
      <c r="H8" s="78">
        <f>SUMIFS('All Transactions'!O:O,'All Transactions'!C:C,A8,'All Transactions'!E:E,"Professional Fees")</f>
        <v/>
      </c>
      <c r="I8" s="78">
        <f>SUMIFS('All Transactions'!O:O,'All Transactions'!C:C,A8,'All Transactions'!E:E,"Land Development")</f>
        <v/>
      </c>
      <c r="J8" s="78">
        <f>SUMIFS('All Transactions'!O:O,'All Transactions'!C:C,A8,'All Transactions'!E:E,"Miscellaneous")</f>
        <v/>
      </c>
      <c r="K8" s="79">
        <f>SUM(B8:J8)</f>
        <v/>
      </c>
    </row>
    <row r="9" ht="15.75" customHeight="1" s="99">
      <c r="A9" s="74" t="inlineStr">
        <is>
          <t>Sep-2026</t>
        </is>
      </c>
      <c r="B9" s="75">
        <f>SUMIFS('All Transactions'!O:O,'All Transactions'!C:C,A9,'All Transactions'!E:E,"Building Materials")</f>
        <v/>
      </c>
      <c r="C9" s="75">
        <f>SUMIFS('All Transactions'!O:O,'All Transactions'!C:C,A9,'All Transactions'!E:E,"Steel/Iron")</f>
        <v/>
      </c>
      <c r="D9" s="75">
        <f>SUMIFS('All Transactions'!O:O,'All Transactions'!C:C,A9,'All Transactions'!E:E,"Electrical")</f>
        <v/>
      </c>
      <c r="E9" s="75">
        <f>SUMIFS('All Transactions'!O:O,'All Transactions'!C:C,A9,'All Transactions'!E:E,"Labour")</f>
        <v/>
      </c>
      <c r="F9" s="75">
        <f>SUMIFS('All Transactions'!O:O,'All Transactions'!C:C,A9,'All Transactions'!E:E,"Transport")</f>
        <v/>
      </c>
      <c r="G9" s="75">
        <f>SUMIFS('All Transactions'!O:O,'All Transactions'!C:C,A9,'All Transactions'!E:E,"Food/Provisions")</f>
        <v/>
      </c>
      <c r="H9" s="75">
        <f>SUMIFS('All Transactions'!O:O,'All Transactions'!C:C,A9,'All Transactions'!E:E,"Professional Fees")</f>
        <v/>
      </c>
      <c r="I9" s="75">
        <f>SUMIFS('All Transactions'!O:O,'All Transactions'!C:C,A9,'All Transactions'!E:E,"Land Development")</f>
        <v/>
      </c>
      <c r="J9" s="75">
        <f>SUMIFS('All Transactions'!O:O,'All Transactions'!C:C,A9,'All Transactions'!E:E,"Miscellaneous")</f>
        <v/>
      </c>
      <c r="K9" s="76">
        <f>SUM(B9:J9)</f>
        <v/>
      </c>
    </row>
    <row r="10" ht="15.75" customHeight="1" s="99">
      <c r="A10" s="77" t="inlineStr">
        <is>
          <t>Oct-2026</t>
        </is>
      </c>
      <c r="B10" s="78">
        <f>SUMIFS('All Transactions'!O:O,'All Transactions'!C:C,A10,'All Transactions'!E:E,"Building Materials")</f>
        <v/>
      </c>
      <c r="C10" s="78">
        <f>SUMIFS('All Transactions'!O:O,'All Transactions'!C:C,A10,'All Transactions'!E:E,"Steel/Iron")</f>
        <v/>
      </c>
      <c r="D10" s="78">
        <f>SUMIFS('All Transactions'!O:O,'All Transactions'!C:C,A10,'All Transactions'!E:E,"Electrical")</f>
        <v/>
      </c>
      <c r="E10" s="78">
        <f>SUMIFS('All Transactions'!O:O,'All Transactions'!C:C,A10,'All Transactions'!E:E,"Labour")</f>
        <v/>
      </c>
      <c r="F10" s="78">
        <f>SUMIFS('All Transactions'!O:O,'All Transactions'!C:C,A10,'All Transactions'!E:E,"Transport")</f>
        <v/>
      </c>
      <c r="G10" s="78">
        <f>SUMIFS('All Transactions'!O:O,'All Transactions'!C:C,A10,'All Transactions'!E:E,"Food/Provisions")</f>
        <v/>
      </c>
      <c r="H10" s="78">
        <f>SUMIFS('All Transactions'!O:O,'All Transactions'!C:C,A10,'All Transactions'!E:E,"Professional Fees")</f>
        <v/>
      </c>
      <c r="I10" s="78">
        <f>SUMIFS('All Transactions'!O:O,'All Transactions'!C:C,A10,'All Transactions'!E:E,"Land Development")</f>
        <v/>
      </c>
      <c r="J10" s="78">
        <f>SUMIFS('All Transactions'!O:O,'All Transactions'!C:C,A10,'All Transactions'!E:E,"Miscellaneous")</f>
        <v/>
      </c>
      <c r="K10" s="79">
        <f>SUM(B10:J10)</f>
        <v/>
      </c>
    </row>
    <row r="11" ht="15.75" customHeight="1" s="99">
      <c r="A11" s="74" t="inlineStr">
        <is>
          <t>Nov-2026</t>
        </is>
      </c>
      <c r="B11" s="75">
        <f>SUMIFS('All Transactions'!O:O,'All Transactions'!C:C,A11,'All Transactions'!E:E,"Building Materials")</f>
        <v/>
      </c>
      <c r="C11" s="75">
        <f>SUMIFS('All Transactions'!O:O,'All Transactions'!C:C,A11,'All Transactions'!E:E,"Steel/Iron")</f>
        <v/>
      </c>
      <c r="D11" s="75">
        <f>SUMIFS('All Transactions'!O:O,'All Transactions'!C:C,A11,'All Transactions'!E:E,"Electrical")</f>
        <v/>
      </c>
      <c r="E11" s="75">
        <f>SUMIFS('All Transactions'!O:O,'All Transactions'!C:C,A11,'All Transactions'!E:E,"Labour")</f>
        <v/>
      </c>
      <c r="F11" s="75">
        <f>SUMIFS('All Transactions'!O:O,'All Transactions'!C:C,A11,'All Transactions'!E:E,"Transport")</f>
        <v/>
      </c>
      <c r="G11" s="75">
        <f>SUMIFS('All Transactions'!O:O,'All Transactions'!C:C,A11,'All Transactions'!E:E,"Food/Provisions")</f>
        <v/>
      </c>
      <c r="H11" s="75">
        <f>SUMIFS('All Transactions'!O:O,'All Transactions'!C:C,A11,'All Transactions'!E:E,"Professional Fees")</f>
        <v/>
      </c>
      <c r="I11" s="75">
        <f>SUMIFS('All Transactions'!O:O,'All Transactions'!C:C,A11,'All Transactions'!E:E,"Land Development")</f>
        <v/>
      </c>
      <c r="J11" s="75">
        <f>SUMIFS('All Transactions'!O:O,'All Transactions'!C:C,A11,'All Transactions'!E:E,"Miscellaneous")</f>
        <v/>
      </c>
      <c r="K11" s="76">
        <f>SUM(B11:J11)</f>
        <v/>
      </c>
    </row>
    <row r="12" ht="15.75" customHeight="1" s="99">
      <c r="A12" s="77" t="inlineStr">
        <is>
          <t>Dec-2026</t>
        </is>
      </c>
      <c r="B12" s="78">
        <f>SUMIFS('All Transactions'!O:O,'All Transactions'!C:C,A12,'All Transactions'!E:E,"Building Materials")</f>
        <v/>
      </c>
      <c r="C12" s="78">
        <f>SUMIFS('All Transactions'!O:O,'All Transactions'!C:C,A12,'All Transactions'!E:E,"Steel/Iron")</f>
        <v/>
      </c>
      <c r="D12" s="78">
        <f>SUMIFS('All Transactions'!O:O,'All Transactions'!C:C,A12,'All Transactions'!E:E,"Electrical")</f>
        <v/>
      </c>
      <c r="E12" s="78">
        <f>SUMIFS('All Transactions'!O:O,'All Transactions'!C:C,A12,'All Transactions'!E:E,"Labour")</f>
        <v/>
      </c>
      <c r="F12" s="78">
        <f>SUMIFS('All Transactions'!O:O,'All Transactions'!C:C,A12,'All Transactions'!E:E,"Transport")</f>
        <v/>
      </c>
      <c r="G12" s="78">
        <f>SUMIFS('All Transactions'!O:O,'All Transactions'!C:C,A12,'All Transactions'!E:E,"Food/Provisions")</f>
        <v/>
      </c>
      <c r="H12" s="78">
        <f>SUMIFS('All Transactions'!O:O,'All Transactions'!C:C,A12,'All Transactions'!E:E,"Professional Fees")</f>
        <v/>
      </c>
      <c r="I12" s="78">
        <f>SUMIFS('All Transactions'!O:O,'All Transactions'!C:C,A12,'All Transactions'!E:E,"Land Development")</f>
        <v/>
      </c>
      <c r="J12" s="78">
        <f>SUMIFS('All Transactions'!O:O,'All Transactions'!C:C,A12,'All Transactions'!E:E,"Miscellaneous")</f>
        <v/>
      </c>
      <c r="K12" s="79">
        <f>SUM(B12:J12)</f>
        <v/>
      </c>
    </row>
    <row r="13" ht="15.75" customHeight="1" s="99">
      <c r="A13" s="74" t="inlineStr">
        <is>
          <t>Jan-2027</t>
        </is>
      </c>
      <c r="B13" s="75">
        <f>SUMIFS('All Transactions'!O:O,'All Transactions'!C:C,A13,'All Transactions'!E:E,"Building Materials")</f>
        <v/>
      </c>
      <c r="C13" s="75">
        <f>SUMIFS('All Transactions'!O:O,'All Transactions'!C:C,A13,'All Transactions'!E:E,"Steel/Iron")</f>
        <v/>
      </c>
      <c r="D13" s="75">
        <f>SUMIFS('All Transactions'!O:O,'All Transactions'!C:C,A13,'All Transactions'!E:E,"Electrical")</f>
        <v/>
      </c>
      <c r="E13" s="75">
        <f>SUMIFS('All Transactions'!O:O,'All Transactions'!C:C,A13,'All Transactions'!E:E,"Labour")</f>
        <v/>
      </c>
      <c r="F13" s="75">
        <f>SUMIFS('All Transactions'!O:O,'All Transactions'!C:C,A13,'All Transactions'!E:E,"Transport")</f>
        <v/>
      </c>
      <c r="G13" s="75">
        <f>SUMIFS('All Transactions'!O:O,'All Transactions'!C:C,A13,'All Transactions'!E:E,"Food/Provisions")</f>
        <v/>
      </c>
      <c r="H13" s="75">
        <f>SUMIFS('All Transactions'!O:O,'All Transactions'!C:C,A13,'All Transactions'!E:E,"Professional Fees")</f>
        <v/>
      </c>
      <c r="I13" s="75">
        <f>SUMIFS('All Transactions'!O:O,'All Transactions'!C:C,A13,'All Transactions'!E:E,"Land Development")</f>
        <v/>
      </c>
      <c r="J13" s="75">
        <f>SUMIFS('All Transactions'!O:O,'All Transactions'!C:C,A13,'All Transactions'!E:E,"Miscellaneous")</f>
        <v/>
      </c>
      <c r="K13" s="76">
        <f>SUM(B13:J13)</f>
        <v/>
      </c>
    </row>
    <row r="14" ht="15.75" customHeight="1" s="99">
      <c r="A14" s="77" t="inlineStr">
        <is>
          <t>Feb-2027</t>
        </is>
      </c>
      <c r="B14" s="78">
        <f>SUMIFS('All Transactions'!O:O,'All Transactions'!C:C,A14,'All Transactions'!E:E,"Building Materials")</f>
        <v/>
      </c>
      <c r="C14" s="78">
        <f>SUMIFS('All Transactions'!O:O,'All Transactions'!C:C,A14,'All Transactions'!E:E,"Steel/Iron")</f>
        <v/>
      </c>
      <c r="D14" s="78">
        <f>SUMIFS('All Transactions'!O:O,'All Transactions'!C:C,A14,'All Transactions'!E:E,"Electrical")</f>
        <v/>
      </c>
      <c r="E14" s="78">
        <f>SUMIFS('All Transactions'!O:O,'All Transactions'!C:C,A14,'All Transactions'!E:E,"Labour")</f>
        <v/>
      </c>
      <c r="F14" s="78">
        <f>SUMIFS('All Transactions'!O:O,'All Transactions'!C:C,A14,'All Transactions'!E:E,"Transport")</f>
        <v/>
      </c>
      <c r="G14" s="78">
        <f>SUMIFS('All Transactions'!O:O,'All Transactions'!C:C,A14,'All Transactions'!E:E,"Food/Provisions")</f>
        <v/>
      </c>
      <c r="H14" s="78">
        <f>SUMIFS('All Transactions'!O:O,'All Transactions'!C:C,A14,'All Transactions'!E:E,"Professional Fees")</f>
        <v/>
      </c>
      <c r="I14" s="78">
        <f>SUMIFS('All Transactions'!O:O,'All Transactions'!C:C,A14,'All Transactions'!E:E,"Land Development")</f>
        <v/>
      </c>
      <c r="J14" s="78">
        <f>SUMIFS('All Transactions'!O:O,'All Transactions'!C:C,A14,'All Transactions'!E:E,"Miscellaneous")</f>
        <v/>
      </c>
      <c r="K14" s="79">
        <f>SUM(B14:J14)</f>
        <v/>
      </c>
    </row>
    <row r="15" ht="15.75" customHeight="1" s="99">
      <c r="A15" s="74" t="inlineStr">
        <is>
          <t>Mar-2027</t>
        </is>
      </c>
      <c r="B15" s="75">
        <f>SUMIFS('All Transactions'!O:O,'All Transactions'!C:C,A15,'All Transactions'!E:E,"Building Materials")</f>
        <v/>
      </c>
      <c r="C15" s="75">
        <f>SUMIFS('All Transactions'!O:O,'All Transactions'!C:C,A15,'All Transactions'!E:E,"Steel/Iron")</f>
        <v/>
      </c>
      <c r="D15" s="75">
        <f>SUMIFS('All Transactions'!O:O,'All Transactions'!C:C,A15,'All Transactions'!E:E,"Electrical")</f>
        <v/>
      </c>
      <c r="E15" s="75">
        <f>SUMIFS('All Transactions'!O:O,'All Transactions'!C:C,A15,'All Transactions'!E:E,"Labour")</f>
        <v/>
      </c>
      <c r="F15" s="75">
        <f>SUMIFS('All Transactions'!O:O,'All Transactions'!C:C,A15,'All Transactions'!E:E,"Transport")</f>
        <v/>
      </c>
      <c r="G15" s="75">
        <f>SUMIFS('All Transactions'!O:O,'All Transactions'!C:C,A15,'All Transactions'!E:E,"Food/Provisions")</f>
        <v/>
      </c>
      <c r="H15" s="75">
        <f>SUMIFS('All Transactions'!O:O,'All Transactions'!C:C,A15,'All Transactions'!E:E,"Professional Fees")</f>
        <v/>
      </c>
      <c r="I15" s="75">
        <f>SUMIFS('All Transactions'!O:O,'All Transactions'!C:C,A15,'All Transactions'!E:E,"Land Development")</f>
        <v/>
      </c>
      <c r="J15" s="75">
        <f>SUMIFS('All Transactions'!O:O,'All Transactions'!C:C,A15,'All Transactions'!E:E,"Miscellaneous")</f>
        <v/>
      </c>
      <c r="K15" s="76">
        <f>SUM(B15:J15)</f>
        <v/>
      </c>
    </row>
    <row r="16" ht="15.75" customHeight="1" s="99">
      <c r="A16" s="77" t="inlineStr">
        <is>
          <t>Apr-2027</t>
        </is>
      </c>
      <c r="B16" s="78">
        <f>SUMIFS('All Transactions'!O:O,'All Transactions'!C:C,A16,'All Transactions'!E:E,"Building Materials")</f>
        <v/>
      </c>
      <c r="C16" s="78">
        <f>SUMIFS('All Transactions'!O:O,'All Transactions'!C:C,A16,'All Transactions'!E:E,"Steel/Iron")</f>
        <v/>
      </c>
      <c r="D16" s="78">
        <f>SUMIFS('All Transactions'!O:O,'All Transactions'!C:C,A16,'All Transactions'!E:E,"Electrical")</f>
        <v/>
      </c>
      <c r="E16" s="78">
        <f>SUMIFS('All Transactions'!O:O,'All Transactions'!C:C,A16,'All Transactions'!E:E,"Labour")</f>
        <v/>
      </c>
      <c r="F16" s="78">
        <f>SUMIFS('All Transactions'!O:O,'All Transactions'!C:C,A16,'All Transactions'!E:E,"Transport")</f>
        <v/>
      </c>
      <c r="G16" s="78">
        <f>SUMIFS('All Transactions'!O:O,'All Transactions'!C:C,A16,'All Transactions'!E:E,"Food/Provisions")</f>
        <v/>
      </c>
      <c r="H16" s="78">
        <f>SUMIFS('All Transactions'!O:O,'All Transactions'!C:C,A16,'All Transactions'!E:E,"Professional Fees")</f>
        <v/>
      </c>
      <c r="I16" s="78">
        <f>SUMIFS('All Transactions'!O:O,'All Transactions'!C:C,A16,'All Transactions'!E:E,"Land Development")</f>
        <v/>
      </c>
      <c r="J16" s="78">
        <f>SUMIFS('All Transactions'!O:O,'All Transactions'!C:C,A16,'All Transactions'!E:E,"Miscellaneous")</f>
        <v/>
      </c>
      <c r="K16" s="79">
        <f>SUM(B16:J16)</f>
        <v/>
      </c>
    </row>
    <row r="17" ht="15.75" customHeight="1" s="99">
      <c r="A17" s="74" t="inlineStr">
        <is>
          <t>May-2027</t>
        </is>
      </c>
      <c r="B17" s="75">
        <f>SUMIFS('All Transactions'!O:O,'All Transactions'!C:C,A17,'All Transactions'!E:E,"Building Materials")</f>
        <v/>
      </c>
      <c r="C17" s="75">
        <f>SUMIFS('All Transactions'!O:O,'All Transactions'!C:C,A17,'All Transactions'!E:E,"Steel/Iron")</f>
        <v/>
      </c>
      <c r="D17" s="75">
        <f>SUMIFS('All Transactions'!O:O,'All Transactions'!C:C,A17,'All Transactions'!E:E,"Electrical")</f>
        <v/>
      </c>
      <c r="E17" s="75">
        <f>SUMIFS('All Transactions'!O:O,'All Transactions'!C:C,A17,'All Transactions'!E:E,"Labour")</f>
        <v/>
      </c>
      <c r="F17" s="75">
        <f>SUMIFS('All Transactions'!O:O,'All Transactions'!C:C,A17,'All Transactions'!E:E,"Transport")</f>
        <v/>
      </c>
      <c r="G17" s="75">
        <f>SUMIFS('All Transactions'!O:O,'All Transactions'!C:C,A17,'All Transactions'!E:E,"Food/Provisions")</f>
        <v/>
      </c>
      <c r="H17" s="75">
        <f>SUMIFS('All Transactions'!O:O,'All Transactions'!C:C,A17,'All Transactions'!E:E,"Professional Fees")</f>
        <v/>
      </c>
      <c r="I17" s="75">
        <f>SUMIFS('All Transactions'!O:O,'All Transactions'!C:C,A17,'All Transactions'!E:E,"Land Development")</f>
        <v/>
      </c>
      <c r="J17" s="75">
        <f>SUMIFS('All Transactions'!O:O,'All Transactions'!C:C,A17,'All Transactions'!E:E,"Miscellaneous")</f>
        <v/>
      </c>
      <c r="K17" s="76">
        <f>SUM(B17:J17)</f>
        <v/>
      </c>
    </row>
    <row r="18" ht="15.75" customHeight="1" s="99">
      <c r="A18" s="77" t="inlineStr">
        <is>
          <t>Jun-2027</t>
        </is>
      </c>
      <c r="B18" s="78">
        <f>SUMIFS('All Transactions'!O:O,'All Transactions'!C:C,A18,'All Transactions'!E:E,"Building Materials")</f>
        <v/>
      </c>
      <c r="C18" s="78">
        <f>SUMIFS('All Transactions'!O:O,'All Transactions'!C:C,A18,'All Transactions'!E:E,"Steel/Iron")</f>
        <v/>
      </c>
      <c r="D18" s="78">
        <f>SUMIFS('All Transactions'!O:O,'All Transactions'!C:C,A18,'All Transactions'!E:E,"Electrical")</f>
        <v/>
      </c>
      <c r="E18" s="78">
        <f>SUMIFS('All Transactions'!O:O,'All Transactions'!C:C,A18,'All Transactions'!E:E,"Labour")</f>
        <v/>
      </c>
      <c r="F18" s="78">
        <f>SUMIFS('All Transactions'!O:O,'All Transactions'!C:C,A18,'All Transactions'!E:E,"Transport")</f>
        <v/>
      </c>
      <c r="G18" s="78">
        <f>SUMIFS('All Transactions'!O:O,'All Transactions'!C:C,A18,'All Transactions'!E:E,"Food/Provisions")</f>
        <v/>
      </c>
      <c r="H18" s="78">
        <f>SUMIFS('All Transactions'!O:O,'All Transactions'!C:C,A18,'All Transactions'!E:E,"Professional Fees")</f>
        <v/>
      </c>
      <c r="I18" s="78">
        <f>SUMIFS('All Transactions'!O:O,'All Transactions'!C:C,A18,'All Transactions'!E:E,"Land Development")</f>
        <v/>
      </c>
      <c r="J18" s="78">
        <f>SUMIFS('All Transactions'!O:O,'All Transactions'!C:C,A18,'All Transactions'!E:E,"Miscellaneous")</f>
        <v/>
      </c>
      <c r="K18" s="79">
        <f>SUM(B18:J18)</f>
        <v/>
      </c>
    </row>
    <row r="19" ht="15.75" customHeight="1" s="99">
      <c r="A19" s="74" t="inlineStr">
        <is>
          <t>Jul-2027</t>
        </is>
      </c>
      <c r="B19" s="75">
        <f>SUMIFS('All Transactions'!O:O,'All Transactions'!C:C,A19,'All Transactions'!E:E,"Building Materials")</f>
        <v/>
      </c>
      <c r="C19" s="75">
        <f>SUMIFS('All Transactions'!O:O,'All Transactions'!C:C,A19,'All Transactions'!E:E,"Steel/Iron")</f>
        <v/>
      </c>
      <c r="D19" s="75">
        <f>SUMIFS('All Transactions'!O:O,'All Transactions'!C:C,A19,'All Transactions'!E:E,"Electrical")</f>
        <v/>
      </c>
      <c r="E19" s="75">
        <f>SUMIFS('All Transactions'!O:O,'All Transactions'!C:C,A19,'All Transactions'!E:E,"Labour")</f>
        <v/>
      </c>
      <c r="F19" s="75">
        <f>SUMIFS('All Transactions'!O:O,'All Transactions'!C:C,A19,'All Transactions'!E:E,"Transport")</f>
        <v/>
      </c>
      <c r="G19" s="75">
        <f>SUMIFS('All Transactions'!O:O,'All Transactions'!C:C,A19,'All Transactions'!E:E,"Food/Provisions")</f>
        <v/>
      </c>
      <c r="H19" s="75">
        <f>SUMIFS('All Transactions'!O:O,'All Transactions'!C:C,A19,'All Transactions'!E:E,"Professional Fees")</f>
        <v/>
      </c>
      <c r="I19" s="75">
        <f>SUMIFS('All Transactions'!O:O,'All Transactions'!C:C,A19,'All Transactions'!E:E,"Land Development")</f>
        <v/>
      </c>
      <c r="J19" s="75">
        <f>SUMIFS('All Transactions'!O:O,'All Transactions'!C:C,A19,'All Transactions'!E:E,"Miscellaneous")</f>
        <v/>
      </c>
      <c r="K19" s="76">
        <f>SUM(B19:J19)</f>
        <v/>
      </c>
    </row>
    <row r="20" ht="15.75" customHeight="1" s="99">
      <c r="A20" s="77" t="inlineStr">
        <is>
          <t>Aug-2027</t>
        </is>
      </c>
      <c r="B20" s="78">
        <f>SUMIFS('All Transactions'!O:O,'All Transactions'!C:C,A20,'All Transactions'!E:E,"Building Materials")</f>
        <v/>
      </c>
      <c r="C20" s="78">
        <f>SUMIFS('All Transactions'!O:O,'All Transactions'!C:C,A20,'All Transactions'!E:E,"Steel/Iron")</f>
        <v/>
      </c>
      <c r="D20" s="78">
        <f>SUMIFS('All Transactions'!O:O,'All Transactions'!C:C,A20,'All Transactions'!E:E,"Electrical")</f>
        <v/>
      </c>
      <c r="E20" s="78">
        <f>SUMIFS('All Transactions'!O:O,'All Transactions'!C:C,A20,'All Transactions'!E:E,"Labour")</f>
        <v/>
      </c>
      <c r="F20" s="78">
        <f>SUMIFS('All Transactions'!O:O,'All Transactions'!C:C,A20,'All Transactions'!E:E,"Transport")</f>
        <v/>
      </c>
      <c r="G20" s="78">
        <f>SUMIFS('All Transactions'!O:O,'All Transactions'!C:C,A20,'All Transactions'!E:E,"Food/Provisions")</f>
        <v/>
      </c>
      <c r="H20" s="78">
        <f>SUMIFS('All Transactions'!O:O,'All Transactions'!C:C,A20,'All Transactions'!E:E,"Professional Fees")</f>
        <v/>
      </c>
      <c r="I20" s="78">
        <f>SUMIFS('All Transactions'!O:O,'All Transactions'!C:C,A20,'All Transactions'!E:E,"Land Development")</f>
        <v/>
      </c>
      <c r="J20" s="78">
        <f>SUMIFS('All Transactions'!O:O,'All Transactions'!C:C,A20,'All Transactions'!E:E,"Miscellaneous")</f>
        <v/>
      </c>
      <c r="K20" s="79">
        <f>SUM(B20:J20)</f>
        <v/>
      </c>
    </row>
    <row r="21" ht="15.75" customHeight="1" s="99">
      <c r="A21" s="74" t="inlineStr">
        <is>
          <t>Sep-2027</t>
        </is>
      </c>
      <c r="B21" s="75">
        <f>SUMIFS('All Transactions'!O:O,'All Transactions'!C:C,A21,'All Transactions'!E:E,"Building Materials")</f>
        <v/>
      </c>
      <c r="C21" s="75">
        <f>SUMIFS('All Transactions'!O:O,'All Transactions'!C:C,A21,'All Transactions'!E:E,"Steel/Iron")</f>
        <v/>
      </c>
      <c r="D21" s="75">
        <f>SUMIFS('All Transactions'!O:O,'All Transactions'!C:C,A21,'All Transactions'!E:E,"Electrical")</f>
        <v/>
      </c>
      <c r="E21" s="75">
        <f>SUMIFS('All Transactions'!O:O,'All Transactions'!C:C,A21,'All Transactions'!E:E,"Labour")</f>
        <v/>
      </c>
      <c r="F21" s="75">
        <f>SUMIFS('All Transactions'!O:O,'All Transactions'!C:C,A21,'All Transactions'!E:E,"Transport")</f>
        <v/>
      </c>
      <c r="G21" s="75">
        <f>SUMIFS('All Transactions'!O:O,'All Transactions'!C:C,A21,'All Transactions'!E:E,"Food/Provisions")</f>
        <v/>
      </c>
      <c r="H21" s="75">
        <f>SUMIFS('All Transactions'!O:O,'All Transactions'!C:C,A21,'All Transactions'!E:E,"Professional Fees")</f>
        <v/>
      </c>
      <c r="I21" s="75">
        <f>SUMIFS('All Transactions'!O:O,'All Transactions'!C:C,A21,'All Transactions'!E:E,"Land Development")</f>
        <v/>
      </c>
      <c r="J21" s="75">
        <f>SUMIFS('All Transactions'!O:O,'All Transactions'!C:C,A21,'All Transactions'!E:E,"Miscellaneous")</f>
        <v/>
      </c>
      <c r="K21" s="76">
        <f>SUM(B21:J21)</f>
        <v/>
      </c>
    </row>
    <row r="22" ht="15.75" customHeight="1" s="99">
      <c r="A22" s="77" t="inlineStr">
        <is>
          <t>Oct-2027</t>
        </is>
      </c>
      <c r="B22" s="78">
        <f>SUMIFS('All Transactions'!O:O,'All Transactions'!C:C,A22,'All Transactions'!E:E,"Building Materials")</f>
        <v/>
      </c>
      <c r="C22" s="78">
        <f>SUMIFS('All Transactions'!O:O,'All Transactions'!C:C,A22,'All Transactions'!E:E,"Steel/Iron")</f>
        <v/>
      </c>
      <c r="D22" s="78">
        <f>SUMIFS('All Transactions'!O:O,'All Transactions'!C:C,A22,'All Transactions'!E:E,"Electrical")</f>
        <v/>
      </c>
      <c r="E22" s="78">
        <f>SUMIFS('All Transactions'!O:O,'All Transactions'!C:C,A22,'All Transactions'!E:E,"Labour")</f>
        <v/>
      </c>
      <c r="F22" s="78">
        <f>SUMIFS('All Transactions'!O:O,'All Transactions'!C:C,A22,'All Transactions'!E:E,"Transport")</f>
        <v/>
      </c>
      <c r="G22" s="78">
        <f>SUMIFS('All Transactions'!O:O,'All Transactions'!C:C,A22,'All Transactions'!E:E,"Food/Provisions")</f>
        <v/>
      </c>
      <c r="H22" s="78">
        <f>SUMIFS('All Transactions'!O:O,'All Transactions'!C:C,A22,'All Transactions'!E:E,"Professional Fees")</f>
        <v/>
      </c>
      <c r="I22" s="78">
        <f>SUMIFS('All Transactions'!O:O,'All Transactions'!C:C,A22,'All Transactions'!E:E,"Land Development")</f>
        <v/>
      </c>
      <c r="J22" s="78">
        <f>SUMIFS('All Transactions'!O:O,'All Transactions'!C:C,A22,'All Transactions'!E:E,"Miscellaneous")</f>
        <v/>
      </c>
      <c r="K22" s="79">
        <f>SUM(B22:J22)</f>
        <v/>
      </c>
    </row>
    <row r="23" ht="15.75" customHeight="1" s="99">
      <c r="A23" s="74" t="inlineStr">
        <is>
          <t>Nov-2027</t>
        </is>
      </c>
      <c r="B23" s="75">
        <f>SUMIFS('All Transactions'!O:O,'All Transactions'!C:C,A23,'All Transactions'!E:E,"Building Materials")</f>
        <v/>
      </c>
      <c r="C23" s="75">
        <f>SUMIFS('All Transactions'!O:O,'All Transactions'!C:C,A23,'All Transactions'!E:E,"Steel/Iron")</f>
        <v/>
      </c>
      <c r="D23" s="75">
        <f>SUMIFS('All Transactions'!O:O,'All Transactions'!C:C,A23,'All Transactions'!E:E,"Electrical")</f>
        <v/>
      </c>
      <c r="E23" s="75">
        <f>SUMIFS('All Transactions'!O:O,'All Transactions'!C:C,A23,'All Transactions'!E:E,"Labour")</f>
        <v/>
      </c>
      <c r="F23" s="75">
        <f>SUMIFS('All Transactions'!O:O,'All Transactions'!C:C,A23,'All Transactions'!E:E,"Transport")</f>
        <v/>
      </c>
      <c r="G23" s="75">
        <f>SUMIFS('All Transactions'!O:O,'All Transactions'!C:C,A23,'All Transactions'!E:E,"Food/Provisions")</f>
        <v/>
      </c>
      <c r="H23" s="75">
        <f>SUMIFS('All Transactions'!O:O,'All Transactions'!C:C,A23,'All Transactions'!E:E,"Professional Fees")</f>
        <v/>
      </c>
      <c r="I23" s="75">
        <f>SUMIFS('All Transactions'!O:O,'All Transactions'!C:C,A23,'All Transactions'!E:E,"Land Development")</f>
        <v/>
      </c>
      <c r="J23" s="75">
        <f>SUMIFS('All Transactions'!O:O,'All Transactions'!C:C,A23,'All Transactions'!E:E,"Miscellaneous")</f>
        <v/>
      </c>
      <c r="K23" s="76">
        <f>SUM(B23:J23)</f>
        <v/>
      </c>
    </row>
    <row r="24" ht="15.75" customHeight="1" s="99">
      <c r="A24" s="77" t="inlineStr">
        <is>
          <t>Dec-2027</t>
        </is>
      </c>
      <c r="B24" s="78">
        <f>SUMIFS('All Transactions'!O:O,'All Transactions'!C:C,A24,'All Transactions'!E:E,"Building Materials")</f>
        <v/>
      </c>
      <c r="C24" s="78">
        <f>SUMIFS('All Transactions'!O:O,'All Transactions'!C:C,A24,'All Transactions'!E:E,"Steel/Iron")</f>
        <v/>
      </c>
      <c r="D24" s="78">
        <f>SUMIFS('All Transactions'!O:O,'All Transactions'!C:C,A24,'All Transactions'!E:E,"Electrical")</f>
        <v/>
      </c>
      <c r="E24" s="78">
        <f>SUMIFS('All Transactions'!O:O,'All Transactions'!C:C,A24,'All Transactions'!E:E,"Labour")</f>
        <v/>
      </c>
      <c r="F24" s="78">
        <f>SUMIFS('All Transactions'!O:O,'All Transactions'!C:C,A24,'All Transactions'!E:E,"Transport")</f>
        <v/>
      </c>
      <c r="G24" s="78">
        <f>SUMIFS('All Transactions'!O:O,'All Transactions'!C:C,A24,'All Transactions'!E:E,"Food/Provisions")</f>
        <v/>
      </c>
      <c r="H24" s="78">
        <f>SUMIFS('All Transactions'!O:O,'All Transactions'!C:C,A24,'All Transactions'!E:E,"Professional Fees")</f>
        <v/>
      </c>
      <c r="I24" s="78">
        <f>SUMIFS('All Transactions'!O:O,'All Transactions'!C:C,A24,'All Transactions'!E:E,"Land Development")</f>
        <v/>
      </c>
      <c r="J24" s="78">
        <f>SUMIFS('All Transactions'!O:O,'All Transactions'!C:C,A24,'All Transactions'!E:E,"Miscellaneous")</f>
        <v/>
      </c>
      <c r="K24" s="79">
        <f>SUM(B24:J24)</f>
        <v/>
      </c>
    </row>
    <row r="25" ht="15.75" customHeight="1" s="99">
      <c r="A25" s="80" t="inlineStr">
        <is>
          <t>GRAND 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>
        <f>SUM(J5:J24)</f>
        <v/>
      </c>
      <c r="K25" s="81">
        <f>SUM(K5:K24)</f>
        <v/>
      </c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24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4" t="inlineStr">
        <is>
          <t>Pappu Hardware</t>
        </is>
      </c>
      <c r="B5" s="84" t="n"/>
      <c r="C5" s="84" t="n">
        <v>451130</v>
      </c>
      <c r="D5" s="84" t="n">
        <v>449830</v>
      </c>
      <c r="E5" s="96">
        <f>C5-D5</f>
        <v/>
      </c>
      <c r="F5" s="85" t="inlineStr">
        <is>
          <t>⚠️ DUE</t>
        </is>
      </c>
      <c r="G5" s="86" t="n"/>
      <c r="H5" s="74" t="n"/>
      <c r="I5" s="82" t="n"/>
    </row>
    <row r="6" ht="15.75" customHeight="1" s="99">
      <c r="A6" s="77" t="inlineStr">
        <is>
          <t>Brick Company</t>
        </is>
      </c>
      <c r="B6" s="87" t="n"/>
      <c r="C6" s="87" t="n">
        <v>153000</v>
      </c>
      <c r="D6" s="87" t="n">
        <v>369000</v>
      </c>
      <c r="E6" s="97">
        <f>C6-D6</f>
        <v/>
      </c>
      <c r="F6" s="89" t="inlineStr">
        <is>
          <t>🔵 ADV</t>
        </is>
      </c>
      <c r="G6" s="90" t="n"/>
      <c r="H6" s="77" t="n"/>
      <c r="I6" s="82" t="n"/>
    </row>
    <row r="7" ht="15.75" customHeight="1" s="99">
      <c r="A7" s="74" t="inlineStr">
        <is>
          <t>Econ Builder</t>
        </is>
      </c>
      <c r="B7" s="84" t="n"/>
      <c r="C7" s="84" t="n">
        <v>226000</v>
      </c>
      <c r="D7" s="84" t="n">
        <v>226000</v>
      </c>
      <c r="E7" s="96">
        <f>C7-D7</f>
        <v/>
      </c>
      <c r="F7" s="85" t="inlineStr">
        <is>
          <t>✅ PAID</t>
        </is>
      </c>
      <c r="G7" s="86" t="n"/>
      <c r="H7" s="74" t="n"/>
      <c r="I7" s="82" t="n"/>
    </row>
    <row r="8" ht="15.75" customHeight="1" s="99">
      <c r="A8" s="77" t="inlineStr">
        <is>
          <t>Concrete Supplier</t>
        </is>
      </c>
      <c r="B8" s="87" t="n"/>
      <c r="C8" s="87" t="n">
        <v>161982</v>
      </c>
      <c r="D8" s="87" t="n">
        <v>161982</v>
      </c>
      <c r="E8" s="97">
        <f>C8-D8</f>
        <v/>
      </c>
      <c r="F8" s="89" t="inlineStr">
        <is>
          <t>✅ PAID</t>
        </is>
      </c>
      <c r="G8" s="90" t="n"/>
      <c r="H8" s="77" t="n"/>
      <c r="I8" s="82" t="n"/>
    </row>
    <row r="9" ht="15.75" customHeight="1" s="99">
      <c r="A9" s="74" t="inlineStr">
        <is>
          <t>Sand Truck Wala</t>
        </is>
      </c>
      <c r="B9" s="84" t="n"/>
      <c r="C9" s="84" t="n">
        <v>110000</v>
      </c>
      <c r="D9" s="84" t="n">
        <v>110000</v>
      </c>
      <c r="E9" s="96">
        <f>C9-D9</f>
        <v/>
      </c>
      <c r="F9" s="85" t="inlineStr">
        <is>
          <t>✅ PAID</t>
        </is>
      </c>
      <c r="G9" s="86" t="n"/>
      <c r="H9" s="74" t="n"/>
      <c r="I9" s="82" t="n"/>
    </row>
    <row r="10" ht="15.75" customHeight="1" s="99">
      <c r="A10" s="77" t="inlineStr">
        <is>
          <t>Mukesh Yadav</t>
        </is>
      </c>
      <c r="B10" s="87" t="n"/>
      <c r="C10" s="87" t="n">
        <v>63200</v>
      </c>
      <c r="D10" s="87" t="n">
        <v>63200</v>
      </c>
      <c r="E10" s="97">
        <f>C10-D10</f>
        <v/>
      </c>
      <c r="F10" s="89" t="inlineStr">
        <is>
          <t>✅ PAID</t>
        </is>
      </c>
      <c r="G10" s="90" t="n"/>
      <c r="H10" s="77" t="n"/>
      <c r="I10" s="82" t="n"/>
    </row>
    <row r="11" ht="15.75" customHeight="1" s="99">
      <c r="A11" s="74" t="inlineStr">
        <is>
          <t>Daily Labour</t>
        </is>
      </c>
      <c r="B11" s="84" t="n"/>
      <c r="C11" s="84" t="n">
        <v>33075</v>
      </c>
      <c r="D11" s="84" t="n">
        <v>33075</v>
      </c>
      <c r="E11" s="96">
        <f>C11-D11</f>
        <v/>
      </c>
      <c r="F11" s="85" t="inlineStr">
        <is>
          <t>✅ PAID</t>
        </is>
      </c>
      <c r="G11" s="86" t="n"/>
      <c r="H11" s="74" t="n"/>
      <c r="I11" s="82" t="n"/>
    </row>
    <row r="12" ht="15.75" customHeight="1" s="99">
      <c r="A12" s="77" t="inlineStr">
        <is>
          <t>Naveen Hardware</t>
        </is>
      </c>
      <c r="B12" s="87" t="n"/>
      <c r="C12" s="87" t="n">
        <v>18650</v>
      </c>
      <c r="D12" s="87" t="n">
        <v>18650</v>
      </c>
      <c r="E12" s="97">
        <f>C12-D12</f>
        <v/>
      </c>
      <c r="F12" s="89" t="inlineStr">
        <is>
          <t>✅ PAID</t>
        </is>
      </c>
      <c r="G12" s="90" t="n"/>
      <c r="H12" s="77" t="n"/>
      <c r="I12" s="82" t="n"/>
    </row>
    <row r="13" ht="15.75" customHeight="1" s="99">
      <c r="A13" s="74" t="inlineStr">
        <is>
          <t>Local Purchase</t>
        </is>
      </c>
      <c r="B13" s="84" t="n"/>
      <c r="C13" s="84" t="n">
        <v>5060</v>
      </c>
      <c r="D13" s="84" t="n">
        <v>5060</v>
      </c>
      <c r="E13" s="96">
        <f>C13-D13</f>
        <v/>
      </c>
      <c r="F13" s="85" t="inlineStr">
        <is>
          <t>✅ PAID</t>
        </is>
      </c>
      <c r="G13" s="86" t="n"/>
      <c r="H13" s="74" t="n"/>
      <c r="I13" s="82" t="n"/>
    </row>
    <row r="14" ht="15.75" customHeight="1" s="99">
      <c r="A14" s="77" t="inlineStr">
        <is>
          <t>Sonbhai-Coordinator</t>
        </is>
      </c>
      <c r="B14" s="87" t="n"/>
      <c r="C14" s="87" t="n">
        <v>1500</v>
      </c>
      <c r="D14" s="87" t="n">
        <v>1500</v>
      </c>
      <c r="E14" s="97">
        <f>C14-D14</f>
        <v/>
      </c>
      <c r="F14" s="89" t="inlineStr">
        <is>
          <t>✅ PAID</t>
        </is>
      </c>
      <c r="G14" s="90" t="n"/>
      <c r="H14" s="77" t="n"/>
      <c r="I14" s="82" t="n"/>
    </row>
    <row r="15" ht="15.75" customHeight="1" s="99">
      <c r="A15" s="74" t="inlineStr">
        <is>
          <t>TOTAL</t>
        </is>
      </c>
      <c r="B15" s="84" t="n"/>
      <c r="C15" s="84">
        <f>SUM(C5:C14)</f>
        <v/>
      </c>
      <c r="D15" s="84">
        <f>SUM(D5:D14)</f>
        <v/>
      </c>
      <c r="E15" s="96">
        <f>C15-D15</f>
        <v/>
      </c>
      <c r="F15" s="85" t="n"/>
      <c r="G15" s="86" t="n"/>
      <c r="H15" s="74" t="n"/>
      <c r="I15" s="82" t="n"/>
    </row>
    <row r="16" ht="15.75" customHeight="1" s="99">
      <c r="A16" s="77" t="n"/>
      <c r="B16" s="87" t="n"/>
      <c r="C16" s="78" t="n"/>
      <c r="D16" s="78" t="n"/>
      <c r="E16" s="88" t="n"/>
      <c r="F16" s="89" t="n"/>
      <c r="G16" s="90" t="n"/>
      <c r="H16" s="77" t="n"/>
      <c r="I16" s="82" t="n"/>
    </row>
    <row r="17" ht="15.75" customHeight="1" s="99">
      <c r="A17" s="80" t="n"/>
      <c r="B17" s="91" t="n"/>
      <c r="C17" s="81" t="n"/>
      <c r="D17" s="81" t="n"/>
      <c r="E17" s="81" t="n"/>
      <c r="F17" s="80" t="n"/>
      <c r="G17" s="80" t="n"/>
      <c r="H17" s="80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2026-08-25T12:52:31Z</dcterms:modified>
  <cp:lastModifiedBy>Avinash Karn</cp:lastModifiedBy>
  <cp:revision>49</cp:revision>
</cp:coreProperties>
</file>