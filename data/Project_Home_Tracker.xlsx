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5040" windowHeight="15240" tabRatio="500" firstSheet="1" activeTab="1" autoFilterDateGrouping="1"/>
  </bookViews>
  <sheets>
    <sheet name="📖 How to Use" sheetId="1" state="visible" r:id="rId1"/>
    <sheet name="Dashboard" sheetId="2" state="visible" r:id="rId2"/>
    <sheet name="Master Data" sheetId="3" state="visible" r:id="rId3"/>
    <sheet name="All Transactions" sheetId="4" state="visible" r:id="rId4"/>
    <sheet name="Bill Entry" sheetId="5" state="visible" r:id="rId5"/>
    <sheet name="Payment Tracker" sheetId="6" state="visible" r:id="rId6"/>
    <sheet name="Material Summary" sheetId="7" state="visible" r:id="rId7"/>
    <sheet name="Labour Tracker" sheetId="8" state="visible" r:id="rId8"/>
    <sheet name="Monthly Summary" sheetId="9" state="visible" r:id="rId9"/>
    <sheet name="Vendor Summary" sheetId="10" state="visible" r:id="rId10"/>
    <sheet name="Unit Funding" sheetId="11" state="visible" r:id="rId11"/>
  </sheets>
  <definedNames>
    <definedName name="_xlnm._FilterDatabase" localSheetId="3" hidden="1">'All Transactions'!$A$4:$Q$504</definedName>
    <definedName name="_xlnm._FilterDatabase" localSheetId="4" hidden="1">'Bill Entry'!$A$4:$O$504</definedName>
    <definedName name="_xlnm._FilterDatabase" localSheetId="5" hidden="1">'Payment Tracker'!$A$4:$M$504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7">
    <numFmt numFmtId="164" formatCode="\₹#,##0"/>
    <numFmt numFmtId="165" formatCode="\₹#,##0.00"/>
    <numFmt numFmtId="166" formatCode="0.0%"/>
    <numFmt numFmtId="167" formatCode="dd\-mmm\-yyyy"/>
    <numFmt numFmtId="168" formatCode="_(* #,##0.00_);_(* \(#,##0.00\);_(* \-??_);_(@_)"/>
    <numFmt numFmtId="169" formatCode="yyyy-mm-dd h:mm:ss"/>
    <numFmt numFmtId="170" formatCode="yyyy-mm-dd"/>
  </numFmts>
  <fonts count="39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1"/>
    </font>
    <font>
      <name val="Arial"/>
      <family val="2"/>
      <b val="1"/>
      <color rgb="FF1B2A4A"/>
      <sz val="13"/>
    </font>
    <font>
      <name val="Arial"/>
      <family val="2"/>
      <color rgb="FF333333"/>
      <sz val="10"/>
    </font>
    <font>
      <name val="Arial"/>
      <family val="2"/>
      <b val="1"/>
      <color rgb="FF333333"/>
      <sz val="10"/>
    </font>
    <font>
      <name val="Arial"/>
      <family val="2"/>
      <b val="1"/>
      <color rgb="FF1B2A4A"/>
      <sz val="11"/>
    </font>
    <font>
      <name val="Arial"/>
      <family val="2"/>
      <b val="1"/>
      <color rgb="FFCC0000"/>
      <sz val="10"/>
    </font>
    <font>
      <name val="Arial"/>
      <family val="2"/>
      <i val="1"/>
      <color rgb="FF006600"/>
      <sz val="10"/>
    </font>
    <font>
      <name val="Arial"/>
      <family val="2"/>
      <i val="1"/>
      <color rgb="FF999999"/>
      <sz val="9"/>
    </font>
    <font>
      <name val="Arial"/>
      <family val="2"/>
      <b val="1"/>
      <color rgb="FFFFFFFF"/>
      <sz val="16"/>
    </font>
    <font>
      <name val="Arial"/>
      <family val="2"/>
      <color rgb="FF94A3B8"/>
      <sz val="10"/>
    </font>
    <font>
      <name val="Arial"/>
      <family val="2"/>
      <i val="1"/>
      <color rgb="FF94A3B8"/>
      <sz val="9"/>
    </font>
    <font>
      <name val="Arial"/>
      <family val="2"/>
      <b val="1"/>
      <color rgb="FF94A3B8"/>
      <sz val="9"/>
    </font>
    <font>
      <name val="Arial"/>
      <family val="2"/>
      <b val="1"/>
      <color rgb="FF3B82F6"/>
      <sz val="22"/>
    </font>
    <font>
      <name val="Arial"/>
      <family val="2"/>
      <b val="1"/>
      <color rgb="FF10B981"/>
      <sz val="22"/>
    </font>
    <font>
      <name val="Arial"/>
      <family val="2"/>
      <b val="1"/>
      <color rgb="FFF59E0B"/>
      <sz val="22"/>
    </font>
    <font>
      <name val="Arial"/>
      <family val="2"/>
      <b val="1"/>
      <color rgb="FFEF4444"/>
      <sz val="22"/>
    </font>
    <font>
      <name val="Arial"/>
      <family val="2"/>
      <color rgb="FF94A3B8"/>
      <sz val="8"/>
    </font>
    <font>
      <name val="Arial"/>
      <family val="2"/>
      <color rgb="FF334155"/>
      <sz val="10"/>
    </font>
    <font>
      <name val="Arial"/>
      <family val="2"/>
      <b val="1"/>
      <color rgb="FF3B82F6"/>
      <sz val="10"/>
    </font>
    <font>
      <name val="Arial"/>
      <family val="2"/>
      <b val="1"/>
      <color rgb="FF334155"/>
      <sz val="10"/>
    </font>
    <font>
      <name val="Arial"/>
      <family val="2"/>
      <b val="1"/>
      <color rgb="FF334155"/>
      <sz val="9"/>
    </font>
    <font>
      <name val="Arial"/>
      <family val="2"/>
      <b val="1"/>
      <color rgb="FFFFFFFF"/>
      <sz val="10"/>
    </font>
    <font>
      <name val="Arial"/>
      <charset val="1"/>
      <family val="2"/>
      <b val="1"/>
      <color rgb="FF1B2A4A"/>
      <sz val="14"/>
    </font>
    <font>
      <name val="Arial"/>
      <charset val="1"/>
      <family val="2"/>
      <i val="1"/>
      <color rgb="FF6B7280"/>
      <sz val="9"/>
    </font>
    <font>
      <name val="Arial"/>
      <charset val="1"/>
      <family val="2"/>
      <b val="1"/>
      <color rgb="FFFFFFFF"/>
      <sz val="11"/>
    </font>
    <font>
      <name val="Arial"/>
      <charset val="1"/>
      <family val="2"/>
      <color rgb="FF374151"/>
      <sz val="10"/>
    </font>
    <font>
      <name val="Arial"/>
      <charset val="1"/>
      <family val="2"/>
      <color rgb="FF0000FF"/>
      <sz val="10"/>
    </font>
    <font>
      <name val="Arial"/>
      <charset val="1"/>
      <family val="2"/>
      <color rgb="FF000000"/>
      <sz val="10"/>
    </font>
    <font>
      <name val="Arial"/>
      <charset val="1"/>
      <family val="2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rgb="FF008000"/>
      <sz val="10"/>
    </font>
    <font>
      <name val="Arial"/>
      <family val="2"/>
      <color rgb="FF374151"/>
      <sz val="10"/>
    </font>
    <font>
      <name val="Arial"/>
      <family val="2"/>
      <color rgb="FF008000"/>
      <sz val="10"/>
    </font>
    <font>
      <name val="Arial"/>
      <family val="2"/>
      <b val="1"/>
      <sz val="10"/>
    </font>
    <font>
      <name val="Arial"/>
      <family val="2"/>
      <b val="1"/>
      <color rgb="FF1B2A4A"/>
      <sz val="14"/>
    </font>
    <font>
      <name val="Arial"/>
      <family val="2"/>
      <i val="1"/>
      <color rgb="FF6B7280"/>
      <sz val="9"/>
    </font>
    <font>
      <name val="Arial"/>
      <family val="2"/>
      <color rgb="FF000000"/>
      <sz val="10"/>
    </font>
  </fonts>
  <fills count="16">
    <fill>
      <patternFill/>
    </fill>
    <fill>
      <patternFill patternType="gray125"/>
    </fill>
    <fill>
      <patternFill patternType="solid">
        <fgColor rgb="FF1B2A4A"/>
        <bgColor rgb="FF1E293B"/>
      </patternFill>
    </fill>
    <fill>
      <patternFill patternType="solid">
        <fgColor rgb="FFE3F2FD"/>
        <bgColor rgb="FFEFF6FF"/>
      </patternFill>
    </fill>
    <fill>
      <patternFill patternType="solid">
        <fgColor rgb="FFE8F5E9"/>
        <bgColor rgb="FFF1F5F9"/>
      </patternFill>
    </fill>
    <fill>
      <patternFill patternType="solid">
        <fgColor rgb="FFFFF9C4"/>
        <bgColor rgb="FFFFEBEE"/>
      </patternFill>
    </fill>
    <fill>
      <patternFill patternType="solid">
        <fgColor rgb="FFFFEBEE"/>
        <bgColor rgb="FFF1F5F9"/>
      </patternFill>
    </fill>
    <fill>
      <patternFill patternType="solid">
        <fgColor rgb="FFF8FAFC"/>
        <bgColor rgb="FFFFFFFF"/>
      </patternFill>
    </fill>
    <fill>
      <patternFill patternType="solid">
        <fgColor rgb="FF1E293B"/>
        <bgColor rgb="FF1B2A4A"/>
      </patternFill>
    </fill>
    <fill>
      <patternFill patternType="solid">
        <fgColor rgb="FF3B82F6"/>
        <bgColor rgb="FF0066CC"/>
      </patternFill>
    </fill>
    <fill>
      <patternFill patternType="solid">
        <fgColor rgb="FF10B981"/>
        <bgColor rgb="FF0D9488"/>
      </patternFill>
    </fill>
    <fill>
      <patternFill patternType="solid">
        <fgColor rgb="FFF59E0B"/>
        <bgColor rgb="FFF97316"/>
      </patternFill>
    </fill>
    <fill>
      <patternFill patternType="solid">
        <fgColor rgb="FFEF4444"/>
        <bgColor rgb="FFDC2626"/>
      </patternFill>
    </fill>
    <fill>
      <patternFill patternType="solid">
        <fgColor rgb="FFFFFFFF"/>
        <bgColor rgb="FFF8FAFC"/>
      </patternFill>
    </fill>
    <fill>
      <patternFill patternType="solid">
        <fgColor rgb="FFF1F5F9"/>
        <bgColor rgb="FFEFF6FF"/>
      </patternFill>
    </fill>
    <fill>
      <patternFill patternType="solid">
        <fgColor rgb="FFEFF6FF"/>
        <bgColor rgb="FFF1F5F9"/>
      </patternFill>
    </fill>
  </fills>
  <borders count="12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 style="medium">
        <color rgb="FF3B82F6"/>
      </top>
      <bottom/>
      <diagonal/>
    </border>
    <border>
      <left/>
      <right/>
      <top style="medium">
        <color rgb="FF10B981"/>
      </top>
      <bottom/>
      <diagonal/>
    </border>
    <border>
      <left/>
      <right/>
      <top style="medium">
        <color rgb="FFF59E0B"/>
      </top>
      <bottom/>
      <diagonal/>
    </border>
    <border>
      <left/>
      <right/>
      <top style="medium">
        <color rgb="FFEF4444"/>
      </top>
      <bottom/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E2E8F0"/>
      </right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5" fillId="0" borderId="1" pivotButton="0" quotePrefix="0" xfId="0"/>
    <xf numFmtId="0" fontId="4" fillId="0" borderId="1" pivotButton="0" quotePrefix="0" xfId="0"/>
    <xf numFmtId="0" fontId="0" fillId="7" borderId="0" pivotButton="0" quotePrefix="0" xfId="0"/>
    <xf numFmtId="0" fontId="0" fillId="9" borderId="2" pivotButton="0" quotePrefix="0" xfId="0"/>
    <xf numFmtId="0" fontId="0" fillId="10" borderId="3" pivotButton="0" quotePrefix="0" xfId="0"/>
    <xf numFmtId="0" fontId="0" fillId="11" borderId="4" pivotButton="0" quotePrefix="0" xfId="0"/>
    <xf numFmtId="0" fontId="0" fillId="12" borderId="5" pivotButton="0" quotePrefix="0" xfId="0"/>
    <xf numFmtId="0" fontId="13" fillId="14" borderId="8" applyAlignment="1" pivotButton="0" quotePrefix="0" xfId="0">
      <alignment horizontal="center" vertical="center"/>
    </xf>
    <xf numFmtId="0" fontId="19" fillId="14" borderId="8" applyAlignment="1" pivotButton="0" quotePrefix="0" xfId="0">
      <alignment horizontal="left" vertical="center" indent="1"/>
    </xf>
    <xf numFmtId="164" fontId="20" fillId="14" borderId="8" applyAlignment="1" pivotButton="0" quotePrefix="0" xfId="0">
      <alignment horizontal="right" vertical="center"/>
    </xf>
    <xf numFmtId="164" fontId="21" fillId="14" borderId="8" applyAlignment="1" pivotButton="0" quotePrefix="0" xfId="0">
      <alignment horizontal="right" vertical="center"/>
    </xf>
    <xf numFmtId="164" fontId="19" fillId="14" borderId="8" applyAlignment="1" pivotButton="0" quotePrefix="0" xfId="0">
      <alignment horizontal="right" vertical="center"/>
    </xf>
    <xf numFmtId="0" fontId="22" fillId="14" borderId="8" applyAlignment="1" pivotButton="0" quotePrefix="0" xfId="0">
      <alignment horizontal="center" vertical="center"/>
    </xf>
    <xf numFmtId="0" fontId="19" fillId="7" borderId="8" applyAlignment="1" pivotButton="0" quotePrefix="0" xfId="0">
      <alignment horizontal="left" vertical="center" indent="1"/>
    </xf>
    <xf numFmtId="164" fontId="20" fillId="7" borderId="8" applyAlignment="1" pivotButton="0" quotePrefix="0" xfId="0">
      <alignment horizontal="right" vertical="center"/>
    </xf>
    <xf numFmtId="164" fontId="21" fillId="7" borderId="8" applyAlignment="1" pivotButton="0" quotePrefix="0" xfId="0">
      <alignment horizontal="right" vertical="center"/>
    </xf>
    <xf numFmtId="164" fontId="19" fillId="7" borderId="8" applyAlignment="1" pivotButton="0" quotePrefix="0" xfId="0">
      <alignment horizontal="right" vertical="center"/>
    </xf>
    <xf numFmtId="0" fontId="22" fillId="7" borderId="8" applyAlignment="1" pivotButton="0" quotePrefix="0" xfId="0">
      <alignment horizontal="center" vertical="center"/>
    </xf>
    <xf numFmtId="0" fontId="23" fillId="8" borderId="8" pivotButton="0" quotePrefix="0" xfId="0"/>
    <xf numFmtId="164" fontId="2" fillId="8" borderId="8" pivotButton="0" quotePrefix="0" xfId="0"/>
    <xf numFmtId="164" fontId="23" fillId="8" borderId="8" pivotButton="0" quotePrefix="0" xfId="0"/>
    <xf numFmtId="0" fontId="0" fillId="8" borderId="8" pivotButton="0" quotePrefix="0" xfId="0"/>
    <xf numFmtId="0" fontId="21" fillId="14" borderId="8" applyAlignment="1" pivotButton="0" quotePrefix="0" xfId="0">
      <alignment horizontal="left" vertical="center" indent="1"/>
    </xf>
    <xf numFmtId="4" fontId="0" fillId="14" borderId="8" applyAlignment="1" pivotButton="0" quotePrefix="0" xfId="0">
      <alignment horizontal="right" vertical="center"/>
    </xf>
    <xf numFmtId="0" fontId="0" fillId="14" borderId="8" applyAlignment="1" pivotButton="0" quotePrefix="0" xfId="0">
      <alignment horizontal="right" vertical="center"/>
    </xf>
    <xf numFmtId="165" fontId="0" fillId="14" borderId="8" applyAlignment="1" pivotButton="0" quotePrefix="0" xfId="0">
      <alignment horizontal="right" vertical="center"/>
    </xf>
    <xf numFmtId="164" fontId="0" fillId="14" borderId="8" applyAlignment="1" pivotButton="0" quotePrefix="0" xfId="0">
      <alignment horizontal="right" vertical="center"/>
    </xf>
    <xf numFmtId="166" fontId="0" fillId="14" borderId="8" applyAlignment="1" pivotButton="0" quotePrefix="0" xfId="0">
      <alignment horizontal="right" vertical="center"/>
    </xf>
    <xf numFmtId="0" fontId="19" fillId="14" borderId="8" applyAlignment="1" pivotButton="0" quotePrefix="0" xfId="0">
      <alignment horizontal="center" vertical="center"/>
    </xf>
    <xf numFmtId="0" fontId="21" fillId="7" borderId="8" applyAlignment="1" pivotButton="0" quotePrefix="0" xfId="0">
      <alignment horizontal="left" vertical="center" indent="1"/>
    </xf>
    <xf numFmtId="4" fontId="0" fillId="7" borderId="8" applyAlignment="1" pivotButton="0" quotePrefix="0" xfId="0">
      <alignment horizontal="right" vertical="center"/>
    </xf>
    <xf numFmtId="0" fontId="0" fillId="7" borderId="8" applyAlignment="1" pivotButton="0" quotePrefix="0" xfId="0">
      <alignment horizontal="right" vertical="center"/>
    </xf>
    <xf numFmtId="165" fontId="0" fillId="7" borderId="8" applyAlignment="1" pivotButton="0" quotePrefix="0" xfId="0">
      <alignment horizontal="right" vertical="center"/>
    </xf>
    <xf numFmtId="164" fontId="0" fillId="7" borderId="8" applyAlignment="1" pivotButton="0" quotePrefix="0" xfId="0">
      <alignment horizontal="right" vertical="center"/>
    </xf>
    <xf numFmtId="166" fontId="0" fillId="7" borderId="8" applyAlignment="1" pivotButton="0" quotePrefix="0" xfId="0">
      <alignment horizontal="right" vertical="center"/>
    </xf>
    <xf numFmtId="0" fontId="19" fillId="7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 wrapText="1"/>
    </xf>
    <xf numFmtId="0" fontId="27" fillId="0" borderId="9" applyAlignment="1" pivotButton="0" quotePrefix="0" xfId="0">
      <alignment horizontal="left" vertical="center" wrapText="1"/>
    </xf>
    <xf numFmtId="0" fontId="27" fillId="0" borderId="9" pivotButton="0" quotePrefix="0" xfId="0"/>
    <xf numFmtId="0" fontId="27" fillId="15" borderId="9" applyAlignment="1" pivotButton="0" quotePrefix="0" xfId="0">
      <alignment horizontal="left" vertical="center" wrapText="1"/>
    </xf>
    <xf numFmtId="0" fontId="27" fillId="15" borderId="9" pivotButton="0" quotePrefix="0" xfId="0"/>
    <xf numFmtId="167" fontId="28" fillId="0" borderId="9" applyAlignment="1" pivotButton="0" quotePrefix="0" xfId="0">
      <alignment horizontal="left" vertical="center" wrapText="1"/>
    </xf>
    <xf numFmtId="0" fontId="29" fillId="0" borderId="9" applyAlignment="1" pivotButton="0" quotePrefix="0" xfId="0">
      <alignment horizontal="left" vertical="center" wrapText="1"/>
    </xf>
    <xf numFmtId="0" fontId="28" fillId="0" borderId="9" applyAlignment="1" pivotButton="0" quotePrefix="0" xfId="0">
      <alignment horizontal="left" vertical="center" wrapText="1"/>
    </xf>
    <xf numFmtId="4" fontId="28" fillId="0" borderId="9" applyAlignment="1" pivotButton="0" quotePrefix="0" xfId="0">
      <alignment horizontal="left" vertical="center" wrapText="1"/>
    </xf>
    <xf numFmtId="165" fontId="28" fillId="0" borderId="9" applyAlignment="1" pivotButton="0" quotePrefix="0" xfId="0">
      <alignment horizontal="left" vertical="center" wrapText="1"/>
    </xf>
    <xf numFmtId="164" fontId="29" fillId="0" borderId="9" applyAlignment="1" pivotButton="0" quotePrefix="0" xfId="0">
      <alignment horizontal="left" vertical="center" wrapText="1"/>
    </xf>
    <xf numFmtId="166" fontId="28" fillId="0" borderId="9" applyAlignment="1" pivotButton="0" quotePrefix="0" xfId="0">
      <alignment horizontal="left" vertical="center" wrapText="1"/>
    </xf>
    <xf numFmtId="168" fontId="30" fillId="0" borderId="9" applyAlignment="1" pivotButton="0" quotePrefix="0" xfId="0">
      <alignment horizontal="left" vertical="center" wrapText="1"/>
    </xf>
    <xf numFmtId="167" fontId="28" fillId="15" borderId="9" applyAlignment="1" pivotButton="0" quotePrefix="0" xfId="0">
      <alignment horizontal="left" vertical="center" wrapText="1"/>
    </xf>
    <xf numFmtId="0" fontId="29" fillId="15" borderId="9" applyAlignment="1" pivotButton="0" quotePrefix="0" xfId="0">
      <alignment horizontal="left" vertical="center" wrapText="1"/>
    </xf>
    <xf numFmtId="0" fontId="28" fillId="15" borderId="9" applyAlignment="1" pivotButton="0" quotePrefix="0" xfId="0">
      <alignment horizontal="left" vertical="center" wrapText="1"/>
    </xf>
    <xf numFmtId="4" fontId="28" fillId="15" borderId="9" applyAlignment="1" pivotButton="0" quotePrefix="0" xfId="0">
      <alignment horizontal="left" vertical="center" wrapText="1"/>
    </xf>
    <xf numFmtId="165" fontId="28" fillId="15" borderId="9" applyAlignment="1" pivotButton="0" quotePrefix="0" xfId="0">
      <alignment horizontal="left" vertical="center" wrapText="1"/>
    </xf>
    <xf numFmtId="164" fontId="29" fillId="15" borderId="9" applyAlignment="1" pivotButton="0" quotePrefix="0" xfId="0">
      <alignment horizontal="left" vertical="center" wrapText="1"/>
    </xf>
    <xf numFmtId="166" fontId="28" fillId="15" borderId="9" applyAlignment="1" pivotButton="0" quotePrefix="0" xfId="0">
      <alignment horizontal="left" vertical="center" wrapText="1"/>
    </xf>
    <xf numFmtId="0" fontId="31" fillId="2" borderId="9" pivotButton="0" quotePrefix="0" xfId="0"/>
    <xf numFmtId="164" fontId="31" fillId="2" borderId="9" pivotButton="0" quotePrefix="0" xfId="0"/>
    <xf numFmtId="164" fontId="28" fillId="0" borderId="9" applyAlignment="1" pivotButton="0" quotePrefix="0" xfId="0">
      <alignment horizontal="left" vertical="center" wrapText="1"/>
    </xf>
    <xf numFmtId="164" fontId="28" fillId="15" borderId="9" applyAlignment="1" pivotButton="0" quotePrefix="0" xfId="0">
      <alignment horizontal="left" vertical="center" wrapText="1"/>
    </xf>
    <xf numFmtId="4" fontId="32" fillId="0" borderId="9" pivotButton="0" quotePrefix="0" xfId="0"/>
    <xf numFmtId="165" fontId="29" fillId="0" borderId="9" pivotButton="0" quotePrefix="0" xfId="0"/>
    <xf numFmtId="164" fontId="32" fillId="0" borderId="9" pivotButton="0" quotePrefix="0" xfId="0"/>
    <xf numFmtId="164" fontId="29" fillId="0" borderId="9" pivotButton="0" quotePrefix="0" xfId="0"/>
    <xf numFmtId="166" fontId="29" fillId="0" borderId="9" pivotButton="0" quotePrefix="0" xfId="0"/>
    <xf numFmtId="4" fontId="32" fillId="15" borderId="9" pivotButton="0" quotePrefix="0" xfId="0"/>
    <xf numFmtId="165" fontId="29" fillId="15" borderId="9" pivotButton="0" quotePrefix="0" xfId="0"/>
    <xf numFmtId="164" fontId="32" fillId="15" borderId="9" pivotButton="0" quotePrefix="0" xfId="0"/>
    <xf numFmtId="164" fontId="29" fillId="15" borderId="9" pivotButton="0" quotePrefix="0" xfId="0"/>
    <xf numFmtId="166" fontId="29" fillId="15" borderId="9" pivotButton="0" quotePrefix="0" xfId="0"/>
    <xf numFmtId="0" fontId="33" fillId="0" borderId="9" pivotButton="0" quotePrefix="0" xfId="0"/>
    <xf numFmtId="164" fontId="34" fillId="0" borderId="9" pivotButton="0" quotePrefix="0" xfId="0"/>
    <xf numFmtId="164" fontId="35" fillId="0" borderId="9" pivotButton="0" quotePrefix="0" xfId="0"/>
    <xf numFmtId="0" fontId="33" fillId="15" borderId="9" pivotButton="0" quotePrefix="0" xfId="0"/>
    <xf numFmtId="164" fontId="34" fillId="15" borderId="9" pivotButton="0" quotePrefix="0" xfId="0"/>
    <xf numFmtId="164" fontId="35" fillId="15" borderId="9" pivotButton="0" quotePrefix="0" xfId="0"/>
    <xf numFmtId="0" fontId="23" fillId="2" borderId="9" pivotButton="0" quotePrefix="0" xfId="0"/>
    <xf numFmtId="164" fontId="23" fillId="2" borderId="9" pivotButton="0" quotePrefix="0" xfId="0"/>
    <xf numFmtId="0" fontId="33" fillId="0" borderId="0" pivotButton="0" quotePrefix="0" xfId="0"/>
    <xf numFmtId="0" fontId="2" fillId="2" borderId="9" applyAlignment="1" pivotButton="0" quotePrefix="0" xfId="0">
      <alignment horizontal="center" vertical="center" wrapText="1"/>
    </xf>
    <xf numFmtId="3" fontId="34" fillId="0" borderId="9" pivotButton="0" quotePrefix="0" xfId="0"/>
    <xf numFmtId="0" fontId="38" fillId="0" borderId="9" applyAlignment="1" pivotButton="0" quotePrefix="0" xfId="0">
      <alignment horizontal="center" vertical="center" wrapText="1"/>
    </xf>
    <xf numFmtId="166" fontId="38" fillId="0" borderId="9" pivotButton="0" quotePrefix="0" xfId="0"/>
    <xf numFmtId="3" fontId="34" fillId="15" borderId="9" pivotButton="0" quotePrefix="0" xfId="0"/>
    <xf numFmtId="164" fontId="38" fillId="15" borderId="9" pivotButton="0" quotePrefix="0" xfId="0"/>
    <xf numFmtId="0" fontId="38" fillId="15" borderId="9" applyAlignment="1" pivotButton="0" quotePrefix="0" xfId="0">
      <alignment horizontal="center" vertical="center" wrapText="1"/>
    </xf>
    <xf numFmtId="166" fontId="38" fillId="15" borderId="9" pivotButton="0" quotePrefix="0" xfId="0"/>
    <xf numFmtId="3" fontId="23" fillId="2" borderId="9" pivotButton="0" quotePrefix="0" xfId="0"/>
    <xf numFmtId="3" fontId="28" fillId="0" borderId="9" applyAlignment="1" pivotButton="0" quotePrefix="0" xfId="0">
      <alignment horizontal="left" vertical="center" wrapText="1"/>
    </xf>
    <xf numFmtId="3" fontId="29" fillId="0" borderId="9" applyAlignment="1" pivotButton="0" quotePrefix="0" xfId="0">
      <alignment horizontal="left" vertical="center" wrapText="1"/>
    </xf>
    <xf numFmtId="3" fontId="28" fillId="15" borderId="9" applyAlignment="1" pivotButton="0" quotePrefix="0" xfId="0">
      <alignment horizontal="left" vertical="center" wrapText="1"/>
    </xf>
    <xf numFmtId="3" fontId="29" fillId="15" borderId="9" applyAlignment="1" pivotButton="0" quotePrefix="0" xfId="0">
      <alignment horizontal="left" vertical="center" wrapText="1"/>
    </xf>
    <xf numFmtId="3" fontId="38" fillId="0" borderId="9" pivotButton="0" quotePrefix="0" xfId="0"/>
    <xf numFmtId="3" fontId="38" fillId="15" borderId="9" pivotButton="0" quotePrefix="0" xfId="0"/>
    <xf numFmtId="0" fontId="25" fillId="0" borderId="0" pivotButton="0" quotePrefix="0" xfId="0"/>
    <xf numFmtId="0" fontId="0" fillId="0" borderId="0" pivotButton="0" quotePrefix="0" xfId="0"/>
    <xf numFmtId="0" fontId="24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8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4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6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164" fontId="14" fillId="13" borderId="6" applyAlignment="1" pivotButton="0" quotePrefix="0" xfId="0">
      <alignment horizontal="left" vertical="center" indent="1"/>
    </xf>
    <xf numFmtId="0" fontId="0" fillId="0" borderId="10" pivotButton="0" quotePrefix="0" xfId="0"/>
    <xf numFmtId="0" fontId="2" fillId="8" borderId="0" applyAlignment="1" pivotButton="0" quotePrefix="0" xfId="0">
      <alignment horizontal="left" vertical="center" indent="1"/>
    </xf>
    <xf numFmtId="0" fontId="11" fillId="8" borderId="0" pivotButton="0" quotePrefix="0" xfId="0"/>
    <xf numFmtId="0" fontId="18" fillId="13" borderId="7" applyAlignment="1" pivotButton="0" quotePrefix="0" xfId="0">
      <alignment horizontal="left" vertical="center" indent="1"/>
    </xf>
    <xf numFmtId="0" fontId="0" fillId="0" borderId="11" pivotButton="0" quotePrefix="0" xfId="0"/>
    <xf numFmtId="0" fontId="13" fillId="13" borderId="6" applyAlignment="1" pivotButton="0" quotePrefix="0" xfId="0">
      <alignment horizontal="left" vertical="center" indent="1"/>
    </xf>
    <xf numFmtId="0" fontId="0" fillId="2" borderId="0" pivotButton="0" quotePrefix="0" xfId="0"/>
    <xf numFmtId="164" fontId="16" fillId="13" borderId="6" applyAlignment="1" pivotButton="0" quotePrefix="0" xfId="0">
      <alignment horizontal="left" vertical="center" indent="1"/>
    </xf>
    <xf numFmtId="164" fontId="17" fillId="13" borderId="6" applyAlignment="1" pivotButton="0" quotePrefix="0" xfId="0">
      <alignment horizontal="left" vertical="center" indent="1"/>
    </xf>
    <xf numFmtId="164" fontId="15" fillId="13" borderId="6" applyAlignment="1" pivotButton="0" quotePrefix="0" xfId="0">
      <alignment horizontal="left" vertical="center" indent="1"/>
    </xf>
    <xf numFmtId="0" fontId="12" fillId="8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0" fontId="37" fillId="0" borderId="0" pivotButton="0" quotePrefix="0" xfId="0"/>
    <xf numFmtId="0" fontId="36" fillId="0" borderId="0" pivotButton="0" quotePrefix="0" xfId="0"/>
    <xf numFmtId="169" fontId="0" fillId="0" borderId="0" pivotButton="0" quotePrefix="0" xfId="0"/>
    <xf numFmtId="17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8FAFC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CCCCC"/>
      <rgbColor rgb="FF808080"/>
      <rgbColor rgb="FF94A3B8"/>
      <rgbColor rgb="FFDC2626"/>
      <rgbColor rgb="FFFFF9C4"/>
      <rgbColor rgb="FFE3F2FD"/>
      <rgbColor rgb="FF374151"/>
      <rgbColor rgb="FFEF4444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E8F5E9"/>
      <rgbColor rgb="FFE2E8F0"/>
      <rgbColor rgb="FFFFEBEE"/>
      <rgbColor rgb="FFB3B3B3"/>
      <rgbColor rgb="FFF1F5F9"/>
      <rgbColor rgb="FFEFF6FF"/>
      <rgbColor rgb="FFD9D9D9"/>
      <rgbColor rgb="FF3B82F6"/>
      <rgbColor rgb="FF33CCCC"/>
      <rgbColor rgb="FF99CC00"/>
      <rgbColor rgb="FFFFCC00"/>
      <rgbColor rgb="FFF59E0B"/>
      <rgbColor rgb="FFF97316"/>
      <rgbColor rgb="FF6B7280"/>
      <rgbColor rgb="FF999999"/>
      <rgbColor rgb="FF1B2A4A"/>
      <rgbColor rgb="FF10B981"/>
      <rgbColor rgb="FF006600"/>
      <rgbColor rgb="FF1E293B"/>
      <rgbColor rgb="FFB45309"/>
      <rgbColor rgb="FF7C3AED"/>
      <rgbColor rgb="FF3341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Spend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Dashboard!$L$25</f>
              <strCache>
                <ptCount val="1"/>
                <pt idx="0">
                  <v>Spend ₹</v>
                </pt>
              </strCache>
            </strRef>
          </tx>
          <spPr>
            <a:solidFill>
              <a:srgbClr val="3B82F6"/>
            </a:solidFill>
            <a:ln w="0">
              <a:solidFill>
                <a:srgbClr val="000000"/>
              </a:solidFill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Dashboard!$K$26:$K$37</f>
              <strCache>
                <ptCount val="12"/>
                <pt idx="0">
                  <v>May-2026</v>
                </pt>
                <pt idx="1">
                  <v>Jun-2026</v>
                </pt>
                <pt idx="2">
                  <v>Jul-2026</v>
                </pt>
                <pt idx="3">
                  <v>Aug-2026</v>
                </pt>
                <pt idx="4">
                  <v>Sep-2026</v>
                </pt>
                <pt idx="5">
                  <v>Oct-2026</v>
                </pt>
                <pt idx="6">
                  <v>Nov-2026</v>
                </pt>
                <pt idx="7">
                  <v>Dec-2026</v>
                </pt>
                <pt idx="8">
                  <v>Jan-2027</v>
                </pt>
                <pt idx="9">
                  <v>Feb-2027</v>
                </pt>
                <pt idx="10">
                  <v>Mar-2027</v>
                </pt>
                <pt idx="11">
                  <v>Apr-2027</v>
                </pt>
              </strCache>
            </strRef>
          </cat>
          <val>
            <numRef>
              <f>Dashboard!$L$26:$L$37</f>
              <numCache>
                <formatCode>\₹#,##0</formatCode>
                <ptCount val="12"/>
                <pt idx="0">
                  <v>829592</v>
                </pt>
                <pt idx="1">
                  <v>393505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8443607"/>
        <axId val="54945074"/>
      </barChart>
      <catAx>
        <axId val="3844360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54945074"/>
        <crosses val="autoZero"/>
        <auto val="1"/>
        <lblAlgn val="ctr"/>
        <lblOffset val="100"/>
        <noMultiLvlLbl val="0"/>
      </catAx>
      <valAx>
        <axId val="54945074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\₹#,##0" sourceLinked="0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38443607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47</row>
      <rowOff>0</rowOff>
    </from>
    <to>
      <col>10</col>
      <colOff>730080</colOff>
      <row>69</row>
      <rowOff>128520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showGridLines="0" zoomScaleNormal="100" workbookViewId="0">
      <pane ySplit="2" topLeftCell="A3" activePane="bottomLeft" state="frozen"/>
      <selection pane="bottomLeft" activeCell="A1" sqref="A1:D1"/>
    </sheetView>
  </sheetViews>
  <sheetFormatPr baseColWidth="10" defaultColWidth="8.6640625" defaultRowHeight="15"/>
  <cols>
    <col width="3" customWidth="1" style="99" min="1" max="1"/>
    <col width="28" customWidth="1" style="99" min="2" max="2"/>
    <col width="55" customWidth="1" style="99" min="3" max="3"/>
    <col width="3" customWidth="1" style="99" min="4" max="4"/>
  </cols>
  <sheetData>
    <row r="1" ht="39.75" customHeight="1" s="99">
      <c r="A1" s="107" t="inlineStr">
        <is>
          <t>📖 How to Use This Tracker</t>
        </is>
      </c>
    </row>
    <row r="2" ht="24.75" customHeight="1" s="99">
      <c r="A2" s="110" t="inlineStr">
        <is>
          <t>Bihar Home Construction — Project Home Tracker</t>
        </is>
      </c>
    </row>
    <row r="4" ht="16.25" customHeight="1" s="99">
      <c r="B4" s="102" t="inlineStr">
        <is>
          <t>🏗️ OVERVIEW</t>
        </is>
      </c>
    </row>
    <row r="5" ht="15" customHeight="1" s="99">
      <c r="B5" s="101" t="inlineStr">
        <is>
          <t>This workbook tracks ALL expenses for your home construction in Bihar.</t>
        </is>
      </c>
    </row>
    <row r="6" ht="15" customHeight="1" s="99">
      <c r="B6" s="109" t="inlineStr">
        <is>
          <t>It has 9 sheets. You mainly enter data in 2 sheets and the rest auto-calculate.</t>
        </is>
      </c>
    </row>
    <row r="7" ht="15" customHeight="1" s="99">
      <c r="B7" s="101" t="n"/>
    </row>
    <row r="8" ht="15" customHeight="1" s="99">
      <c r="B8" s="104" t="inlineStr">
        <is>
          <t>👉 YOU ENTER DATA IN:</t>
        </is>
      </c>
    </row>
    <row r="9" ht="15" customHeight="1" s="99">
      <c r="B9" s="101" t="inlineStr">
        <is>
          <t xml:space="preserve">   1. "All Transactions" — Every material/service received</t>
        </is>
      </c>
    </row>
    <row r="10" ht="15" customHeight="1" s="99">
      <c r="B10" s="101" t="inlineStr">
        <is>
          <t xml:space="preserve">   2. "Payment Tracker" — Every payment you make</t>
        </is>
      </c>
    </row>
    <row r="11" ht="15" customHeight="1" s="99">
      <c r="B11" s="101" t="n"/>
    </row>
    <row r="12" ht="15" customHeight="1" s="99">
      <c r="B12" s="104" t="inlineStr">
        <is>
          <t>👉 THESE AUTO-CALCULATE (don't edit formulas):</t>
        </is>
      </c>
    </row>
    <row r="13" ht="15" customHeight="1" s="99">
      <c r="B13" s="101" t="inlineStr">
        <is>
          <t xml:space="preserve">   3. Material Summary — Total by material type</t>
        </is>
      </c>
    </row>
    <row r="14" ht="15" customHeight="1" s="99">
      <c r="B14" s="101" t="inlineStr">
        <is>
          <t xml:space="preserve">   4. Monthly Summary — Spend by month</t>
        </is>
      </c>
    </row>
    <row r="15" ht="15" customHeight="1" s="99">
      <c r="B15" s="101" t="inlineStr">
        <is>
          <t xml:space="preserve">   5. Vendor Summary — Billed vs Paid per vendor</t>
        </is>
      </c>
    </row>
    <row r="16" ht="15" customHeight="1" s="99">
      <c r="B16" s="101" t="inlineStr">
        <is>
          <t xml:space="preserve">   6. Dashboard — KPI overview</t>
        </is>
      </c>
    </row>
    <row r="17" ht="15" customHeight="1" s="99">
      <c r="B17" s="101" t="n"/>
    </row>
    <row r="18" ht="15" customHeight="1" s="99">
      <c r="B18" s="104" t="inlineStr">
        <is>
          <t>👉 OPTIONAL SHEETS:</t>
        </is>
      </c>
    </row>
    <row r="19" ht="15" customHeight="1" s="99">
      <c r="B19" s="101" t="inlineStr">
        <is>
          <t xml:space="preserve">   7. Bill Entry — Line-by-line vendor bill breakup</t>
        </is>
      </c>
    </row>
    <row r="20" ht="15" customHeight="1" s="99">
      <c r="B20" s="101" t="inlineStr">
        <is>
          <t xml:space="preserve">   8. Labour Tracker — Engineer and daily labour log</t>
        </is>
      </c>
    </row>
    <row r="21" ht="15" customHeight="1" s="99">
      <c r="B21" s="101" t="inlineStr">
        <is>
          <t xml:space="preserve">   9. Master Data — Categories, vendors, payers, phases</t>
        </is>
      </c>
    </row>
    <row r="23" ht="16.25" customHeight="1" s="99">
      <c r="B23" s="106" t="inlineStr">
        <is>
          <t>📝 SHEET: "All Transactions" — YOUR MAIN ENTRY SHEET</t>
        </is>
      </c>
    </row>
    <row r="24" ht="15" customHeight="1" s="99">
      <c r="B24" s="109" t="inlineStr">
        <is>
          <t>What to enter:</t>
        </is>
      </c>
      <c r="C24" s="101" t="inlineStr">
        <is>
          <t>One row for every material/item/service received.</t>
        </is>
      </c>
    </row>
    <row r="25" ht="15" customHeight="1" s="99">
      <c r="B25" s="109" t="inlineStr">
        <is>
          <t>When to enter:</t>
        </is>
      </c>
      <c r="C25" s="101" t="inlineStr">
        <is>
          <t>Same day the material arrives or service is done.</t>
        </is>
      </c>
    </row>
    <row r="26" ht="15" customHeight="1" s="99">
      <c r="B26" s="101" t="n"/>
      <c r="C26" s="101" t="n"/>
    </row>
    <row r="27" ht="15" customHeight="1" s="99">
      <c r="B27" s="109" t="inlineStr">
        <is>
          <t>COLUMNS:</t>
        </is>
      </c>
      <c r="C27" s="101" t="n"/>
    </row>
    <row r="28" ht="15" customHeight="1" s="99">
      <c r="B28" s="101" t="inlineStr">
        <is>
          <t>Column A — Sr</t>
        </is>
      </c>
      <c r="C28" s="101" t="inlineStr">
        <is>
          <t>Auto-increment serial number (1, 2, 3...)</t>
        </is>
      </c>
    </row>
    <row r="29" ht="15" customHeight="1" s="99">
      <c r="B29" s="101" t="inlineStr">
        <is>
          <t>Column B — Date</t>
        </is>
      </c>
      <c r="C29" s="101" t="inlineStr">
        <is>
          <t>Date of delivery/service (DD-MM-YYYY format)</t>
        </is>
      </c>
    </row>
    <row r="30" ht="15" customHeight="1" s="99">
      <c r="B30" s="101" t="inlineStr">
        <is>
          <t>Column C — Month</t>
        </is>
      </c>
      <c r="C30" s="101" t="inlineStr">
        <is>
          <t>Text like "May-2026", "Jun-2026" (for SUMIFS)</t>
        </is>
      </c>
    </row>
    <row r="31" ht="15" customHeight="1" s="99">
      <c r="B31" s="101" t="inlineStr">
        <is>
          <t>Column D — Phase</t>
        </is>
      </c>
      <c r="C31" s="101" t="inlineStr">
        <is>
          <t>Foundation / Plinth / Superstructure / Finishing</t>
        </is>
      </c>
    </row>
    <row r="32" ht="15" customHeight="1" s="99">
      <c r="B32" s="101" t="inlineStr">
        <is>
          <t>Column E — Category</t>
        </is>
      </c>
      <c r="C32" s="101" t="inlineStr">
        <is>
          <t>Building Materials / Steel/Iron / Professional Fees / Land Development / Labour / Transport / etc.</t>
        </is>
      </c>
    </row>
    <row r="33" ht="15" customHeight="1" s="99">
      <c r="B33" s="101" t="inlineStr">
        <is>
          <t>Column F — Subcategory</t>
        </is>
      </c>
      <c r="C33" s="101" t="inlineStr">
        <is>
          <t>Bricks / Cement-Ultratech Super / Tiscon-12mm / JCB / Earth Filling Labour / etc.</t>
        </is>
      </c>
    </row>
    <row r="34" ht="15" customHeight="1" s="99">
      <c r="B34" s="101" t="inlineStr">
        <is>
          <t>Column G — Item Description</t>
        </is>
      </c>
      <c r="C34" s="101" t="inlineStr">
        <is>
          <t>Detailed description: "Tiscon 12mm TMT - 100 PC @ ₹908 (Bill 2)"</t>
        </is>
      </c>
    </row>
    <row r="35" ht="15" customHeight="1" s="99">
      <c r="B35" s="101" t="inlineStr">
        <is>
          <t>Column H — Vendor</t>
        </is>
      </c>
      <c r="C35" s="101" t="inlineStr">
        <is>
          <t>Pappu Hardware / Brick Company / Econ Builder / etc.</t>
        </is>
      </c>
    </row>
    <row r="36" ht="15" customHeight="1" s="99">
      <c r="B36" s="101" t="inlineStr">
        <is>
          <t>Column I — Qty</t>
        </is>
      </c>
      <c r="C36" s="101" t="inlineStr">
        <is>
          <t>Quantity (100, 50, 27.5, 17.5 etc.)</t>
        </is>
      </c>
    </row>
    <row r="37" ht="15" customHeight="1" s="99">
      <c r="B37" s="101" t="inlineStr">
        <is>
          <t>Column J — Unit</t>
        </is>
      </c>
      <c r="C37" s="101" t="inlineStr">
        <is>
          <t>Pcs / Bags / Ton / CFT / Nos / Hrs / Lumpsum / L / Kg</t>
        </is>
      </c>
    </row>
    <row r="38" ht="15" customHeight="1" s="99">
      <c r="B38" s="101" t="inlineStr">
        <is>
          <t>Column K — Rate</t>
        </is>
      </c>
      <c r="C38" s="101" t="inlineStr">
        <is>
          <t>Price per unit (₹908, ₹360, ₹8.5 etc.)</t>
        </is>
      </c>
    </row>
    <row r="39" ht="15" customHeight="1" s="99">
      <c r="B39" s="101" t="inlineStr">
        <is>
          <t>Column L — Gross Amount</t>
        </is>
      </c>
      <c r="C39" s="101" t="inlineStr">
        <is>
          <t>Qty × Rate (enter manually: 100 × 908 = 90800)</t>
        </is>
      </c>
    </row>
    <row r="40" ht="15" customHeight="1" s="99">
      <c r="B40" s="101" t="inlineStr">
        <is>
          <t>Column M — Discount %</t>
        </is>
      </c>
      <c r="C40" s="101" t="inlineStr">
        <is>
          <t>Leave BLANK if no discount. Enter 0.04 for 4% (NOT "4")</t>
        </is>
      </c>
    </row>
    <row r="41" ht="15" customHeight="1" s="99">
      <c r="B41" s="101" t="inlineStr">
        <is>
          <t>Column N — Discount Amount</t>
        </is>
      </c>
      <c r="C41" s="105" t="inlineStr">
        <is>
          <t>⚡ FORMULA — auto-calculates from L × M. DO NOT EDIT.</t>
        </is>
      </c>
    </row>
    <row r="42" ht="15" customHeight="1" s="99">
      <c r="B42" s="101" t="inlineStr">
        <is>
          <t>Column O — Net Amount</t>
        </is>
      </c>
      <c r="C42" s="105" t="inlineStr">
        <is>
          <t>⚡ FORMULA — auto-calculates Gross − Discount. DO NOT EDIT.</t>
        </is>
      </c>
    </row>
    <row r="43" ht="15" customHeight="1" s="99">
      <c r="B43" s="101" t="inlineStr">
        <is>
          <t>Column P — Paid By</t>
        </is>
      </c>
      <c r="C43" s="101" t="inlineStr">
        <is>
          <t>"Self-GPay" / "Self-Bank Transfer" / "Papa" / "Chota Bhai"</t>
        </is>
      </c>
    </row>
    <row r="44" ht="15" customHeight="1" s="99">
      <c r="B44" s="101" t="inlineStr">
        <is>
          <t>Column Q — Payment Mode</t>
        </is>
      </c>
      <c r="C44" s="101" t="inlineStr">
        <is>
          <t>"GPay" / "Bank Transfer" / "Cash"</t>
        </is>
      </c>
    </row>
    <row r="46" ht="15" customHeight="1" s="99">
      <c r="B46" s="103" t="inlineStr">
        <is>
          <t>💡 TIP: Copy formulas from the row above when adding new rows (Col N and O).</t>
        </is>
      </c>
    </row>
    <row r="48" ht="16.25" customHeight="1" s="99">
      <c r="B48" s="106" t="inlineStr">
        <is>
          <t>💳 SHEET: "Payment Tracker" — CASH FLOW LOG</t>
        </is>
      </c>
    </row>
    <row r="49" ht="15" customHeight="1" s="99">
      <c r="B49" s="109" t="inlineStr">
        <is>
          <t>What to enter:</t>
        </is>
      </c>
      <c r="C49" s="101" t="inlineStr">
        <is>
          <t>One row for every payment made (GPay, Bank, Cash).</t>
        </is>
      </c>
    </row>
    <row r="50" ht="15" customHeight="1" s="99">
      <c r="B50" s="109" t="inlineStr">
        <is>
          <t>When to enter:</t>
        </is>
      </c>
      <c r="C50" s="101" t="inlineStr">
        <is>
          <t>Same day the payment is made.</t>
        </is>
      </c>
    </row>
    <row r="51" ht="15" customHeight="1" s="99">
      <c r="B51" s="109" t="inlineStr">
        <is>
          <t>Why separate from Transactions?</t>
        </is>
      </c>
      <c r="C51" s="101" t="inlineStr">
        <is>
          <t>Because payments don't always match deliveries:</t>
        </is>
      </c>
    </row>
    <row r="52" ht="15" customHeight="1" s="99">
      <c r="B52" s="101" t="n"/>
      <c r="C52" s="101" t="inlineStr">
        <is>
          <t xml:space="preserve">  • Advance payments (Brick Company ₹3.69L before delivery)</t>
        </is>
      </c>
    </row>
    <row r="53" ht="15" customHeight="1" s="99">
      <c r="B53" s="101" t="n"/>
      <c r="C53" s="101" t="inlineStr">
        <is>
          <t xml:space="preserve">  • Part payments (Pappu Hardware Bill 63 paid in 2 parts)</t>
        </is>
      </c>
    </row>
    <row r="54" ht="15" customHeight="1" s="99">
      <c r="B54" s="101" t="n"/>
      <c r="C54" s="101" t="inlineStr">
        <is>
          <t xml:space="preserve">  • One payment for multiple items (Bill 2 covers 8 items)</t>
        </is>
      </c>
    </row>
    <row r="55" ht="15" customHeight="1" s="99">
      <c r="B55" s="101" t="n"/>
      <c r="C55" s="101" t="n"/>
    </row>
    <row r="56" ht="15" customHeight="1" s="99">
      <c r="B56" s="109" t="inlineStr">
        <is>
          <t>COLUMNS:</t>
        </is>
      </c>
      <c r="C56" s="101" t="n"/>
    </row>
    <row r="57" ht="15" customHeight="1" s="99">
      <c r="B57" s="101" t="inlineStr">
        <is>
          <t>Column B — Date</t>
        </is>
      </c>
      <c r="C57" s="101" t="inlineStr">
        <is>
          <t>Payment date</t>
        </is>
      </c>
    </row>
    <row r="58" ht="15" customHeight="1" s="99">
      <c r="B58" s="101" t="inlineStr">
        <is>
          <t>Column C — Paid By</t>
        </is>
      </c>
      <c r="C58" s="101" t="inlineStr">
        <is>
          <t>"Self-GPay" / "Self-Bank Transfer" / "Papa" / "Chota Bhai"</t>
        </is>
      </c>
    </row>
    <row r="59" ht="15" customHeight="1" s="99">
      <c r="B59" s="101" t="inlineStr">
        <is>
          <t>Column D — Paid To</t>
        </is>
      </c>
      <c r="C59" s="101" t="inlineStr">
        <is>
          <t>Vendor name (must match vendor name in All Transactions)</t>
        </is>
      </c>
    </row>
    <row r="60" ht="15" customHeight="1" s="99">
      <c r="B60" s="101" t="inlineStr">
        <is>
          <t>Column E — Category</t>
        </is>
      </c>
      <c r="C60" s="101" t="inlineStr">
        <is>
          <t>Main category of what was paid for</t>
        </is>
      </c>
    </row>
    <row r="61" ht="15" customHeight="1" s="99">
      <c r="B61" s="101" t="inlineStr">
        <is>
          <t>Column F — Description</t>
        </is>
      </c>
      <c r="C61" s="101" t="inlineStr">
        <is>
          <t>Details: "Bill 2: Steel + Cement + Dr Fixit"</t>
        </is>
      </c>
    </row>
    <row r="62" ht="15" customHeight="1" s="99">
      <c r="B62" s="101" t="inlineStr">
        <is>
          <t>Column G — Amount</t>
        </is>
      </c>
      <c r="C62" s="101" t="inlineStr">
        <is>
          <t>Exact amount paid (₹202830, ₹95982 etc.)</t>
        </is>
      </c>
    </row>
    <row r="63" ht="15" customHeight="1" s="99">
      <c r="B63" s="101" t="inlineStr">
        <is>
          <t>Column H — Mode</t>
        </is>
      </c>
      <c r="C63" s="101" t="inlineStr">
        <is>
          <t>"GPay" / "Bank Transfer" / "Cash"</t>
        </is>
      </c>
    </row>
    <row r="64" ht="15" customHeight="1" s="99">
      <c r="B64" s="101" t="inlineStr">
        <is>
          <t>Column L — Running Total</t>
        </is>
      </c>
      <c r="C64" s="105" t="inlineStr">
        <is>
          <t>⚡ FORMULA — auto-sums all payments. DO NOT EDIT.</t>
        </is>
      </c>
    </row>
    <row r="65" ht="15" customHeight="1" s="99">
      <c r="B65" s="101" t="inlineStr">
        <is>
          <t>Column M — Notes</t>
        </is>
      </c>
      <c r="C65" s="101" t="inlineStr">
        <is>
          <t>Any extra context</t>
        </is>
      </c>
    </row>
    <row r="67" ht="15" customHeight="1" s="99">
      <c r="B67" s="103" t="inlineStr">
        <is>
          <t>💡 TIP: Copy Running Total formula from row above when adding new payment rows.</t>
        </is>
      </c>
    </row>
    <row r="69" ht="16.25" customHeight="1" s="99">
      <c r="B69" s="108" t="inlineStr">
        <is>
          <t>⚠️ IMPORTANT RULES</t>
        </is>
      </c>
    </row>
    <row r="70" ht="15" customHeight="1" s="99">
      <c r="B70" s="105" t="inlineStr">
        <is>
          <t>1. NEVER edit cells with formulas (Col N, O in Transactions; Col L in Payments).</t>
        </is>
      </c>
    </row>
    <row r="71" ht="15" customHeight="1" s="99">
      <c r="B71" s="101" t="inlineStr">
        <is>
          <t>2. Month column must be TEXT like "May-2026" not a date. Type it manually.</t>
        </is>
      </c>
    </row>
    <row r="72" ht="15" customHeight="1" s="99">
      <c r="B72" s="101" t="inlineStr">
        <is>
          <t>3. Discount % is a DECIMAL: 4% = 0.04, not "4". Leave blank if no discount.</t>
        </is>
      </c>
    </row>
    <row r="73" ht="15" customHeight="1" s="99">
      <c r="B73" s="101" t="inlineStr">
        <is>
          <t>4. Vendor names must be EXACTLY the same across sheets (case-sensitive).</t>
        </is>
      </c>
    </row>
    <row r="74" ht="15" customHeight="1" s="99">
      <c r="B74" s="101" t="inlineStr">
        <is>
          <t>5. When adding a new row, ALWAYS copy formulas from the row above.</t>
        </is>
      </c>
    </row>
    <row r="75" ht="15" customHeight="1" s="99">
      <c r="B75" s="101" t="inlineStr">
        <is>
          <t>6. Don't insert rows in the MIDDLE — always add at the BOTTOM of existing data.</t>
        </is>
      </c>
    </row>
    <row r="76" ht="15" customHeight="1" s="99">
      <c r="B76" s="101" t="inlineStr">
        <is>
          <t>7. Brick deliveries go in All Transactions but NO payment (advance already paid).</t>
        </is>
      </c>
    </row>
    <row r="77" ht="15" customHeight="1" s="99">
      <c r="B77" s="101" t="inlineStr">
        <is>
          <t>8. The advance balance auto-tracks in Vendor Summary sheet.</t>
        </is>
      </c>
    </row>
    <row r="78" ht="15" customHeight="1" s="99">
      <c r="B78" s="101" t="inlineStr">
        <is>
          <t>9. For lumpsum items (transport, labour), use Qty=1, Rate=total amount.</t>
        </is>
      </c>
    </row>
    <row r="79" ht="15" customHeight="1" s="99">
      <c r="B79" s="101" t="inlineStr">
        <is>
          <t>10. Keep Sr numbers sequential — no gaps.</t>
        </is>
      </c>
    </row>
    <row r="81" ht="16.25" customHeight="1" s="99">
      <c r="B81" s="102" t="inlineStr">
        <is>
          <t>📋 EXAMPLE: Adding a new cement delivery</t>
        </is>
      </c>
    </row>
    <row r="82" ht="15" customHeight="1" s="99">
      <c r="B82" s="109" t="inlineStr">
        <is>
          <t>Step 1:</t>
        </is>
      </c>
      <c r="C82" s="101" t="inlineStr">
        <is>
          <t>Go to "All Transactions" sheet, find the last row with data.</t>
        </is>
      </c>
    </row>
    <row r="83" ht="15" customHeight="1" s="99">
      <c r="B83" s="109" t="inlineStr">
        <is>
          <t>Step 2:</t>
        </is>
      </c>
      <c r="C83" s="101" t="inlineStr">
        <is>
          <t>In the next empty row, enter:</t>
        </is>
      </c>
    </row>
    <row r="84" ht="15" customHeight="1" s="99">
      <c r="B84" s="109" t="n"/>
      <c r="C84" s="101" t="inlineStr">
        <is>
          <t xml:space="preserve">  B: 02-06-2026  |  C: Jun-2026  |  D: Plinth</t>
        </is>
      </c>
    </row>
    <row r="85" ht="15" customHeight="1" s="99">
      <c r="B85" s="109" t="n"/>
      <c r="C85" s="101" t="inlineStr">
        <is>
          <t xml:space="preserve">  E: Building Materials  |  F: Cement-Ultratech Super</t>
        </is>
      </c>
    </row>
    <row r="86" ht="15" customHeight="1" s="99">
      <c r="B86" s="109" t="n"/>
      <c r="C86" s="101" t="inlineStr">
        <is>
          <t xml:space="preserve">  G: Cement Ultratech Super - 50 bags  |  H: Pappu Hardware</t>
        </is>
      </c>
    </row>
    <row r="87" ht="15" customHeight="1" s="99">
      <c r="B87" s="109" t="n"/>
      <c r="C87" s="101" t="inlineStr">
        <is>
          <t xml:space="preserve">  I: 50  |  J: Bags  |  K: 360  |  L: 18000</t>
        </is>
      </c>
    </row>
    <row r="88" ht="15" customHeight="1" s="99">
      <c r="B88" s="109" t="n"/>
      <c r="C88" s="101" t="inlineStr">
        <is>
          <t xml:space="preserve">  M: (leave blank)  |  P: Self-GPay  |  Q: GPay</t>
        </is>
      </c>
    </row>
    <row r="89" ht="15" customHeight="1" s="99">
      <c r="B89" s="109" t="inlineStr">
        <is>
          <t>Step 3:</t>
        </is>
      </c>
      <c r="C89" s="101" t="inlineStr">
        <is>
          <t>Copy formulas from the row above into Col N and Col O.</t>
        </is>
      </c>
    </row>
    <row r="90" ht="15" customHeight="1" s="99">
      <c r="B90" s="109" t="inlineStr">
        <is>
          <t>Step 4:</t>
        </is>
      </c>
      <c r="C90" s="101" t="inlineStr">
        <is>
          <t>Go to "Payment Tracker" sheet, add payment row.</t>
        </is>
      </c>
    </row>
    <row r="91" ht="15" customHeight="1" s="99">
      <c r="B91" s="109" t="inlineStr">
        <is>
          <t>Step 5:</t>
        </is>
      </c>
      <c r="C91" s="101" t="inlineStr">
        <is>
          <t>All summary sheets will auto-update!</t>
        </is>
      </c>
    </row>
    <row r="93" ht="16.25" customHeight="1" s="99">
      <c r="B93" s="102" t="inlineStr">
        <is>
          <t>🏪 CURRENT VENDORS (use exact names)</t>
        </is>
      </c>
    </row>
    <row r="94" ht="15" customHeight="1" s="99">
      <c r="B94" s="4" t="inlineStr">
        <is>
          <t>Pappu Hardware</t>
        </is>
      </c>
      <c r="C94" s="5" t="inlineStr">
        <is>
          <t>Steel, Cement, Wire, Dr Fixit, Hardware</t>
        </is>
      </c>
    </row>
    <row r="95" ht="15" customHeight="1" s="99">
      <c r="B95" s="4" t="inlineStr">
        <is>
          <t>Brick Company</t>
        </is>
      </c>
      <c r="C95" s="5" t="inlineStr">
        <is>
          <t>Bricks (advance-based, track delivery vs advance)</t>
        </is>
      </c>
    </row>
    <row r="96" ht="15" customHeight="1" s="99">
      <c r="B96" s="4" t="inlineStr">
        <is>
          <t>Econ Builder</t>
        </is>
      </c>
      <c r="C96" s="5" t="inlineStr">
        <is>
          <t>Engineer — construction supervision</t>
        </is>
      </c>
    </row>
    <row r="97" ht="15" customHeight="1" s="99">
      <c r="B97" s="4" t="inlineStr">
        <is>
          <t>Concrete Supplier</t>
        </is>
      </c>
      <c r="C97" s="5" t="inlineStr">
        <is>
          <t>Gitti / Crushed Stone</t>
        </is>
      </c>
    </row>
    <row r="98" ht="15" customHeight="1" s="99">
      <c r="B98" s="4" t="inlineStr">
        <is>
          <t>Sand Truck Wala</t>
        </is>
      </c>
      <c r="C98" s="5" t="inlineStr">
        <is>
          <t>Sand (CFT)</t>
        </is>
      </c>
    </row>
    <row r="99" ht="15" customHeight="1" s="99">
      <c r="B99" s="4" t="inlineStr">
        <is>
          <t>Mukesh Yadav</t>
        </is>
      </c>
      <c r="C99" s="5" t="inlineStr">
        <is>
          <t>JCB + Mitti filling (trailers)</t>
        </is>
      </c>
    </row>
    <row r="100" ht="15" customHeight="1" s="99">
      <c r="B100" s="4" t="inlineStr">
        <is>
          <t>Naveen Hardware</t>
        </is>
      </c>
      <c r="C100" s="5" t="inlineStr">
        <is>
          <t>Cement (alternate supplier)</t>
        </is>
      </c>
    </row>
    <row r="101" ht="15" customHeight="1" s="99">
      <c r="B101" s="4" t="inlineStr">
        <is>
          <t>Daily Labour</t>
        </is>
      </c>
      <c r="C101" s="5" t="inlineStr">
        <is>
          <t>Earth filling and site labour</t>
        </is>
      </c>
    </row>
    <row r="102" ht="15" customHeight="1" s="99">
      <c r="B102" s="4" t="inlineStr">
        <is>
          <t>Local + Sonbhai</t>
        </is>
      </c>
      <c r="C102" s="5" t="inlineStr">
        <is>
          <t>Panni, Tools, Food, Site cleaning</t>
        </is>
      </c>
    </row>
    <row r="104" ht="16.25" customHeight="1" s="99">
      <c r="B104" s="102" t="inlineStr">
        <is>
          <t>👤 PAYER CODES (use exact text in "Paid By" column)</t>
        </is>
      </c>
    </row>
    <row r="105" ht="15" customHeight="1" s="99">
      <c r="B105" s="4" t="inlineStr">
        <is>
          <t>Self-GPay</t>
        </is>
      </c>
      <c r="C105" s="5" t="inlineStr">
        <is>
          <t>Avinash pays via Google Pay</t>
        </is>
      </c>
    </row>
    <row r="106" ht="15" customHeight="1" s="99">
      <c r="B106" s="4" t="inlineStr">
        <is>
          <t>Self-Bank Transfer</t>
        </is>
      </c>
      <c r="C106" s="5" t="inlineStr">
        <is>
          <t>Avinash pays via net banking / NEFT</t>
        </is>
      </c>
    </row>
    <row r="107" ht="15" customHeight="1" s="99">
      <c r="B107" s="4" t="inlineStr">
        <is>
          <t>Papa</t>
        </is>
      </c>
      <c r="C107" s="5" t="inlineStr">
        <is>
          <t>Papa pays via GPay</t>
        </is>
      </c>
    </row>
    <row r="108" ht="15" customHeight="1" s="99">
      <c r="B108" s="4" t="inlineStr">
        <is>
          <t>Chota Bhai</t>
        </is>
      </c>
      <c r="C108" s="5" t="inlineStr">
        <is>
          <t>Chota Bhai pays via GPay</t>
        </is>
      </c>
    </row>
    <row r="110" ht="15" customHeight="1" s="99">
      <c r="B110" s="111" t="inlineStr">
        <is>
          <t>Last updated: 01 Jun 2026 | Created by Claude for Avinash</t>
        </is>
      </c>
    </row>
  </sheetData>
  <mergeCells count="39">
    <mergeCell ref="B16:C16"/>
    <mergeCell ref="B7:C7"/>
    <mergeCell ref="B72:C72"/>
    <mergeCell ref="B81:C81"/>
    <mergeCell ref="B46:C46"/>
    <mergeCell ref="B93:C93"/>
    <mergeCell ref="B18:C18"/>
    <mergeCell ref="B71:C71"/>
    <mergeCell ref="B12:C12"/>
    <mergeCell ref="B77:C77"/>
    <mergeCell ref="B70:C70"/>
    <mergeCell ref="B21:C21"/>
    <mergeCell ref="B48:C48"/>
    <mergeCell ref="B11:C11"/>
    <mergeCell ref="B67:C67"/>
    <mergeCell ref="B23:C23"/>
    <mergeCell ref="B14:C14"/>
    <mergeCell ref="B17:C17"/>
    <mergeCell ref="B8:C8"/>
    <mergeCell ref="B73:C73"/>
    <mergeCell ref="B13:C13"/>
    <mergeCell ref="A1:D1"/>
    <mergeCell ref="B69:C69"/>
    <mergeCell ref="B78:C78"/>
    <mergeCell ref="B19:C19"/>
    <mergeCell ref="B10:C10"/>
    <mergeCell ref="B9:C9"/>
    <mergeCell ref="B74:C74"/>
    <mergeCell ref="B6:C6"/>
    <mergeCell ref="B15:C15"/>
    <mergeCell ref="B104:C104"/>
    <mergeCell ref="B5:C5"/>
    <mergeCell ref="B20:C20"/>
    <mergeCell ref="B76:C76"/>
    <mergeCell ref="A2:D2"/>
    <mergeCell ref="B110:C110"/>
    <mergeCell ref="B79:C79"/>
    <mergeCell ref="B4:C4"/>
    <mergeCell ref="B75:C75"/>
  </mergeCell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tabColor rgb="FF1B2A4A"/>
    <outlinePr summaryBelow="1" summaryRight="1"/>
    <pageSetUpPr/>
  </sheetPr>
  <dimension ref="A1:N64"/>
  <sheetViews>
    <sheetView showGridLines="0" tabSelected="1" zoomScaleNormal="100" workbookViewId="0">
      <pane ySplit="4" topLeftCell="A5" activePane="bottomLeft" state="frozen"/>
      <selection pane="bottomLeft" activeCell="A1" sqref="A1:M1"/>
    </sheetView>
  </sheetViews>
  <sheetFormatPr baseColWidth="10" defaultColWidth="8.6640625" defaultRowHeight="15"/>
  <cols>
    <col width="2" customWidth="1" style="99" min="1" max="1"/>
    <col width="18" customWidth="1" style="99" min="2" max="2"/>
    <col width="14" customWidth="1" style="99" min="3" max="3"/>
    <col width="2" customWidth="1" style="99" min="4" max="4"/>
    <col width="18" customWidth="1" style="99" min="5" max="5"/>
    <col width="14" customWidth="1" style="99" min="6" max="6"/>
    <col width="2" customWidth="1" style="99" min="7" max="7"/>
    <col width="18" customWidth="1" style="99" min="8" max="8"/>
    <col width="14" customWidth="1" style="99" min="9" max="9"/>
    <col width="2" customWidth="1" style="99" min="10" max="10"/>
    <col width="18" customWidth="1" style="99" min="11" max="11"/>
    <col width="14" customWidth="1" style="99" min="12" max="12"/>
    <col width="2" customWidth="1" style="99" min="13" max="14"/>
  </cols>
  <sheetData>
    <row r="1" ht="6" customHeight="1" s="99">
      <c r="A1" s="119" t="n"/>
      <c r="N1" s="6" t="n"/>
    </row>
    <row r="2" ht="37.5" customHeight="1" s="99">
      <c r="A2" s="124" t="inlineStr">
        <is>
          <t xml:space="preserve">  🏠  BIHAR HOME BUILD — PROJECT DASHBOARD</t>
        </is>
      </c>
      <c r="N2" s="6" t="n"/>
    </row>
    <row r="3" ht="24" customHeight="1" s="99">
      <c r="A3" s="115" t="inlineStr">
        <is>
          <t xml:space="preserve">  Plinth Phase · Started 7 May 2026</t>
        </is>
      </c>
      <c r="G3" s="123" t="inlineStr">
        <is>
          <t xml:space="preserve">Auto-updates from All Transactions &amp; Payment Tracker  </t>
        </is>
      </c>
      <c r="N3" s="6" t="n"/>
    </row>
    <row r="4" ht="9.75" customHeight="1" s="99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</row>
    <row r="5" ht="3.75" customHeight="1" s="99">
      <c r="A5" s="6" t="n"/>
      <c r="B5" s="7" t="n"/>
      <c r="C5" s="7" t="n"/>
      <c r="D5" s="6" t="n"/>
      <c r="E5" s="8" t="n"/>
      <c r="F5" s="8" t="n"/>
      <c r="G5" s="6" t="n"/>
      <c r="H5" s="9" t="n"/>
      <c r="I5" s="9" t="n"/>
      <c r="J5" s="6" t="n"/>
      <c r="K5" s="10" t="n"/>
      <c r="L5" s="10" t="n"/>
      <c r="M5" s="6" t="n"/>
      <c r="N5" s="6" t="n"/>
    </row>
    <row r="6" ht="19.5" customHeight="1" s="99">
      <c r="A6" s="6" t="n"/>
      <c r="B6" s="118" t="inlineStr">
        <is>
          <t>TOTAL CASH PAID</t>
        </is>
      </c>
      <c r="C6" s="113" t="n"/>
      <c r="D6" s="6" t="n"/>
      <c r="E6" s="118" t="inlineStr">
        <is>
          <t>MATERIAL ON SITE</t>
        </is>
      </c>
      <c r="F6" s="113" t="n"/>
      <c r="G6" s="6" t="n"/>
      <c r="H6" s="118" t="inlineStr">
        <is>
          <t>VENDOR ADVANCE</t>
        </is>
      </c>
      <c r="I6" s="113" t="n"/>
      <c r="J6" s="6" t="n"/>
      <c r="K6" s="118" t="inlineStr">
        <is>
          <t>BALANCE DUE</t>
        </is>
      </c>
      <c r="L6" s="113" t="n"/>
      <c r="M6" s="6" t="n"/>
      <c r="N6" s="6" t="n"/>
    </row>
    <row r="7" ht="33.75" customHeight="1" s="99">
      <c r="A7" s="6" t="n"/>
      <c r="B7" s="112">
        <f>SUM('Payment Tracker'!G5:G500)</f>
        <v/>
      </c>
      <c r="C7" s="113" t="n"/>
      <c r="D7" s="6" t="n"/>
      <c r="E7" s="122">
        <f>'Material Summary'!H35</f>
        <v/>
      </c>
      <c r="F7" s="113" t="n"/>
      <c r="G7" s="6" t="n"/>
      <c r="H7" s="120">
        <f>-SUMIF('Vendor Summary'!E5:E16,"&lt;0")</f>
        <v/>
      </c>
      <c r="I7" s="113" t="n"/>
      <c r="J7" s="6" t="n"/>
      <c r="K7" s="121">
        <f>SUMIF('Vendor Summary'!E5:E16,"&gt;0")</f>
        <v/>
      </c>
      <c r="L7" s="113" t="n"/>
      <c r="M7" s="6" t="n"/>
      <c r="N7" s="6" t="n"/>
    </row>
    <row r="8" ht="18" customHeight="1" s="99">
      <c r="A8" s="6" t="n"/>
      <c r="B8" s="116" t="inlineStr">
        <is>
          <t>All payments made to date</t>
        </is>
      </c>
      <c r="C8" s="117" t="n"/>
      <c r="D8" s="6" t="n"/>
      <c r="E8" s="116" t="inlineStr">
        <is>
          <t>Net billed value of materials</t>
        </is>
      </c>
      <c r="F8" s="117" t="n"/>
      <c r="G8" s="6" t="n"/>
      <c r="H8" s="116" t="inlineStr">
        <is>
          <t>Advance paid beyond billed (all vendors)</t>
        </is>
      </c>
      <c r="I8" s="117" t="n"/>
      <c r="J8" s="6" t="n"/>
      <c r="K8" s="116" t="inlineStr">
        <is>
          <t>Unpaid vendor bills</t>
        </is>
      </c>
      <c r="L8" s="117" t="n"/>
      <c r="M8" s="6" t="n"/>
      <c r="N8" s="6" t="n"/>
    </row>
    <row r="9" ht="12" customHeight="1" s="9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 ht="25.5" customHeight="1" s="99">
      <c r="A10" s="6" t="n"/>
      <c r="B10" s="114" t="inlineStr">
        <is>
          <t>👥  WHO PAID</t>
        </is>
      </c>
      <c r="D10" s="6" t="n"/>
      <c r="E10" s="114" t="inlineStr">
        <is>
          <t>📊  CATEGORY BREAKDOWN</t>
        </is>
      </c>
      <c r="G10" s="6" t="n"/>
      <c r="H10" s="114" t="inlineStr">
        <is>
          <t>🏪  VENDOR STATUS</t>
        </is>
      </c>
      <c r="M10" s="6" t="n"/>
      <c r="N10" s="6" t="n"/>
    </row>
    <row r="11" ht="15" customHeight="1" s="99">
      <c r="A11" s="6" t="n"/>
      <c r="B11" s="11" t="inlineStr">
        <is>
          <t>Payer</t>
        </is>
      </c>
      <c r="C11" s="11" t="inlineStr">
        <is>
          <t>Amount ₹</t>
        </is>
      </c>
      <c r="D11" s="6" t="n"/>
      <c r="E11" s="11" t="inlineStr">
        <is>
          <t>Category</t>
        </is>
      </c>
      <c r="F11" s="11" t="inlineStr">
        <is>
          <t>Amount ₹</t>
        </is>
      </c>
      <c r="G11" s="6" t="n"/>
      <c r="H11" s="11" t="inlineStr">
        <is>
          <t>Vendor</t>
        </is>
      </c>
      <c r="I11" s="11" t="inlineStr">
        <is>
          <t>Billed ₹</t>
        </is>
      </c>
      <c r="J11" s="11" t="inlineStr">
        <is>
          <t>Paid ₹</t>
        </is>
      </c>
      <c r="K11" s="11" t="inlineStr">
        <is>
          <t>Pending ₹</t>
        </is>
      </c>
      <c r="L11" s="11" t="inlineStr">
        <is>
          <t>Status</t>
        </is>
      </c>
      <c r="M11" s="6" t="n"/>
      <c r="N11" s="6" t="n"/>
    </row>
    <row r="12" ht="15" customHeight="1" s="99">
      <c r="A12" s="6" t="n"/>
      <c r="B12" s="12" t="inlineStr">
        <is>
          <t>Avinash</t>
        </is>
      </c>
      <c r="C12" s="13">
        <f>SUMIF('Payment Tracker'!C:C,"Self",'Payment Tracker'!G:G)+SUMIF('Payment Tracker'!C:C,"Self-GPay",'Payment Tracker'!G:G)+SUMIF('Payment Tracker'!C:C,"Self-Bank Transfer",'Payment Tracker'!G:G)</f>
        <v/>
      </c>
      <c r="D12" s="6" t="n"/>
      <c r="E12" s="12" t="inlineStr">
        <is>
          <t>Building Materials</t>
        </is>
      </c>
      <c r="F12" s="14">
        <f>SUMIFS('All Transactions'!O:O,'All Transactions'!E:E,E12)</f>
        <v/>
      </c>
      <c r="G12" s="6" t="n"/>
      <c r="H12" s="12" t="inlineStr">
        <is>
          <t>Pappu Hardware</t>
        </is>
      </c>
      <c r="I12" s="15">
        <f>SUMIF('All Transactions'!H:H,H12,'All Transactions'!O:O)</f>
        <v/>
      </c>
      <c r="J12" s="15">
        <f>SUMIF('Payment Tracker'!D:D,H12,'Payment Tracker'!G:G)</f>
        <v/>
      </c>
      <c r="K12" s="15">
        <f>IF(I12=0,"—",I12-J12)</f>
        <v/>
      </c>
      <c r="L12" s="16">
        <f>IF(I12=0,"—",IF(K12&gt;0,"⚠ DUE",IF(K12&lt;0,"🔵 ADV","✅ PAID")))</f>
        <v/>
      </c>
      <c r="M12" s="6" t="n"/>
      <c r="N12" s="6" t="n"/>
    </row>
    <row r="13" ht="15" customHeight="1" s="99">
      <c r="A13" s="6" t="n"/>
      <c r="B13" s="17" t="inlineStr">
        <is>
          <t>Papa</t>
        </is>
      </c>
      <c r="C13" s="18">
        <f>SUMIF('Payment Tracker'!C:C,B13,'Payment Tracker'!G:G)</f>
        <v/>
      </c>
      <c r="D13" s="6" t="n"/>
      <c r="E13" s="17" t="inlineStr">
        <is>
          <t>Steel / Iron</t>
        </is>
      </c>
      <c r="F13" s="19">
        <f>SUMIFS('All Transactions'!O:O,'All Transactions'!E:E,E13)</f>
        <v/>
      </c>
      <c r="G13" s="6" t="n"/>
      <c r="H13" s="17" t="inlineStr">
        <is>
          <t>Econ Builder</t>
        </is>
      </c>
      <c r="I13" s="20">
        <f>SUMIF('All Transactions'!H:H,H13,'All Transactions'!O:O)</f>
        <v/>
      </c>
      <c r="J13" s="20">
        <f>SUMIF('Payment Tracker'!D:D,H13,'Payment Tracker'!G:G)</f>
        <v/>
      </c>
      <c r="K13" s="20">
        <f>IF(I13=0,"—",I13-J13)</f>
        <v/>
      </c>
      <c r="L13" s="21">
        <f>IF(I13=0,"—",IF(K13&gt;0,"⚠ DUE",IF(K13&lt;0,"🔵 ADV","✅ PAID")))</f>
        <v/>
      </c>
      <c r="M13" s="6" t="n"/>
      <c r="N13" s="6" t="n"/>
    </row>
    <row r="14" ht="15" customHeight="1" s="99">
      <c r="A14" s="6" t="n"/>
      <c r="B14" s="12" t="inlineStr">
        <is>
          <t>Chota Bhai</t>
        </is>
      </c>
      <c r="C14" s="13">
        <f>SUMIF('Payment Tracker'!C:C,B14,'Payment Tracker'!G:G)</f>
        <v/>
      </c>
      <c r="D14" s="6" t="n"/>
      <c r="E14" s="12" t="inlineStr">
        <is>
          <t>Electrical</t>
        </is>
      </c>
      <c r="F14" s="14">
        <f>SUMIFS('All Transactions'!O:O,'All Transactions'!E:E,E14)</f>
        <v/>
      </c>
      <c r="G14" s="6" t="n"/>
      <c r="H14" s="12" t="inlineStr">
        <is>
          <t>Brick Company</t>
        </is>
      </c>
      <c r="I14" s="15">
        <f>SUMIF('All Transactions'!H:H,H14,'All Transactions'!O:O)</f>
        <v/>
      </c>
      <c r="J14" s="15">
        <f>SUMIF('Payment Tracker'!D:D,H14,'Payment Tracker'!G:G)</f>
        <v/>
      </c>
      <c r="K14" s="15">
        <f>IF(I14=0,"—",I14-J14)</f>
        <v/>
      </c>
      <c r="L14" s="16">
        <f>IF(I14=0,"—",IF(K14&gt;0,"⚠ DUE",IF(K14&lt;0,"🔵 ADV","✅ PAID")))</f>
        <v/>
      </c>
      <c r="M14" s="6" t="n"/>
      <c r="N14" s="6" t="n"/>
    </row>
    <row r="15" ht="15" customHeight="1" s="99">
      <c r="A15" s="6" t="n"/>
      <c r="B15" s="17" t="n"/>
      <c r="C15" s="18" t="n"/>
      <c r="D15" s="6" t="n"/>
      <c r="E15" s="17" t="inlineStr">
        <is>
          <t>Labour</t>
        </is>
      </c>
      <c r="F15" s="19">
        <f>SUMIFS('All Transactions'!O:O,'All Transactions'!E:E,E15)</f>
        <v/>
      </c>
      <c r="G15" s="6" t="n"/>
      <c r="H15" s="17" t="inlineStr">
        <is>
          <t>Concrete Supplier</t>
        </is>
      </c>
      <c r="I15" s="20">
        <f>SUMIF('All Transactions'!H:H,H15,'All Transactions'!O:O)</f>
        <v/>
      </c>
      <c r="J15" s="20">
        <f>SUMIF('Payment Tracker'!D:D,H15,'Payment Tracker'!G:G)</f>
        <v/>
      </c>
      <c r="K15" s="20">
        <f>IF(I15=0,"—",I15-J15)</f>
        <v/>
      </c>
      <c r="L15" s="21">
        <f>IF(I15=0,"—",IF(K15&gt;0,"⚠ DUE",IF(K15&lt;0,"🔵 ADV","✅ PAID")))</f>
        <v/>
      </c>
      <c r="M15" s="6" t="n"/>
      <c r="N15" s="6" t="n"/>
    </row>
    <row r="16" ht="15" customHeight="1" s="99">
      <c r="A16" s="6" t="n"/>
      <c r="B16" s="12" t="n"/>
      <c r="C16" s="13" t="n"/>
      <c r="D16" s="6" t="n"/>
      <c r="E16" s="12" t="inlineStr">
        <is>
          <t>Professional Fees</t>
        </is>
      </c>
      <c r="F16" s="14">
        <f>SUMIFS('All Transactions'!O:O,'All Transactions'!E:E,E16)</f>
        <v/>
      </c>
      <c r="G16" s="6" t="n"/>
      <c r="H16" s="12" t="inlineStr">
        <is>
          <t>Sand Truck Wala</t>
        </is>
      </c>
      <c r="I16" s="15">
        <f>SUMIF('All Transactions'!H:H,H16,'All Transactions'!O:O)</f>
        <v/>
      </c>
      <c r="J16" s="15">
        <f>SUMIF('Payment Tracker'!D:D,H16,'Payment Tracker'!G:G)</f>
        <v/>
      </c>
      <c r="K16" s="15">
        <f>IF(I16=0,"—",I16-J16)</f>
        <v/>
      </c>
      <c r="L16" s="16">
        <f>IF(I16=0,"—",IF(K16&gt;0,"⚠ DUE",IF(K16&lt;0,"🔵 ADV","✅ PAID")))</f>
        <v/>
      </c>
      <c r="M16" s="6" t="n"/>
      <c r="N16" s="6" t="n"/>
    </row>
    <row r="17" ht="15" customHeight="1" s="99">
      <c r="A17" s="6" t="n"/>
      <c r="B17" s="22" t="inlineStr">
        <is>
          <t>TOTAL</t>
        </is>
      </c>
      <c r="C17" s="23">
        <f>SUM(C12:C16)</f>
        <v/>
      </c>
      <c r="D17" s="6" t="n"/>
      <c r="E17" s="17" t="inlineStr">
        <is>
          <t>Land Development</t>
        </is>
      </c>
      <c r="F17" s="19">
        <f>SUMIFS('All Transactions'!O:O,'All Transactions'!E:E,E17)</f>
        <v/>
      </c>
      <c r="G17" s="6" t="n"/>
      <c r="H17" s="17" t="inlineStr">
        <is>
          <t>Mukesh Yadav</t>
        </is>
      </c>
      <c r="I17" s="20">
        <f>SUMIF('All Transactions'!H:H,H17,'All Transactions'!O:O)</f>
        <v/>
      </c>
      <c r="J17" s="20">
        <f>SUMIF('Payment Tracker'!D:D,H17,'Payment Tracker'!G:G)</f>
        <v/>
      </c>
      <c r="K17" s="20">
        <f>IF(I17=0,"—",I17-J17)</f>
        <v/>
      </c>
      <c r="L17" s="21">
        <f>IF(I17=0,"—",IF(K17&gt;0,"⚠ DUE",IF(K17&lt;0,"🔵 ADV","✅ PAID")))</f>
        <v/>
      </c>
      <c r="M17" s="6" t="n"/>
      <c r="N17" s="6" t="n"/>
    </row>
    <row r="18" ht="15" customHeight="1" s="99">
      <c r="A18" s="6" t="n"/>
      <c r="B18" s="6" t="n"/>
      <c r="C18" s="6" t="n"/>
      <c r="D18" s="6" t="n"/>
      <c r="E18" s="12" t="inlineStr">
        <is>
          <t>Transport · Food · Misc</t>
        </is>
      </c>
      <c r="F18" s="14">
        <f>SUMIFS('All Transactions'!O:O,'All Transactions'!E:E,E18)</f>
        <v/>
      </c>
      <c r="G18" s="6" t="n"/>
      <c r="H18" s="12" t="inlineStr">
        <is>
          <t>Daily Labour</t>
        </is>
      </c>
      <c r="I18" s="15">
        <f>SUMIF('All Transactions'!H:H,H18,'All Transactions'!O:O)</f>
        <v/>
      </c>
      <c r="J18" s="15">
        <f>SUMIF('Payment Tracker'!D:D,H18,'Payment Tracker'!G:G)</f>
        <v/>
      </c>
      <c r="K18" s="15">
        <f>IF(I18=0,"—",I18-J18)</f>
        <v/>
      </c>
      <c r="L18" s="16">
        <f>IF(I18=0,"—",IF(K18&gt;0,"⚠ DUE",IF(K18&lt;0,"🔵 ADV","✅ PAID")))</f>
        <v/>
      </c>
      <c r="M18" s="6" t="n"/>
      <c r="N18" s="6" t="n"/>
    </row>
    <row r="19" ht="15" customHeight="1" s="99">
      <c r="A19" s="6" t="n"/>
      <c r="B19" s="6" t="n"/>
      <c r="C19" s="6" t="n"/>
      <c r="D19" s="6" t="n"/>
      <c r="E19" s="17" t="n"/>
      <c r="F19" s="19" t="n"/>
      <c r="G19" s="6" t="n"/>
      <c r="H19" s="17" t="inlineStr">
        <is>
          <t>Khutauna Chirai mill</t>
        </is>
      </c>
      <c r="I19" s="20">
        <f>SUMIF('All Transactions'!H:H,H19,'All Transactions'!O:O)</f>
        <v/>
      </c>
      <c r="J19" s="20">
        <f>SUMIF('Payment Tracker'!D:D,H19,'Payment Tracker'!G:G)</f>
        <v/>
      </c>
      <c r="K19" s="20">
        <f>IF(I19=0,"—",I19-J19)</f>
        <v/>
      </c>
      <c r="L19" s="21">
        <f>IF(I19=0,"—",IF(K19&gt;0,"⚠ DUE",IF(K19&lt;0,"🔵 ADV","✅ PAID")))</f>
        <v/>
      </c>
      <c r="M19" s="6" t="n"/>
      <c r="N19" s="6" t="n"/>
    </row>
    <row r="20" ht="15" customHeight="1" s="99">
      <c r="A20" s="6" t="n"/>
      <c r="B20" s="6" t="n"/>
      <c r="C20" s="6" t="n"/>
      <c r="D20" s="6" t="n"/>
      <c r="E20" s="22" t="inlineStr">
        <is>
          <t>TOTAL</t>
        </is>
      </c>
      <c r="F20" s="23">
        <f>SUM(F12:F19)</f>
        <v/>
      </c>
      <c r="G20" s="6" t="n"/>
      <c r="H20" s="12" t="inlineStr">
        <is>
          <t>Local Purchase</t>
        </is>
      </c>
      <c r="I20" s="15">
        <f>SUMIF('All Transactions'!H:H,H20,'All Transactions'!O:O)</f>
        <v/>
      </c>
      <c r="J20" s="15">
        <f>SUMIF('Payment Tracker'!D:D,H20,'Payment Tracker'!G:G)</f>
        <v/>
      </c>
      <c r="K20" s="15">
        <f>IF(I20=0,"—",I20-J20)</f>
        <v/>
      </c>
      <c r="L20" s="16">
        <f>IF(I20=0,"—",IF(K20&gt;0,"⚠ DUE",IF(K20&lt;0,"🔵 ADV","✅ PAID")))</f>
        <v/>
      </c>
      <c r="M20" s="6" t="n"/>
      <c r="N20" s="6" t="n"/>
    </row>
    <row r="21" ht="15" customHeight="1" s="99">
      <c r="A21" s="6" t="n"/>
      <c r="B21" s="6" t="n"/>
      <c r="C21" s="6" t="n"/>
      <c r="D21" s="6" t="n"/>
      <c r="E21" s="6" t="n"/>
      <c r="F21" s="6" t="n"/>
      <c r="G21" s="6" t="n"/>
      <c r="H21" s="17" t="inlineStr">
        <is>
          <t>Other vendors</t>
        </is>
      </c>
      <c r="I21" s="20">
        <f>'Vendor Summary'!C17-SUM(I12:I20)</f>
        <v/>
      </c>
      <c r="J21" s="20">
        <f>'Vendor Summary'!D17-SUM(J12:J20)</f>
        <v/>
      </c>
      <c r="K21" s="20">
        <f>IF(I21=0,"—",I21-J21)</f>
        <v/>
      </c>
      <c r="L21" s="21">
        <f>IF(I21=0,"—",IF(K21&gt;0,"⚠ DUE",IF(K21&lt;0,"🔵 ADV","✅ PAID")))</f>
        <v/>
      </c>
      <c r="M21" s="6" t="n"/>
      <c r="N21" s="6" t="n"/>
    </row>
    <row r="22" ht="15" customHeight="1" s="99">
      <c r="A22" s="6" t="n"/>
      <c r="B22" s="6" t="n"/>
      <c r="C22" s="6" t="n"/>
      <c r="D22" s="6" t="n"/>
      <c r="E22" s="6" t="n"/>
      <c r="F22" s="6" t="n"/>
      <c r="G22" s="6" t="n"/>
      <c r="H22" s="22" t="inlineStr">
        <is>
          <t>TOTAL</t>
        </is>
      </c>
      <c r="I22" s="24">
        <f>SUM(I12:I21)</f>
        <v/>
      </c>
      <c r="J22" s="24">
        <f>SUM(J12:J21)</f>
        <v/>
      </c>
      <c r="K22" s="24">
        <f>SUM(K12:K21)</f>
        <v/>
      </c>
      <c r="L22" s="25" t="n"/>
      <c r="M22" s="6" t="n"/>
      <c r="N22" s="6" t="n"/>
    </row>
    <row r="23" ht="15" customHeight="1" s="99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 ht="25.5" customHeight="1" s="99">
      <c r="A24" s="6" t="n"/>
      <c r="B24" s="114" t="inlineStr">
        <is>
          <t>📦  MATERIALS ON SITE</t>
        </is>
      </c>
      <c r="J24" s="6" t="n"/>
      <c r="K24" s="114" t="inlineStr">
        <is>
          <t>📅  MONTHLY TREND</t>
        </is>
      </c>
      <c r="M24" s="6" t="n"/>
      <c r="N24" s="6" t="n"/>
    </row>
    <row r="25" ht="15" customHeight="1" s="99">
      <c r="A25" s="6" t="n"/>
      <c r="B25" s="11" t="inlineStr">
        <is>
          <t>Material</t>
        </is>
      </c>
      <c r="C25" s="11" t="inlineStr">
        <is>
          <t>Qty</t>
        </is>
      </c>
      <c r="D25" s="11" t="inlineStr">
        <is>
          <t>Unit</t>
        </is>
      </c>
      <c r="E25" s="11" t="inlineStr">
        <is>
          <t>Avg Rate</t>
        </is>
      </c>
      <c r="F25" s="11" t="inlineStr">
        <is>
          <t>Gross ₹</t>
        </is>
      </c>
      <c r="G25" s="11" t="inlineStr">
        <is>
          <t>Disc ₹</t>
        </is>
      </c>
      <c r="H25" s="11" t="inlineStr">
        <is>
          <t>Net ₹</t>
        </is>
      </c>
      <c r="I25" s="11" t="inlineStr">
        <is>
          <t>% Share</t>
        </is>
      </c>
      <c r="J25" s="6" t="n"/>
      <c r="K25" s="11" t="inlineStr">
        <is>
          <t>Month</t>
        </is>
      </c>
      <c r="L25" s="11" t="inlineStr">
        <is>
          <t>Spend ₹</t>
        </is>
      </c>
      <c r="M25" s="6" t="n"/>
      <c r="N25" s="6" t="n"/>
    </row>
    <row r="26" ht="15" customHeight="1" s="99">
      <c r="A26" s="6" t="n"/>
      <c r="B26" s="26">
        <f>IF('Material Summary'!B5&lt;&gt;"",'Material Summary'!B5,"")</f>
        <v/>
      </c>
      <c r="C26" s="27">
        <f>IF('Material Summary'!C5&lt;&gt;"",'Material Summary'!C5,"")</f>
        <v/>
      </c>
      <c r="D26" s="28">
        <f>IF('Material Summary'!D5&lt;&gt;"",'Material Summary'!D5,"")</f>
        <v/>
      </c>
      <c r="E26" s="29">
        <f>IF('Material Summary'!E5&lt;&gt;"",'Material Summary'!E5,"")</f>
        <v/>
      </c>
      <c r="F26" s="30">
        <f>IF('Material Summary'!F5&lt;&gt;"",'Material Summary'!F5,"")</f>
        <v/>
      </c>
      <c r="G26" s="30">
        <f>IF('Material Summary'!G5&lt;&gt;"",'Material Summary'!G5,"")</f>
        <v/>
      </c>
      <c r="H26" s="30">
        <f>IF('Material Summary'!H5&lt;&gt;"",'Material Summary'!H5,"")</f>
        <v/>
      </c>
      <c r="I26" s="31">
        <f>IF('Material Summary'!I5&lt;&gt;"",'Material Summary'!I5,"")</f>
        <v/>
      </c>
      <c r="J26" s="6" t="n"/>
      <c r="K26" s="32" t="inlineStr">
        <is>
          <t>May-2026</t>
        </is>
      </c>
      <c r="L26" s="13">
        <f>SUMIFS('All Transactions'!O:O,'All Transactions'!C:C,K26)</f>
        <v/>
      </c>
      <c r="M26" s="6" t="n"/>
      <c r="N26" s="6" t="n"/>
    </row>
    <row r="27" ht="15" customHeight="1" s="99">
      <c r="A27" s="6" t="n"/>
      <c r="B27" s="33">
        <f>IF('Material Summary'!B6&lt;&gt;"",'Material Summary'!B6,"")</f>
        <v/>
      </c>
      <c r="C27" s="34">
        <f>IF('Material Summary'!C6&lt;&gt;"",'Material Summary'!C6,"")</f>
        <v/>
      </c>
      <c r="D27" s="35">
        <f>IF('Material Summary'!D6&lt;&gt;"",'Material Summary'!D6,"")</f>
        <v/>
      </c>
      <c r="E27" s="36">
        <f>IF('Material Summary'!E6&lt;&gt;"",'Material Summary'!E6,"")</f>
        <v/>
      </c>
      <c r="F27" s="37">
        <f>IF('Material Summary'!F6&lt;&gt;"",'Material Summary'!F6,"")</f>
        <v/>
      </c>
      <c r="G27" s="37">
        <f>IF('Material Summary'!G6&lt;&gt;"",'Material Summary'!G6,"")</f>
        <v/>
      </c>
      <c r="H27" s="37">
        <f>IF('Material Summary'!H6&lt;&gt;"",'Material Summary'!H6,"")</f>
        <v/>
      </c>
      <c r="I27" s="38">
        <f>IF('Material Summary'!I6&lt;&gt;"",'Material Summary'!I6,"")</f>
        <v/>
      </c>
      <c r="J27" s="6" t="n"/>
      <c r="K27" s="39" t="inlineStr">
        <is>
          <t>Jun-2026</t>
        </is>
      </c>
      <c r="L27" s="18">
        <f>SUMIFS('All Transactions'!O:O,'All Transactions'!C:C,K27)</f>
        <v/>
      </c>
      <c r="M27" s="6" t="n"/>
      <c r="N27" s="6" t="n"/>
    </row>
    <row r="28" ht="15" customHeight="1" s="99">
      <c r="A28" s="6" t="n"/>
      <c r="B28" s="26">
        <f>IF('Material Summary'!B7&lt;&gt;"",'Material Summary'!B7,"")</f>
        <v/>
      </c>
      <c r="C28" s="27">
        <f>IF('Material Summary'!C7&lt;&gt;"",'Material Summary'!C7,"")</f>
        <v/>
      </c>
      <c r="D28" s="28">
        <f>IF('Material Summary'!D7&lt;&gt;"",'Material Summary'!D7,"")</f>
        <v/>
      </c>
      <c r="E28" s="29">
        <f>IF('Material Summary'!E7&lt;&gt;"",'Material Summary'!E7,"")</f>
        <v/>
      </c>
      <c r="F28" s="30">
        <f>IF('Material Summary'!F7&lt;&gt;"",'Material Summary'!F7,"")</f>
        <v/>
      </c>
      <c r="G28" s="30">
        <f>IF('Material Summary'!G7&lt;&gt;"",'Material Summary'!G7,"")</f>
        <v/>
      </c>
      <c r="H28" s="30">
        <f>IF('Material Summary'!H7&lt;&gt;"",'Material Summary'!H7,"")</f>
        <v/>
      </c>
      <c r="I28" s="31">
        <f>IF('Material Summary'!I7&lt;&gt;"",'Material Summary'!I7,"")</f>
        <v/>
      </c>
      <c r="J28" s="6" t="n"/>
      <c r="K28" s="32" t="inlineStr">
        <is>
          <t>Jul-2026</t>
        </is>
      </c>
      <c r="L28" s="13">
        <f>SUMIFS('All Transactions'!O:O,'All Transactions'!C:C,K28)</f>
        <v/>
      </c>
      <c r="M28" s="6" t="n"/>
      <c r="N28" s="6" t="n"/>
    </row>
    <row r="29" ht="15" customHeight="1" s="99">
      <c r="A29" s="6" t="n"/>
      <c r="B29" s="33">
        <f>IF('Material Summary'!B8&lt;&gt;"",'Material Summary'!B8,"")</f>
        <v/>
      </c>
      <c r="C29" s="34">
        <f>IF('Material Summary'!C8&lt;&gt;"",'Material Summary'!C8,"")</f>
        <v/>
      </c>
      <c r="D29" s="35">
        <f>IF('Material Summary'!D8&lt;&gt;"",'Material Summary'!D8,"")</f>
        <v/>
      </c>
      <c r="E29" s="36">
        <f>IF('Material Summary'!E8&lt;&gt;"",'Material Summary'!E8,"")</f>
        <v/>
      </c>
      <c r="F29" s="37">
        <f>IF('Material Summary'!F8&lt;&gt;"",'Material Summary'!F8,"")</f>
        <v/>
      </c>
      <c r="G29" s="37">
        <f>IF('Material Summary'!G8&lt;&gt;"",'Material Summary'!G8,"")</f>
        <v/>
      </c>
      <c r="H29" s="37">
        <f>IF('Material Summary'!H8&lt;&gt;"",'Material Summary'!H8,"")</f>
        <v/>
      </c>
      <c r="I29" s="38">
        <f>IF('Material Summary'!I8&lt;&gt;"",'Material Summary'!I8,"")</f>
        <v/>
      </c>
      <c r="J29" s="6" t="n"/>
      <c r="K29" s="39" t="inlineStr">
        <is>
          <t>Aug-2026</t>
        </is>
      </c>
      <c r="L29" s="18">
        <f>SUMIFS('All Transactions'!O:O,'All Transactions'!C:C,K29)</f>
        <v/>
      </c>
      <c r="M29" s="6" t="n"/>
      <c r="N29" s="6" t="n"/>
    </row>
    <row r="30" ht="15" customHeight="1" s="99">
      <c r="A30" s="6" t="n"/>
      <c r="B30" s="26">
        <f>IF('Material Summary'!B9&lt;&gt;"",'Material Summary'!B9,"")</f>
        <v/>
      </c>
      <c r="C30" s="27">
        <f>IF('Material Summary'!C9&lt;&gt;"",'Material Summary'!C9,"")</f>
        <v/>
      </c>
      <c r="D30" s="28">
        <f>IF('Material Summary'!D9&lt;&gt;"",'Material Summary'!D9,"")</f>
        <v/>
      </c>
      <c r="E30" s="28">
        <f>IF('Material Summary'!E9&lt;&gt;"",'Material Summary'!E9,"")</f>
        <v/>
      </c>
      <c r="F30" s="30">
        <f>IF('Material Summary'!F9&lt;&gt;"",'Material Summary'!F9,"")</f>
        <v/>
      </c>
      <c r="G30" s="30">
        <f>IF('Material Summary'!G9&lt;&gt;"",'Material Summary'!G9,"")</f>
        <v/>
      </c>
      <c r="H30" s="30">
        <f>IF('Material Summary'!H9&lt;&gt;"",'Material Summary'!H9,"")</f>
        <v/>
      </c>
      <c r="I30" s="31">
        <f>IF('Material Summary'!I9&lt;&gt;"",'Material Summary'!I9,"")</f>
        <v/>
      </c>
      <c r="J30" s="6" t="n"/>
      <c r="K30" s="32" t="inlineStr">
        <is>
          <t>Sep-2026</t>
        </is>
      </c>
      <c r="L30" s="13">
        <f>SUMIFS('All Transactions'!O:O,'All Transactions'!C:C,K30)</f>
        <v/>
      </c>
      <c r="M30" s="6" t="n"/>
      <c r="N30" s="6" t="n"/>
    </row>
    <row r="31" ht="15" customHeight="1" s="99">
      <c r="A31" s="6" t="n"/>
      <c r="B31" s="33">
        <f>IF('Material Summary'!B10&lt;&gt;"",'Material Summary'!B10,"")</f>
        <v/>
      </c>
      <c r="C31" s="34">
        <f>IF('Material Summary'!C10&lt;&gt;"",'Material Summary'!C10,"")</f>
        <v/>
      </c>
      <c r="D31" s="35">
        <f>IF('Material Summary'!D10&lt;&gt;"",'Material Summary'!D10,"")</f>
        <v/>
      </c>
      <c r="E31" s="35">
        <f>IF('Material Summary'!E10&lt;&gt;"",'Material Summary'!E10,"")</f>
        <v/>
      </c>
      <c r="F31" s="37">
        <f>IF('Material Summary'!F10&lt;&gt;"",'Material Summary'!F10,"")</f>
        <v/>
      </c>
      <c r="G31" s="37">
        <f>IF('Material Summary'!G10&lt;&gt;"",'Material Summary'!G10,"")</f>
        <v/>
      </c>
      <c r="H31" s="37">
        <f>IF('Material Summary'!H10&lt;&gt;"",'Material Summary'!H10,"")</f>
        <v/>
      </c>
      <c r="I31" s="38">
        <f>IF('Material Summary'!I10&lt;&gt;"",'Material Summary'!I10,"")</f>
        <v/>
      </c>
      <c r="J31" s="6" t="n"/>
      <c r="K31" s="39" t="inlineStr">
        <is>
          <t>Oct-2026</t>
        </is>
      </c>
      <c r="L31" s="18">
        <f>SUMIFS('All Transactions'!O:O,'All Transactions'!C:C,K31)</f>
        <v/>
      </c>
      <c r="M31" s="6" t="n"/>
      <c r="N31" s="6" t="n"/>
    </row>
    <row r="32" ht="15" customHeight="1" s="99">
      <c r="A32" s="6" t="n"/>
      <c r="B32" s="26">
        <f>IF('Material Summary'!B11&lt;&gt;"",'Material Summary'!B11,"")</f>
        <v/>
      </c>
      <c r="C32" s="27">
        <f>IF('Material Summary'!C11&lt;&gt;"",'Material Summary'!C11,"")</f>
        <v/>
      </c>
      <c r="D32" s="28">
        <f>IF('Material Summary'!D11&lt;&gt;"",'Material Summary'!D11,"")</f>
        <v/>
      </c>
      <c r="E32" s="29">
        <f>IF('Material Summary'!E11&lt;&gt;"",'Material Summary'!E11,"")</f>
        <v/>
      </c>
      <c r="F32" s="30">
        <f>IF('Material Summary'!F11&lt;&gt;"",'Material Summary'!F11,"")</f>
        <v/>
      </c>
      <c r="G32" s="30">
        <f>IF('Material Summary'!G11&lt;&gt;"",'Material Summary'!G11,"")</f>
        <v/>
      </c>
      <c r="H32" s="30">
        <f>IF('Material Summary'!H11&lt;&gt;"",'Material Summary'!H11,"")</f>
        <v/>
      </c>
      <c r="I32" s="31">
        <f>IF('Material Summary'!I11&lt;&gt;"",'Material Summary'!I11,"")</f>
        <v/>
      </c>
      <c r="J32" s="6" t="n"/>
      <c r="K32" s="32" t="inlineStr">
        <is>
          <t>Nov-2026</t>
        </is>
      </c>
      <c r="L32" s="13">
        <f>SUMIFS('All Transactions'!O:O,'All Transactions'!C:C,K32)</f>
        <v/>
      </c>
      <c r="M32" s="6" t="n"/>
      <c r="N32" s="6" t="n"/>
    </row>
    <row r="33" ht="15" customHeight="1" s="99">
      <c r="A33" s="6" t="n"/>
      <c r="B33" s="33">
        <f>IF('Material Summary'!B12&lt;&gt;"",'Material Summary'!B12,"")</f>
        <v/>
      </c>
      <c r="C33" s="34">
        <f>IF('Material Summary'!C12&lt;&gt;"",'Material Summary'!C12,"")</f>
        <v/>
      </c>
      <c r="D33" s="35">
        <f>IF('Material Summary'!D12&lt;&gt;"",'Material Summary'!D12,"")</f>
        <v/>
      </c>
      <c r="E33" s="35">
        <f>IF('Material Summary'!E12&lt;&gt;"",'Material Summary'!E12,"")</f>
        <v/>
      </c>
      <c r="F33" s="37">
        <f>IF('Material Summary'!F12&lt;&gt;"",'Material Summary'!F12,"")</f>
        <v/>
      </c>
      <c r="G33" s="37">
        <f>IF('Material Summary'!G12&lt;&gt;"",'Material Summary'!G12,"")</f>
        <v/>
      </c>
      <c r="H33" s="37">
        <f>IF('Material Summary'!H12&lt;&gt;"",'Material Summary'!H12,"")</f>
        <v/>
      </c>
      <c r="I33" s="38">
        <f>IF('Material Summary'!I12&lt;&gt;"",'Material Summary'!I12,"")</f>
        <v/>
      </c>
      <c r="J33" s="6" t="n"/>
      <c r="K33" s="39" t="inlineStr">
        <is>
          <t>Dec-2026</t>
        </is>
      </c>
      <c r="L33" s="18">
        <f>SUMIFS('All Transactions'!O:O,'All Transactions'!C:C,K33)</f>
        <v/>
      </c>
      <c r="M33" s="6" t="n"/>
      <c r="N33" s="6" t="n"/>
    </row>
    <row r="34" ht="15" customHeight="1" s="99">
      <c r="A34" s="6" t="n"/>
      <c r="B34" s="26">
        <f>IF('Material Summary'!B13&lt;&gt;"",'Material Summary'!B13,"")</f>
        <v/>
      </c>
      <c r="C34" s="27">
        <f>IF('Material Summary'!C13&lt;&gt;"",'Material Summary'!C13,"")</f>
        <v/>
      </c>
      <c r="D34" s="28">
        <f>IF('Material Summary'!D13&lt;&gt;"",'Material Summary'!D13,"")</f>
        <v/>
      </c>
      <c r="E34" s="29">
        <f>IF('Material Summary'!E13&lt;&gt;"",'Material Summary'!E13,"")</f>
        <v/>
      </c>
      <c r="F34" s="30">
        <f>IF('Material Summary'!F13&lt;&gt;"",'Material Summary'!F13,"")</f>
        <v/>
      </c>
      <c r="G34" s="30">
        <f>IF('Material Summary'!G13&lt;&gt;"",'Material Summary'!G13,"")</f>
        <v/>
      </c>
      <c r="H34" s="30">
        <f>IF('Material Summary'!H13&lt;&gt;"",'Material Summary'!H13,"")</f>
        <v/>
      </c>
      <c r="I34" s="31">
        <f>IF('Material Summary'!I13&lt;&gt;"",'Material Summary'!I13,"")</f>
        <v/>
      </c>
      <c r="J34" s="6" t="n"/>
      <c r="K34" s="32" t="inlineStr">
        <is>
          <t>Jan-2027</t>
        </is>
      </c>
      <c r="L34" s="13">
        <f>SUMIFS('All Transactions'!O:O,'All Transactions'!C:C,K34)</f>
        <v/>
      </c>
      <c r="M34" s="6" t="n"/>
      <c r="N34" s="6" t="n"/>
    </row>
    <row r="35" ht="15" customHeight="1" s="99">
      <c r="A35" s="6" t="n"/>
      <c r="B35" s="33">
        <f>IF('Material Summary'!B14&lt;&gt;"",'Material Summary'!B14,"")</f>
        <v/>
      </c>
      <c r="C35" s="34">
        <f>IF('Material Summary'!C14&lt;&gt;"",'Material Summary'!C14,"")</f>
        <v/>
      </c>
      <c r="D35" s="35">
        <f>IF('Material Summary'!D14&lt;&gt;"",'Material Summary'!D14,"")</f>
        <v/>
      </c>
      <c r="E35" s="35">
        <f>IF('Material Summary'!E14&lt;&gt;"",'Material Summary'!E14,"")</f>
        <v/>
      </c>
      <c r="F35" s="37">
        <f>IF('Material Summary'!F14&lt;&gt;"",'Material Summary'!F14,"")</f>
        <v/>
      </c>
      <c r="G35" s="37">
        <f>IF('Material Summary'!G14&lt;&gt;"",'Material Summary'!G14,"")</f>
        <v/>
      </c>
      <c r="H35" s="37">
        <f>IF('Material Summary'!H14&lt;&gt;"",'Material Summary'!H14,"")</f>
        <v/>
      </c>
      <c r="I35" s="38">
        <f>IF('Material Summary'!I14&lt;&gt;"",'Material Summary'!I14,"")</f>
        <v/>
      </c>
      <c r="J35" s="6" t="n"/>
      <c r="K35" s="39" t="inlineStr">
        <is>
          <t>Feb-2027</t>
        </is>
      </c>
      <c r="L35" s="18">
        <f>SUMIFS('All Transactions'!O:O,'All Transactions'!C:C,K35)</f>
        <v/>
      </c>
      <c r="M35" s="6" t="n"/>
      <c r="N35" s="6" t="n"/>
    </row>
    <row r="36" ht="15" customHeight="1" s="99">
      <c r="A36" s="6" t="n"/>
      <c r="B36" s="26">
        <f>IF('Material Summary'!B15&lt;&gt;"",'Material Summary'!B15,"")</f>
        <v/>
      </c>
      <c r="C36" s="27">
        <f>IF('Material Summary'!C15&lt;&gt;"",'Material Summary'!C15,"")</f>
        <v/>
      </c>
      <c r="D36" s="28">
        <f>IF('Material Summary'!D15&lt;&gt;"",'Material Summary'!D15,"")</f>
        <v/>
      </c>
      <c r="E36" s="28">
        <f>IF('Material Summary'!E15&lt;&gt;"",'Material Summary'!E15,"")</f>
        <v/>
      </c>
      <c r="F36" s="30">
        <f>IF('Material Summary'!F15&lt;&gt;"",'Material Summary'!F15,"")</f>
        <v/>
      </c>
      <c r="G36" s="30">
        <f>IF('Material Summary'!G15&lt;&gt;"",'Material Summary'!G15,"")</f>
        <v/>
      </c>
      <c r="H36" s="30">
        <f>IF('Material Summary'!H15&lt;&gt;"",'Material Summary'!H15,"")</f>
        <v/>
      </c>
      <c r="I36" s="31">
        <f>IF('Material Summary'!I15&lt;&gt;"",'Material Summary'!I15,"")</f>
        <v/>
      </c>
      <c r="J36" s="6" t="n"/>
      <c r="K36" s="32" t="inlineStr">
        <is>
          <t>Mar-2027</t>
        </is>
      </c>
      <c r="L36" s="13">
        <f>SUMIFS('All Transactions'!O:O,'All Transactions'!C:C,K36)</f>
        <v/>
      </c>
      <c r="M36" s="6" t="n"/>
      <c r="N36" s="6" t="n"/>
    </row>
    <row r="37" ht="15" customHeight="1" s="99">
      <c r="A37" s="6" t="n"/>
      <c r="B37" s="33">
        <f>IF('Material Summary'!B16&lt;&gt;"",'Material Summary'!B16,"")</f>
        <v/>
      </c>
      <c r="C37" s="34">
        <f>IF('Material Summary'!C16&lt;&gt;"",'Material Summary'!C16,"")</f>
        <v/>
      </c>
      <c r="D37" s="35">
        <f>IF('Material Summary'!D16&lt;&gt;"",'Material Summary'!D16,"")</f>
        <v/>
      </c>
      <c r="E37" s="36">
        <f>IF('Material Summary'!E16&lt;&gt;"",'Material Summary'!E16,"")</f>
        <v/>
      </c>
      <c r="F37" s="37">
        <f>IF('Material Summary'!F16&lt;&gt;"",'Material Summary'!F16,"")</f>
        <v/>
      </c>
      <c r="G37" s="37">
        <f>IF('Material Summary'!G16&lt;&gt;"",'Material Summary'!G16,"")</f>
        <v/>
      </c>
      <c r="H37" s="37">
        <f>IF('Material Summary'!H16&lt;&gt;"",'Material Summary'!H16,"")</f>
        <v/>
      </c>
      <c r="I37" s="38">
        <f>IF('Material Summary'!I16&lt;&gt;"",'Material Summary'!I16,"")</f>
        <v/>
      </c>
      <c r="J37" s="6" t="n"/>
      <c r="K37" s="39" t="inlineStr">
        <is>
          <t>Apr-2027</t>
        </is>
      </c>
      <c r="L37" s="18">
        <f>SUMIFS('All Transactions'!O:O,'All Transactions'!C:C,K37)</f>
        <v/>
      </c>
      <c r="M37" s="6" t="n"/>
      <c r="N37" s="6" t="n"/>
    </row>
    <row r="38" ht="15" customHeight="1" s="99">
      <c r="A38" s="6" t="n"/>
      <c r="B38" s="26">
        <f>IF('Material Summary'!B17&lt;&gt;"",'Material Summary'!B17,"")</f>
        <v/>
      </c>
      <c r="C38" s="27">
        <f>IF('Material Summary'!C17&lt;&gt;"",'Material Summary'!C17,"")</f>
        <v/>
      </c>
      <c r="D38" s="28">
        <f>IF('Material Summary'!D17&lt;&gt;"",'Material Summary'!D17,"")</f>
        <v/>
      </c>
      <c r="E38" s="29">
        <f>IF('Material Summary'!E17&lt;&gt;"",'Material Summary'!E17,"")</f>
        <v/>
      </c>
      <c r="F38" s="30">
        <f>IF('Material Summary'!F17&lt;&gt;"",'Material Summary'!F17,"")</f>
        <v/>
      </c>
      <c r="G38" s="30">
        <f>IF('Material Summary'!G17&lt;&gt;"",'Material Summary'!G17,"")</f>
        <v/>
      </c>
      <c r="H38" s="30">
        <f>IF('Material Summary'!H17&lt;&gt;"",'Material Summary'!H17,"")</f>
        <v/>
      </c>
      <c r="I38" s="31">
        <f>IF('Material Summary'!I17&lt;&gt;"",'Material Summary'!I17,"")</f>
        <v/>
      </c>
      <c r="J38" s="6" t="n"/>
      <c r="K38" s="6" t="n"/>
      <c r="L38" s="6" t="n"/>
      <c r="M38" s="6" t="n"/>
      <c r="N38" s="6" t="n"/>
    </row>
    <row r="39" ht="15" customHeight="1" s="99">
      <c r="A39" s="6" t="n"/>
      <c r="B39" s="33">
        <f>IF('Material Summary'!B18&lt;&gt;"",'Material Summary'!B18,"")</f>
        <v/>
      </c>
      <c r="C39" s="34">
        <f>IF('Material Summary'!C18&lt;&gt;"",'Material Summary'!C18,"")</f>
        <v/>
      </c>
      <c r="D39" s="35">
        <f>IF('Material Summary'!D18&lt;&gt;"",'Material Summary'!D18,"")</f>
        <v/>
      </c>
      <c r="E39" s="35">
        <f>IF('Material Summary'!E18&lt;&gt;"",'Material Summary'!E18,"")</f>
        <v/>
      </c>
      <c r="F39" s="37">
        <f>IF('Material Summary'!F18&lt;&gt;"",'Material Summary'!F18,"")</f>
        <v/>
      </c>
      <c r="G39" s="37">
        <f>IF('Material Summary'!G18&lt;&gt;"",'Material Summary'!G18,"")</f>
        <v/>
      </c>
      <c r="H39" s="37">
        <f>IF('Material Summary'!H18&lt;&gt;"",'Material Summary'!H18,"")</f>
        <v/>
      </c>
      <c r="I39" s="38">
        <f>IF('Material Summary'!I18&lt;&gt;"",'Material Summary'!I18,"")</f>
        <v/>
      </c>
      <c r="J39" s="6" t="n"/>
      <c r="K39" s="6" t="n"/>
      <c r="L39" s="6" t="n"/>
      <c r="M39" s="6" t="n"/>
      <c r="N39" s="6" t="n"/>
    </row>
    <row r="40" ht="15" customHeight="1" s="99">
      <c r="A40" s="6" t="n"/>
      <c r="B40" s="26">
        <f>IF('Material Summary'!B19&lt;&gt;"",'Material Summary'!B19,"")</f>
        <v/>
      </c>
      <c r="C40" s="27">
        <f>IF('Material Summary'!C19&lt;&gt;"",'Material Summary'!C19,"")</f>
        <v/>
      </c>
      <c r="D40" s="28">
        <f>IF('Material Summary'!D19&lt;&gt;"",'Material Summary'!D19,"")</f>
        <v/>
      </c>
      <c r="E40" s="28">
        <f>IF('Material Summary'!E19&lt;&gt;"",'Material Summary'!E19,"")</f>
        <v/>
      </c>
      <c r="F40" s="30">
        <f>IF('Material Summary'!F19&lt;&gt;"",'Material Summary'!F19,"")</f>
        <v/>
      </c>
      <c r="G40" s="30">
        <f>IF('Material Summary'!G19&lt;&gt;"",'Material Summary'!G19,"")</f>
        <v/>
      </c>
      <c r="H40" s="30">
        <f>IF('Material Summary'!H19&lt;&gt;"",'Material Summary'!H19,"")</f>
        <v/>
      </c>
      <c r="I40" s="31">
        <f>IF('Material Summary'!I19&lt;&gt;"",'Material Summary'!I19,"")</f>
        <v/>
      </c>
      <c r="J40" s="6" t="n"/>
      <c r="K40" s="6" t="n"/>
      <c r="L40" s="6" t="n"/>
      <c r="M40" s="6" t="n"/>
      <c r="N40" s="6" t="n"/>
    </row>
    <row r="41" ht="15" customHeight="1" s="99">
      <c r="A41" s="6" t="n"/>
      <c r="B41" s="33">
        <f>IF('Material Summary'!B20&lt;&gt;"",'Material Summary'!B20,"")</f>
        <v/>
      </c>
      <c r="C41" s="34">
        <f>IF('Material Summary'!C20&lt;&gt;"",'Material Summary'!C20,"")</f>
        <v/>
      </c>
      <c r="D41" s="35">
        <f>IF('Material Summary'!D20&lt;&gt;"",'Material Summary'!D20,"")</f>
        <v/>
      </c>
      <c r="E41" s="36">
        <f>IF('Material Summary'!E20&lt;&gt;"",'Material Summary'!E20,"")</f>
        <v/>
      </c>
      <c r="F41" s="37">
        <f>IF('Material Summary'!F20&lt;&gt;"",'Material Summary'!F20,"")</f>
        <v/>
      </c>
      <c r="G41" s="37">
        <f>IF('Material Summary'!G20&lt;&gt;"",'Material Summary'!G20,"")</f>
        <v/>
      </c>
      <c r="H41" s="37">
        <f>IF('Material Summary'!H20&lt;&gt;"",'Material Summary'!H20,"")</f>
        <v/>
      </c>
      <c r="I41" s="38">
        <f>IF('Material Summary'!I20&lt;&gt;"",'Material Summary'!I20,"")</f>
        <v/>
      </c>
      <c r="J41" s="6" t="n"/>
      <c r="K41" s="6" t="n"/>
      <c r="L41" s="6" t="n"/>
      <c r="M41" s="6" t="n"/>
      <c r="N41" s="6" t="n"/>
    </row>
    <row r="42" ht="15" customHeight="1" s="99">
      <c r="A42" s="6" t="n"/>
      <c r="B42" s="26">
        <f>IF('Material Summary'!B21&lt;&gt;"",'Material Summary'!B21,"")</f>
        <v/>
      </c>
      <c r="C42" s="27">
        <f>IF('Material Summary'!C21&lt;&gt;"",'Material Summary'!C21,"")</f>
        <v/>
      </c>
      <c r="D42" s="28">
        <f>IF('Material Summary'!D21&lt;&gt;"",'Material Summary'!D21,"")</f>
        <v/>
      </c>
      <c r="E42" s="29">
        <f>IF('Material Summary'!E21&lt;&gt;"",'Material Summary'!E21,"")</f>
        <v/>
      </c>
      <c r="F42" s="30">
        <f>IF('Material Summary'!F21&lt;&gt;"",'Material Summary'!F21,"")</f>
        <v/>
      </c>
      <c r="G42" s="30">
        <f>IF('Material Summary'!G21&lt;&gt;"",'Material Summary'!G21,"")</f>
        <v/>
      </c>
      <c r="H42" s="30">
        <f>IF('Material Summary'!H21&lt;&gt;"",'Material Summary'!H21,"")</f>
        <v/>
      </c>
      <c r="I42" s="31">
        <f>IF('Material Summary'!I21&lt;&gt;"",'Material Summary'!I21,"")</f>
        <v/>
      </c>
      <c r="J42" s="6" t="n"/>
      <c r="K42" s="6" t="n"/>
      <c r="L42" s="6" t="n"/>
      <c r="M42" s="6" t="n"/>
      <c r="N42" s="6" t="n"/>
    </row>
    <row r="43" ht="15" customHeight="1" s="99">
      <c r="A43" s="6" t="n"/>
      <c r="B43" s="33">
        <f>IF('Material Summary'!B22&lt;&gt;"",'Material Summary'!B22,"")</f>
        <v/>
      </c>
      <c r="C43" s="34">
        <f>IF('Material Summary'!C22&lt;&gt;"",'Material Summary'!C22,"")</f>
        <v/>
      </c>
      <c r="D43" s="35">
        <f>IF('Material Summary'!D22&lt;&gt;"",'Material Summary'!D22,"")</f>
        <v/>
      </c>
      <c r="E43" s="36">
        <f>IF('Material Summary'!E22&lt;&gt;"",'Material Summary'!E22,"")</f>
        <v/>
      </c>
      <c r="F43" s="37">
        <f>IF('Material Summary'!F22&lt;&gt;"",'Material Summary'!F22,"")</f>
        <v/>
      </c>
      <c r="G43" s="37">
        <f>IF('Material Summary'!G22&lt;&gt;"",'Material Summary'!G22,"")</f>
        <v/>
      </c>
      <c r="H43" s="37">
        <f>IF('Material Summary'!H22&lt;&gt;"",'Material Summary'!H22,"")</f>
        <v/>
      </c>
      <c r="I43" s="38">
        <f>IF('Material Summary'!I22&lt;&gt;"",'Material Summary'!I22,"")</f>
        <v/>
      </c>
      <c r="J43" s="6" t="n"/>
      <c r="K43" s="6" t="n"/>
      <c r="L43" s="6" t="n"/>
      <c r="M43" s="6" t="n"/>
      <c r="N43" s="6" t="n"/>
    </row>
    <row r="44" ht="15" customHeight="1" s="99">
      <c r="A44" s="6" t="n"/>
      <c r="B44" s="26">
        <f>IF('Material Summary'!B23&lt;&gt;"",'Material Summary'!B23,"")</f>
        <v/>
      </c>
      <c r="C44" s="27">
        <f>IF('Material Summary'!C23&lt;&gt;"",'Material Summary'!C23,"")</f>
        <v/>
      </c>
      <c r="D44" s="28">
        <f>IF('Material Summary'!D23&lt;&gt;"",'Material Summary'!D23,"")</f>
        <v/>
      </c>
      <c r="E44" s="29">
        <f>IF('Material Summary'!E23&lt;&gt;"",'Material Summary'!E23,"")</f>
        <v/>
      </c>
      <c r="F44" s="30">
        <f>IF('Material Summary'!F23&lt;&gt;"",'Material Summary'!F23,"")</f>
        <v/>
      </c>
      <c r="G44" s="30">
        <f>IF('Material Summary'!G23&lt;&gt;"",'Material Summary'!G23,"")</f>
        <v/>
      </c>
      <c r="H44" s="30">
        <f>IF('Material Summary'!H23&lt;&gt;"",'Material Summary'!H23,"")</f>
        <v/>
      </c>
      <c r="I44" s="31">
        <f>IF('Material Summary'!I23&lt;&gt;"",'Material Summary'!I23,"")</f>
        <v/>
      </c>
      <c r="J44" s="6" t="n"/>
      <c r="K44" s="6" t="n"/>
      <c r="L44" s="6" t="n"/>
      <c r="M44" s="6" t="n"/>
      <c r="N44" s="6" t="n"/>
    </row>
    <row r="45" ht="15" customHeight="1" s="99">
      <c r="A45" s="6" t="n"/>
      <c r="B45" s="33">
        <f>IF('Material Summary'!B24&lt;&gt;"",'Material Summary'!B24,"")</f>
        <v/>
      </c>
      <c r="C45" s="34">
        <f>IF('Material Summary'!C24&lt;&gt;"",'Material Summary'!C24,"")</f>
        <v/>
      </c>
      <c r="D45" s="35">
        <f>IF('Material Summary'!D24&lt;&gt;"",'Material Summary'!D24,"")</f>
        <v/>
      </c>
      <c r="E45" s="35">
        <f>IF('Material Summary'!E24&lt;&gt;"",'Material Summary'!E24,"")</f>
        <v/>
      </c>
      <c r="F45" s="37">
        <f>IF('Material Summary'!F24&lt;&gt;"",'Material Summary'!F24,"")</f>
        <v/>
      </c>
      <c r="G45" s="37">
        <f>IF('Material Summary'!G24&lt;&gt;"",'Material Summary'!G24,"")</f>
        <v/>
      </c>
      <c r="H45" s="37">
        <f>IF('Material Summary'!H24&lt;&gt;"",'Material Summary'!H24,"")</f>
        <v/>
      </c>
      <c r="I45" s="38">
        <f>IF('Material Summary'!I24&lt;&gt;"",'Material Summary'!I24,"")</f>
        <v/>
      </c>
      <c r="J45" s="6" t="n"/>
      <c r="K45" s="6" t="n"/>
      <c r="L45" s="6" t="n"/>
      <c r="M45" s="6" t="n"/>
      <c r="N45" s="6" t="n"/>
    </row>
    <row r="46" ht="15" customHeight="1" s="99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</row>
    <row r="47" ht="15" customHeight="1" s="99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</row>
    <row r="48" ht="15" customHeight="1" s="99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</row>
    <row r="49" ht="15" customHeight="1" s="9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</row>
    <row r="50" ht="15" customHeight="1" s="99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</row>
    <row r="51" ht="15" customHeight="1" s="99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</row>
    <row r="52" ht="15" customHeight="1" s="99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</row>
    <row r="53" ht="15" customHeight="1" s="99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</row>
    <row r="54" ht="15" customHeight="1" s="99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</row>
    <row r="55" ht="15" customHeight="1" s="99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</row>
    <row r="56" ht="15" customHeight="1" s="99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</row>
    <row r="57" ht="15" customHeight="1" s="99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</row>
    <row r="58" ht="15" customHeight="1" s="99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</row>
    <row r="59" ht="15" customHeight="1" s="9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</row>
    <row r="60" ht="15" customHeight="1" s="99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</row>
    <row r="61" ht="15" customHeight="1" s="99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</row>
    <row r="62" ht="15" customHeight="1" s="99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</row>
    <row r="63" ht="15" customHeight="1" s="99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</row>
    <row r="64" ht="15" customHeight="1" s="99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</row>
  </sheetData>
  <mergeCells count="21">
    <mergeCell ref="B7:C7"/>
    <mergeCell ref="K24:L24"/>
    <mergeCell ref="H10:L10"/>
    <mergeCell ref="A3:F3"/>
    <mergeCell ref="E8:F8"/>
    <mergeCell ref="H6:I6"/>
    <mergeCell ref="E10:F10"/>
    <mergeCell ref="B8:C8"/>
    <mergeCell ref="E6:F6"/>
    <mergeCell ref="A1:M1"/>
    <mergeCell ref="K8:L8"/>
    <mergeCell ref="H7:I7"/>
    <mergeCell ref="B10:C10"/>
    <mergeCell ref="B6:C6"/>
    <mergeCell ref="K7:L7"/>
    <mergeCell ref="E7:F7"/>
    <mergeCell ref="G3:M3"/>
    <mergeCell ref="B24:I24"/>
    <mergeCell ref="H8:I8"/>
    <mergeCell ref="K6:L6"/>
    <mergeCell ref="A2:M2"/>
  </mergeCells>
  <pageMargins left="0.75" right="0.75" top="1" bottom="1" header="0.511811023622047" footer="0.511811023622047"/>
  <pageSetup orientation="landscape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1B2A4A"/>
    <outlinePr summaryBelow="1" summaryRight="1"/>
    <pageSetUpPr/>
  </sheetPr>
  <dimension ref="A1:N48"/>
  <sheetViews>
    <sheetView zoomScaleNormal="100" workbookViewId="0">
      <pane ySplit="4" topLeftCell="A5" activePane="bottomLeft" state="frozen"/>
      <selection pane="bottomLeft" activeCell="A1" sqref="A1:L1"/>
    </sheetView>
  </sheetViews>
  <sheetFormatPr baseColWidth="10" defaultColWidth="8.6640625" defaultRowHeight="15"/>
  <cols>
    <col width="22" customWidth="1" style="99" min="1" max="1"/>
    <col width="28" customWidth="1" style="99" min="2" max="2"/>
    <col width="16" customWidth="1" style="99" min="3" max="3"/>
    <col width="3" customWidth="1" style="99" min="4" max="4"/>
    <col width="24" customWidth="1" style="99" min="5" max="5"/>
    <col width="22" customWidth="1" style="99" min="6" max="6"/>
    <col width="16" customWidth="1" style="99" min="7" max="7"/>
    <col width="3" customWidth="1" style="99" min="8" max="8"/>
    <col width="20" customWidth="1" style="99" min="9" max="9"/>
    <col width="16" customWidth="1" style="99" min="10" max="10"/>
    <col width="20" customWidth="1" style="99" min="11" max="11"/>
    <col width="3" customWidth="1" style="99" min="12" max="12"/>
    <col width="28" customWidth="1" style="99" min="13" max="13"/>
    <col width="20" customWidth="1" style="99" min="14" max="14"/>
  </cols>
  <sheetData>
    <row r="1" ht="17.25" customHeight="1" s="99">
      <c r="A1" s="100" t="inlineStr">
        <is>
          <t>MASTER DATA — Categories, Vendors &amp; Reference Lists</t>
        </is>
      </c>
    </row>
    <row r="2" ht="15.75" customHeight="1" s="99">
      <c r="A2" s="98" t="inlineStr">
        <is>
          <t>Add new categories/vendors here. All dropdowns across sheets pull from these lists.</t>
        </is>
      </c>
    </row>
    <row r="4" ht="26.25" customHeight="1" s="99">
      <c r="A4" s="40" t="inlineStr">
        <is>
          <t>CATEGORY</t>
        </is>
      </c>
      <c r="B4" s="40" t="inlineStr">
        <is>
          <t>SUB-CATEGORY</t>
        </is>
      </c>
      <c r="C4" s="40" t="inlineStr">
        <is>
          <t>UNIT</t>
        </is>
      </c>
      <c r="D4" s="40" t="n"/>
      <c r="E4" s="40" t="inlineStr">
        <is>
          <t>VENDOR NAME</t>
        </is>
      </c>
      <c r="F4" s="40" t="inlineStr">
        <is>
          <t>VENDOR TYPE</t>
        </is>
      </c>
      <c r="G4" s="40" t="inlineStr">
        <is>
          <t>DEFAULT PAY MODE</t>
        </is>
      </c>
      <c r="H4" s="40" t="n"/>
      <c r="I4" s="40" t="inlineStr">
        <is>
          <t>PAID BY</t>
        </is>
      </c>
      <c r="J4" s="40" t="inlineStr">
        <is>
          <t>PAYMENT MODE</t>
        </is>
      </c>
      <c r="K4" s="40" t="inlineStr">
        <is>
          <t>CONSTRUCTION PHASE</t>
        </is>
      </c>
      <c r="M4" t="inlineStr">
        <is>
          <t>SubCatList</t>
        </is>
      </c>
      <c r="N4" t="inlineStr">
        <is>
          <t>UnitList</t>
        </is>
      </c>
    </row>
    <row r="5" ht="15.75" customHeight="1" s="99">
      <c r="A5" s="41" t="inlineStr">
        <is>
          <t>Building Materials</t>
        </is>
      </c>
      <c r="B5" s="41" t="inlineStr">
        <is>
          <t>Bricks</t>
        </is>
      </c>
      <c r="C5" s="41" t="inlineStr">
        <is>
          <t>Nos/Trailor</t>
        </is>
      </c>
      <c r="E5" s="42" t="inlineStr">
        <is>
          <t>Pappu Hardware</t>
        </is>
      </c>
      <c r="F5" s="42" t="inlineStr">
        <is>
          <t>Hardware/Steel</t>
        </is>
      </c>
      <c r="G5" s="42" t="inlineStr">
        <is>
          <t>GPay</t>
        </is>
      </c>
      <c r="I5" s="42" t="inlineStr">
        <is>
          <t>Self-GPay</t>
        </is>
      </c>
      <c r="J5" s="42" t="inlineStr">
        <is>
          <t>GPay</t>
        </is>
      </c>
      <c r="K5" s="42" t="inlineStr">
        <is>
          <t>Land Development</t>
        </is>
      </c>
      <c r="M5" t="inlineStr">
        <is>
          <t>Auto/Taxi</t>
        </is>
      </c>
      <c r="N5" t="inlineStr">
        <is>
          <t>Bags</t>
        </is>
      </c>
    </row>
    <row r="6" ht="15.75" customHeight="1" s="99">
      <c r="A6" s="43" t="inlineStr">
        <is>
          <t>Building Materials</t>
        </is>
      </c>
      <c r="B6" s="43" t="inlineStr">
        <is>
          <t>Sand</t>
        </is>
      </c>
      <c r="C6" s="43" t="inlineStr">
        <is>
          <t>CFT</t>
        </is>
      </c>
      <c r="E6" s="44" t="inlineStr">
        <is>
          <t>Brick Company</t>
        </is>
      </c>
      <c r="F6" s="44" t="inlineStr">
        <is>
          <t>Bricks</t>
        </is>
      </c>
      <c r="G6" s="44" t="inlineStr">
        <is>
          <t>GPay</t>
        </is>
      </c>
      <c r="I6" s="42" t="inlineStr">
        <is>
          <t>Self-Paytm</t>
        </is>
      </c>
      <c r="J6" s="42" t="inlineStr">
        <is>
          <t>Paytm</t>
        </is>
      </c>
      <c r="K6" s="42" t="inlineStr">
        <is>
          <t>Foundation</t>
        </is>
      </c>
      <c r="M6" t="inlineStr">
        <is>
          <t>Bamboo/Shuttering</t>
        </is>
      </c>
      <c r="N6" t="inlineStr">
        <is>
          <t>Bundle/Metres</t>
        </is>
      </c>
    </row>
    <row r="7" ht="15.75" customHeight="1" s="99">
      <c r="A7" s="41" t="inlineStr">
        <is>
          <t>Building Materials</t>
        </is>
      </c>
      <c r="B7" s="41" t="inlineStr">
        <is>
          <t>Concrete/Gitti</t>
        </is>
      </c>
      <c r="C7" s="41" t="inlineStr">
        <is>
          <t>Tonnes/Trailor</t>
        </is>
      </c>
      <c r="E7" s="42" t="inlineStr">
        <is>
          <t>Sand Truck Wala</t>
        </is>
      </c>
      <c r="F7" s="42" t="inlineStr">
        <is>
          <t>Sand</t>
        </is>
      </c>
      <c r="G7" s="42" t="inlineStr">
        <is>
          <t>GPay</t>
        </is>
      </c>
      <c r="I7" s="42" t="inlineStr">
        <is>
          <t>Self-Cash</t>
        </is>
      </c>
      <c r="J7" s="42" t="inlineStr">
        <is>
          <t>Cash</t>
        </is>
      </c>
      <c r="K7" s="42" t="inlineStr">
        <is>
          <t>Plinth</t>
        </is>
      </c>
      <c r="M7" t="inlineStr">
        <is>
          <t>Binding Wire</t>
        </is>
      </c>
      <c r="N7" t="inlineStr">
        <is>
          <t>CFT</t>
        </is>
      </c>
    </row>
    <row r="8" ht="15.75" customHeight="1" s="99">
      <c r="A8" s="43" t="inlineStr">
        <is>
          <t>Building Materials</t>
        </is>
      </c>
      <c r="B8" s="43" t="inlineStr">
        <is>
          <t>Cement-Ultratech Super</t>
        </is>
      </c>
      <c r="C8" s="43" t="inlineStr">
        <is>
          <t>Bags</t>
        </is>
      </c>
      <c r="E8" s="44" t="inlineStr">
        <is>
          <t>Concrete Supplier</t>
        </is>
      </c>
      <c r="F8" s="44" t="inlineStr">
        <is>
          <t>Concrete/Gitti</t>
        </is>
      </c>
      <c r="G8" s="44" t="inlineStr">
        <is>
          <t>GPay/Paytm</t>
        </is>
      </c>
      <c r="I8" s="42" t="inlineStr">
        <is>
          <t>Self-Bank Transfer</t>
        </is>
      </c>
      <c r="J8" s="42" t="inlineStr">
        <is>
          <t>Bank Transfer</t>
        </is>
      </c>
      <c r="K8" s="42" t="inlineStr">
        <is>
          <t>Superstructure</t>
        </is>
      </c>
      <c r="M8" t="inlineStr">
        <is>
          <t>Blade</t>
        </is>
      </c>
      <c r="N8" t="inlineStr">
        <is>
          <t>Days</t>
        </is>
      </c>
    </row>
    <row r="9" ht="15.75" customHeight="1" s="99">
      <c r="A9" s="41" t="inlineStr">
        <is>
          <t>Building Materials</t>
        </is>
      </c>
      <c r="B9" s="41" t="inlineStr">
        <is>
          <t>Cement-Ultratech Normal</t>
        </is>
      </c>
      <c r="C9" s="41" t="inlineStr">
        <is>
          <t>Bags</t>
        </is>
      </c>
      <c r="E9" s="42" t="inlineStr">
        <is>
          <t>Dinesh-Electrician</t>
        </is>
      </c>
      <c r="F9" s="42" t="inlineStr">
        <is>
          <t>Electrical Items</t>
        </is>
      </c>
      <c r="G9" s="42" t="inlineStr">
        <is>
          <t>GPay</t>
        </is>
      </c>
      <c r="I9" s="42" t="inlineStr">
        <is>
          <t>Through Sonbhai</t>
        </is>
      </c>
      <c r="J9" s="42" t="inlineStr">
        <is>
          <t>UPI</t>
        </is>
      </c>
      <c r="K9" s="42" t="inlineStr">
        <is>
          <t>Roof/Dhalai</t>
        </is>
      </c>
      <c r="M9" t="inlineStr">
        <is>
          <t>Boards/Plates</t>
        </is>
      </c>
      <c r="N9" t="inlineStr">
        <is>
          <t>Days/Lumpsum</t>
        </is>
      </c>
    </row>
    <row r="10" ht="15.75" customHeight="1" s="99">
      <c r="A10" s="43" t="inlineStr">
        <is>
          <t>Building Materials</t>
        </is>
      </c>
      <c r="B10" s="43" t="inlineStr">
        <is>
          <t>Cement-Ultratech Prem</t>
        </is>
      </c>
      <c r="C10" s="43" t="inlineStr">
        <is>
          <t>Bags</t>
        </is>
      </c>
      <c r="E10" s="44" t="inlineStr">
        <is>
          <t>Mukesh Yadav</t>
        </is>
      </c>
      <c r="F10" s="44" t="inlineStr">
        <is>
          <t>Mitti Bharai/JCB</t>
        </is>
      </c>
      <c r="G10" s="44" t="inlineStr">
        <is>
          <t>GPay</t>
        </is>
      </c>
      <c r="I10" s="42" t="inlineStr">
        <is>
          <t>Through Engineer</t>
        </is>
      </c>
      <c r="J10" s="42" t="inlineStr">
        <is>
          <t>Cheque</t>
        </is>
      </c>
      <c r="K10" s="42" t="inlineStr">
        <is>
          <t>Electrical</t>
        </is>
      </c>
      <c r="M10" t="inlineStr">
        <is>
          <t>Bricks</t>
        </is>
      </c>
      <c r="N10" t="inlineStr">
        <is>
          <t>Kg</t>
        </is>
      </c>
    </row>
    <row r="11" ht="15.75" customHeight="1" s="99">
      <c r="A11" s="41" t="inlineStr">
        <is>
          <t>Building Materials</t>
        </is>
      </c>
      <c r="B11" s="41" t="inlineStr">
        <is>
          <t>Dr Fixit</t>
        </is>
      </c>
      <c r="C11" s="41" t="inlineStr">
        <is>
          <t>Litres</t>
        </is>
      </c>
      <c r="E11" s="42" t="inlineStr">
        <is>
          <t>Chand Ansari</t>
        </is>
      </c>
      <c r="F11" s="42" t="inlineStr">
        <is>
          <t>Dhalai Machine</t>
        </is>
      </c>
      <c r="G11" s="42" t="inlineStr">
        <is>
          <t>GPay</t>
        </is>
      </c>
      <c r="I11" s="42" t="inlineStr">
        <is>
          <t>Through Ajay</t>
        </is>
      </c>
      <c r="K11" s="42" t="inlineStr">
        <is>
          <t>Plumbing</t>
        </is>
      </c>
      <c r="M11" t="inlineStr">
        <is>
          <t>Cement-Ultratech Normal</t>
        </is>
      </c>
      <c r="N11" t="inlineStr">
        <is>
          <t>Kg/Bags</t>
        </is>
      </c>
    </row>
    <row r="12" ht="15.75" customHeight="1" s="99">
      <c r="A12" s="43" t="inlineStr">
        <is>
          <t>Building Materials</t>
        </is>
      </c>
      <c r="B12" s="43" t="inlineStr">
        <is>
          <t>Pipe PVC/GI</t>
        </is>
      </c>
      <c r="C12" s="43" t="inlineStr">
        <is>
          <t>Pcs</t>
        </is>
      </c>
      <c r="E12" s="44" t="inlineStr">
        <is>
          <t>Ajay Mahto</t>
        </is>
      </c>
      <c r="F12" s="44" t="inlineStr">
        <is>
          <t>Labour/Transport</t>
        </is>
      </c>
      <c r="G12" s="44" t="inlineStr">
        <is>
          <t>GPay</t>
        </is>
      </c>
      <c r="I12" s="42" t="inlineStr">
        <is>
          <t>Papa</t>
        </is>
      </c>
      <c r="K12" s="42" t="inlineStr">
        <is>
          <t>Plastering</t>
        </is>
      </c>
      <c r="M12" t="inlineStr">
        <is>
          <t>Cement-Ultratech Prem</t>
        </is>
      </c>
      <c r="N12" t="inlineStr">
        <is>
          <t>Litres</t>
        </is>
      </c>
    </row>
    <row r="13" ht="15.75" customHeight="1" s="99">
      <c r="A13" s="41" t="inlineStr">
        <is>
          <t>Building Materials</t>
        </is>
      </c>
      <c r="B13" s="41" t="inlineStr">
        <is>
          <t>Cover Block</t>
        </is>
      </c>
      <c r="C13" s="41" t="inlineStr">
        <is>
          <t>Packets</t>
        </is>
      </c>
      <c r="E13" s="42" t="inlineStr">
        <is>
          <t>Mukhiya</t>
        </is>
      </c>
      <c r="F13" s="42" t="inlineStr">
        <is>
          <t>Bamboo/Misc</t>
        </is>
      </c>
      <c r="G13" s="42" t="inlineStr">
        <is>
          <t>Cash</t>
        </is>
      </c>
      <c r="I13" t="inlineStr">
        <is>
          <t>Chota Bhai</t>
        </is>
      </c>
      <c r="K13" s="42" t="inlineStr">
        <is>
          <t>Flooring</t>
        </is>
      </c>
      <c r="M13" t="inlineStr">
        <is>
          <t>Cement-Ultratech Super</t>
        </is>
      </c>
      <c r="N13" t="inlineStr">
        <is>
          <t>Lumpsum</t>
        </is>
      </c>
    </row>
    <row r="14" ht="15.75" customHeight="1" s="99">
      <c r="A14" s="43" t="inlineStr">
        <is>
          <t>Building Materials</t>
        </is>
      </c>
      <c r="B14" s="43" t="inlineStr">
        <is>
          <t>Kala Panni/Tar</t>
        </is>
      </c>
      <c r="C14" s="43" t="inlineStr">
        <is>
          <t>Kg</t>
        </is>
      </c>
      <c r="E14" s="44" t="inlineStr">
        <is>
          <t>Sonbhai-Coordinator</t>
        </is>
      </c>
      <c r="F14" s="44" t="inlineStr">
        <is>
          <t>Labour Payments/Misc</t>
        </is>
      </c>
      <c r="G14" s="44" t="inlineStr">
        <is>
          <t>GPay</t>
        </is>
      </c>
      <c r="K14" s="42" t="inlineStr">
        <is>
          <t>Painting</t>
        </is>
      </c>
      <c r="M14" t="inlineStr">
        <is>
          <t>Concrete/Gitti</t>
        </is>
      </c>
      <c r="N14" t="inlineStr">
        <is>
          <t>Nos</t>
        </is>
      </c>
    </row>
    <row r="15" ht="15.75" customHeight="1" s="99">
      <c r="A15" s="41" t="inlineStr">
        <is>
          <t>Building Materials</t>
        </is>
      </c>
      <c r="B15" s="41" t="inlineStr">
        <is>
          <t>Bamboo/Shuttering</t>
        </is>
      </c>
      <c r="C15" s="41" t="inlineStr">
        <is>
          <t>Nos</t>
        </is>
      </c>
      <c r="E15" s="42" t="inlineStr">
        <is>
          <t>Econ Builder</t>
        </is>
      </c>
      <c r="F15" s="42" t="inlineStr">
        <is>
          <t>Engineering/Labour</t>
        </is>
      </c>
      <c r="G15" s="42" t="inlineStr">
        <is>
          <t>GPay</t>
        </is>
      </c>
      <c r="K15" s="42" t="inlineStr">
        <is>
          <t>Finishing</t>
        </is>
      </c>
      <c r="M15" t="inlineStr">
        <is>
          <t>Conduit Pipe</t>
        </is>
      </c>
      <c r="N15" t="inlineStr">
        <is>
          <t>Nos/Trailor</t>
        </is>
      </c>
    </row>
    <row r="16" ht="15.75" customHeight="1" s="99">
      <c r="A16" s="43" t="inlineStr">
        <is>
          <t>Building Materials</t>
        </is>
      </c>
      <c r="B16" s="43" t="inlineStr">
        <is>
          <t>Nails</t>
        </is>
      </c>
      <c r="C16" s="43" t="inlineStr">
        <is>
          <t>Kg/Bags</t>
        </is>
      </c>
      <c r="E16" s="44" t="inlineStr">
        <is>
          <t>Rinku Devi A/c</t>
        </is>
      </c>
      <c r="F16" s="44" t="inlineStr">
        <is>
          <t>Labour Account</t>
        </is>
      </c>
      <c r="G16" s="44" t="inlineStr">
        <is>
          <t>GPay</t>
        </is>
      </c>
      <c r="K16" s="42" t="inlineStr">
        <is>
          <t>Boundary Wall</t>
        </is>
      </c>
      <c r="M16" t="inlineStr">
        <is>
          <t>Cover Block</t>
        </is>
      </c>
      <c r="N16" t="inlineStr">
        <is>
          <t>Packets</t>
        </is>
      </c>
    </row>
    <row r="17" ht="15.75" customHeight="1" s="99">
      <c r="A17" s="41" t="inlineStr">
        <is>
          <t>Building Materials</t>
        </is>
      </c>
      <c r="B17" s="41" t="inlineStr">
        <is>
          <t>Binding Wire</t>
        </is>
      </c>
      <c r="C17" s="41" t="inlineStr">
        <is>
          <t>Kg</t>
        </is>
      </c>
      <c r="E17" t="inlineStr">
        <is>
          <t>Naveen Hardware</t>
        </is>
      </c>
      <c r="F17" t="inlineStr">
        <is>
          <t>Cement/Building Materials</t>
        </is>
      </c>
      <c r="G17" t="inlineStr">
        <is>
          <t>Bank Transfer</t>
        </is>
      </c>
      <c r="M17" t="inlineStr">
        <is>
          <t>Daily Labour-Mitti Bharai</t>
        </is>
      </c>
      <c r="N17" t="inlineStr">
        <is>
          <t>Pcs</t>
        </is>
      </c>
    </row>
    <row r="18" ht="15.75" customHeight="1" s="99">
      <c r="A18" s="43" t="inlineStr">
        <is>
          <t>Building Materials</t>
        </is>
      </c>
      <c r="B18" s="43" t="inlineStr">
        <is>
          <t>Blade</t>
        </is>
      </c>
      <c r="C18" s="43" t="inlineStr">
        <is>
          <t>Pcs</t>
        </is>
      </c>
      <c r="E18" t="inlineStr">
        <is>
          <t>Daily Labour</t>
        </is>
      </c>
      <c r="M18" t="inlineStr">
        <is>
          <t>Dhalai Machine Rent</t>
        </is>
      </c>
      <c r="N18" t="inlineStr">
        <is>
          <t>Tonnes/Trailor</t>
        </is>
      </c>
    </row>
    <row r="19" ht="15.75" customHeight="1" s="99">
      <c r="A19" s="41" t="inlineStr">
        <is>
          <t>Steel/Iron</t>
        </is>
      </c>
      <c r="B19" s="41" t="inlineStr">
        <is>
          <t>Tiscon 16mm</t>
        </is>
      </c>
      <c r="C19" s="41" t="inlineStr">
        <is>
          <t>Pcs</t>
        </is>
      </c>
      <c r="E19" t="inlineStr">
        <is>
          <t>Khutauna Chirai mill</t>
        </is>
      </c>
      <c r="M19" t="inlineStr">
        <is>
          <t>Dr Fixit</t>
        </is>
      </c>
      <c r="N19" t="inlineStr">
        <is>
          <t>Trips</t>
        </is>
      </c>
    </row>
    <row r="20" ht="15.75" customHeight="1" s="99">
      <c r="A20" s="43" t="inlineStr">
        <is>
          <t>Steel/Iron</t>
        </is>
      </c>
      <c r="B20" s="43" t="inlineStr">
        <is>
          <t>Tiscon 12mm</t>
        </is>
      </c>
      <c r="C20" s="43" t="inlineStr">
        <is>
          <t>Pcs</t>
        </is>
      </c>
      <c r="E20" t="inlineStr">
        <is>
          <t>Local Purchase</t>
        </is>
      </c>
      <c r="M20" t="inlineStr">
        <is>
          <t>Engineer Labour Charge</t>
        </is>
      </c>
      <c r="N20" t="inlineStr">
        <is>
          <t>Visit</t>
        </is>
      </c>
    </row>
    <row r="21" ht="15.75" customHeight="1" s="99">
      <c r="A21" s="41" t="inlineStr">
        <is>
          <t>Steel/Iron</t>
        </is>
      </c>
      <c r="B21" s="41" t="inlineStr">
        <is>
          <t>Tiscon 10mm</t>
        </is>
      </c>
      <c r="C21" s="41" t="inlineStr">
        <is>
          <t>Pcs</t>
        </is>
      </c>
      <c r="E21" t="inlineStr">
        <is>
          <t>Mittal Electric</t>
        </is>
      </c>
      <c r="M21" t="inlineStr">
        <is>
          <t>Engineer Visit Charge</t>
        </is>
      </c>
    </row>
    <row r="22" ht="15.75" customHeight="1" s="99">
      <c r="A22" s="43" t="inlineStr">
        <is>
          <t>Steel/Iron</t>
        </is>
      </c>
      <c r="B22" s="43" t="inlineStr">
        <is>
          <t>Tiscon 8mm</t>
        </is>
      </c>
      <c r="C22" s="43" t="inlineStr">
        <is>
          <t>Pcs</t>
        </is>
      </c>
      <c r="M22" t="inlineStr">
        <is>
          <t>Fan Hooks/Holders</t>
        </is>
      </c>
    </row>
    <row r="23" ht="15.75" customHeight="1" s="99">
      <c r="A23" s="41" t="inlineStr">
        <is>
          <t>Steel/Iron</t>
        </is>
      </c>
      <c r="B23" s="41" t="inlineStr">
        <is>
          <t>Tiscon 6mm</t>
        </is>
      </c>
      <c r="C23" s="41" t="inlineStr">
        <is>
          <t>Pcs</t>
        </is>
      </c>
      <c r="M23" t="inlineStr">
        <is>
          <t>Junction/Bend/Fitting</t>
        </is>
      </c>
    </row>
    <row r="24" ht="15.75" customHeight="1" s="99">
      <c r="A24" s="43" t="inlineStr">
        <is>
          <t>Electrical</t>
        </is>
      </c>
      <c r="B24" s="43" t="inlineStr">
        <is>
          <t>Wire 4mm</t>
        </is>
      </c>
      <c r="C24" s="43" t="inlineStr">
        <is>
          <t>Bundle/Metres</t>
        </is>
      </c>
      <c r="M24" t="inlineStr">
        <is>
          <t>Kala Panni/Tar</t>
        </is>
      </c>
    </row>
    <row r="25" ht="15.75" customHeight="1" s="99">
      <c r="A25" s="41" t="inlineStr">
        <is>
          <t>Electrical</t>
        </is>
      </c>
      <c r="B25" s="41" t="inlineStr">
        <is>
          <t>Wire 2.5mm</t>
        </is>
      </c>
      <c r="C25" s="41" t="inlineStr">
        <is>
          <t>Bundle/Metres</t>
        </is>
      </c>
      <c r="M25" t="inlineStr">
        <is>
          <t>Labour Food-Rice/Wheat/Gas</t>
        </is>
      </c>
    </row>
    <row r="26" ht="15.75" customHeight="1" s="99">
      <c r="A26" s="43" t="inlineStr">
        <is>
          <t>Electrical</t>
        </is>
      </c>
      <c r="B26" s="43" t="inlineStr">
        <is>
          <t>Wire 1.5mm</t>
        </is>
      </c>
      <c r="C26" s="43" t="inlineStr">
        <is>
          <t>Bundle/Metres</t>
        </is>
      </c>
      <c r="M26" t="inlineStr">
        <is>
          <t>Ladies Labour-Bricks</t>
        </is>
      </c>
    </row>
    <row r="27" ht="15.75" customHeight="1" s="99">
      <c r="A27" s="41" t="inlineStr">
        <is>
          <t>Electrical</t>
        </is>
      </c>
      <c r="B27" s="41" t="inlineStr">
        <is>
          <t>Wire 1mm</t>
        </is>
      </c>
      <c r="C27" s="41" t="inlineStr">
        <is>
          <t>Bundle/Metres</t>
        </is>
      </c>
      <c r="M27" t="inlineStr">
        <is>
          <t>Land Levelling/Filling</t>
        </is>
      </c>
    </row>
    <row r="28" ht="15.75" customHeight="1" s="99">
      <c r="A28" s="43" t="inlineStr">
        <is>
          <t>Electrical</t>
        </is>
      </c>
      <c r="B28" s="43" t="inlineStr">
        <is>
          <t>Wire 0.75mm</t>
        </is>
      </c>
      <c r="C28" s="43" t="inlineStr">
        <is>
          <t>Bundle/Metres</t>
        </is>
      </c>
      <c r="M28" t="inlineStr">
        <is>
          <t>MCB/Distribution Board</t>
        </is>
      </c>
    </row>
    <row r="29" ht="15.75" customHeight="1" s="99">
      <c r="A29" s="41" t="inlineStr">
        <is>
          <t>Electrical</t>
        </is>
      </c>
      <c r="B29" s="41" t="inlineStr">
        <is>
          <t>Switches/Sockets</t>
        </is>
      </c>
      <c r="C29" s="41" t="inlineStr">
        <is>
          <t>Pcs</t>
        </is>
      </c>
      <c r="M29" t="inlineStr">
        <is>
          <t>Map/Drawing Charge</t>
        </is>
      </c>
    </row>
    <row r="30" ht="15.75" customHeight="1" s="99">
      <c r="A30" s="43" t="inlineStr">
        <is>
          <t>Electrical</t>
        </is>
      </c>
      <c r="B30" s="43" t="inlineStr">
        <is>
          <t>MCB/Distribution Board</t>
        </is>
      </c>
      <c r="C30" s="43" t="inlineStr">
        <is>
          <t>Pcs</t>
        </is>
      </c>
      <c r="M30" t="inlineStr">
        <is>
          <t>Nails</t>
        </is>
      </c>
    </row>
    <row r="31" ht="15.75" customHeight="1" s="99">
      <c r="A31" s="41" t="inlineStr">
        <is>
          <t>Electrical</t>
        </is>
      </c>
      <c r="B31" s="41" t="inlineStr">
        <is>
          <t>Conduit Pipe</t>
        </is>
      </c>
      <c r="C31" s="41" t="inlineStr">
        <is>
          <t>Pcs</t>
        </is>
      </c>
      <c r="M31" t="inlineStr">
        <is>
          <t>Pipe PVC/GI</t>
        </is>
      </c>
    </row>
    <row r="32" ht="15.75" customHeight="1" s="99">
      <c r="A32" s="43" t="inlineStr">
        <is>
          <t>Electrical</t>
        </is>
      </c>
      <c r="B32" s="43" t="inlineStr">
        <is>
          <t>Fan Hooks/Holders</t>
        </is>
      </c>
      <c r="C32" s="43" t="inlineStr">
        <is>
          <t>Pcs</t>
        </is>
      </c>
      <c r="M32" t="inlineStr">
        <is>
          <t>Sand</t>
        </is>
      </c>
    </row>
    <row r="33" ht="15.75" customHeight="1" s="99">
      <c r="A33" s="41" t="inlineStr">
        <is>
          <t>Electrical</t>
        </is>
      </c>
      <c r="B33" s="41" t="inlineStr">
        <is>
          <t>Boards/Plates</t>
        </is>
      </c>
      <c r="C33" s="41" t="inlineStr">
        <is>
          <t>Pcs</t>
        </is>
      </c>
      <c r="M33" t="inlineStr">
        <is>
          <t>Skilled Labour</t>
        </is>
      </c>
    </row>
    <row r="34" ht="15.75" customHeight="1" s="99">
      <c r="A34" s="43" t="inlineStr">
        <is>
          <t>Electrical</t>
        </is>
      </c>
      <c r="B34" s="43" t="inlineStr">
        <is>
          <t>Junction/Bend/Fitting</t>
        </is>
      </c>
      <c r="C34" s="43" t="inlineStr">
        <is>
          <t>Pcs</t>
        </is>
      </c>
      <c r="M34" t="inlineStr">
        <is>
          <t>Switches/Sockets</t>
        </is>
      </c>
    </row>
    <row r="35" ht="15.75" customHeight="1" s="99">
      <c r="A35" s="41" t="inlineStr">
        <is>
          <t>Labour</t>
        </is>
      </c>
      <c r="B35" s="41" t="inlineStr">
        <is>
          <t>Engineer Labour Charge</t>
        </is>
      </c>
      <c r="C35" s="41" t="inlineStr">
        <is>
          <t>Lumpsum</t>
        </is>
      </c>
      <c r="M35" t="inlineStr">
        <is>
          <t>Tips/Bhoj</t>
        </is>
      </c>
    </row>
    <row r="36" ht="15.75" customHeight="1" s="99">
      <c r="A36" s="43" t="inlineStr">
        <is>
          <t>Labour</t>
        </is>
      </c>
      <c r="B36" s="43" t="inlineStr">
        <is>
          <t>Daily Labour-Mitti Bharai</t>
        </is>
      </c>
      <c r="C36" s="43" t="inlineStr">
        <is>
          <t>Days/Lumpsum</t>
        </is>
      </c>
      <c r="M36" t="inlineStr">
        <is>
          <t>Tiscon 10mm</t>
        </is>
      </c>
    </row>
    <row r="37" ht="15.75" customHeight="1" s="99">
      <c r="A37" s="41" t="inlineStr">
        <is>
          <t>Labour</t>
        </is>
      </c>
      <c r="B37" s="41" t="inlineStr">
        <is>
          <t>Dhalai Machine Rent</t>
        </is>
      </c>
      <c r="C37" s="41" t="inlineStr">
        <is>
          <t>Days</t>
        </is>
      </c>
      <c r="M37" t="inlineStr">
        <is>
          <t>Tiscon 12mm</t>
        </is>
      </c>
    </row>
    <row r="38" ht="15.75" customHeight="1" s="99">
      <c r="A38" s="43" t="inlineStr">
        <is>
          <t>Labour</t>
        </is>
      </c>
      <c r="B38" s="43" t="inlineStr">
        <is>
          <t>Ladies Labour-Bricks</t>
        </is>
      </c>
      <c r="C38" s="43" t="inlineStr">
        <is>
          <t>Days</t>
        </is>
      </c>
      <c r="M38" t="inlineStr">
        <is>
          <t>Tiscon 16mm</t>
        </is>
      </c>
    </row>
    <row r="39" ht="15.75" customHeight="1" s="99">
      <c r="A39" s="41" t="inlineStr">
        <is>
          <t>Labour</t>
        </is>
      </c>
      <c r="B39" s="41" t="inlineStr">
        <is>
          <t>Skilled Labour</t>
        </is>
      </c>
      <c r="C39" s="41" t="inlineStr">
        <is>
          <t>Days</t>
        </is>
      </c>
      <c r="M39" t="inlineStr">
        <is>
          <t>Tiscon 6mm</t>
        </is>
      </c>
    </row>
    <row r="40" ht="15.75" customHeight="1" s="99">
      <c r="A40" s="43" t="inlineStr">
        <is>
          <t>Transport</t>
        </is>
      </c>
      <c r="B40" s="43" t="inlineStr">
        <is>
          <t>Truck/Tempo Freight</t>
        </is>
      </c>
      <c r="C40" s="43" t="inlineStr">
        <is>
          <t>Trips</t>
        </is>
      </c>
      <c r="M40" t="inlineStr">
        <is>
          <t>Tiscon 8mm</t>
        </is>
      </c>
    </row>
    <row r="41" ht="15.75" customHeight="1" s="99">
      <c r="A41" s="41" t="inlineStr">
        <is>
          <t>Transport</t>
        </is>
      </c>
      <c r="B41" s="41" t="inlineStr">
        <is>
          <t>Tractor Tips</t>
        </is>
      </c>
      <c r="C41" s="41" t="inlineStr">
        <is>
          <t>Trips</t>
        </is>
      </c>
      <c r="M41" t="inlineStr">
        <is>
          <t>Tools/Consumables</t>
        </is>
      </c>
    </row>
    <row r="42" ht="15.75" customHeight="1" s="99">
      <c r="A42" s="43" t="inlineStr">
        <is>
          <t>Transport</t>
        </is>
      </c>
      <c r="B42" s="43" t="inlineStr">
        <is>
          <t>Auto/Taxi</t>
        </is>
      </c>
      <c r="C42" s="43" t="inlineStr">
        <is>
          <t>Trips</t>
        </is>
      </c>
      <c r="M42" t="inlineStr">
        <is>
          <t>Tractor Tips</t>
        </is>
      </c>
    </row>
    <row r="43" ht="15.75" customHeight="1" s="99">
      <c r="A43" s="41" t="inlineStr">
        <is>
          <t>Food/Provisions</t>
        </is>
      </c>
      <c r="B43" s="41" t="inlineStr">
        <is>
          <t>Labour Food-Rice/Wheat/Gas</t>
        </is>
      </c>
      <c r="C43" s="41" t="inlineStr">
        <is>
          <t>Lumpsum</t>
        </is>
      </c>
      <c r="M43" t="inlineStr">
        <is>
          <t>Truck/Tempo Freight</t>
        </is>
      </c>
    </row>
    <row r="44" ht="15.75" customHeight="1" s="99">
      <c r="A44" s="43" t="inlineStr">
        <is>
          <t>Professional Fees</t>
        </is>
      </c>
      <c r="B44" s="43" t="inlineStr">
        <is>
          <t>Engineer Visit Charge</t>
        </is>
      </c>
      <c r="C44" s="43" t="inlineStr">
        <is>
          <t>Visit</t>
        </is>
      </c>
      <c r="M44" t="inlineStr">
        <is>
          <t>Wire 0.75mm</t>
        </is>
      </c>
    </row>
    <row r="45" ht="15.75" customHeight="1" s="99">
      <c r="A45" s="41" t="inlineStr">
        <is>
          <t>Professional Fees</t>
        </is>
      </c>
      <c r="B45" s="41" t="inlineStr">
        <is>
          <t>Map/Drawing Charge</t>
        </is>
      </c>
      <c r="C45" s="41" t="inlineStr">
        <is>
          <t>Lumpsum</t>
        </is>
      </c>
      <c r="M45" t="inlineStr">
        <is>
          <t>Wire 1.5mm</t>
        </is>
      </c>
    </row>
    <row r="46" ht="15.75" customHeight="1" s="99">
      <c r="A46" s="43" t="inlineStr">
        <is>
          <t>Land Development</t>
        </is>
      </c>
      <c r="B46" s="43" t="inlineStr">
        <is>
          <t>Land Levelling/Filling</t>
        </is>
      </c>
      <c r="C46" s="43" t="inlineStr">
        <is>
          <t>Lumpsum</t>
        </is>
      </c>
      <c r="M46" t="inlineStr">
        <is>
          <t>Wire 1mm</t>
        </is>
      </c>
    </row>
    <row r="47" ht="15.75" customHeight="1" s="99">
      <c r="A47" s="41" t="inlineStr">
        <is>
          <t>Miscellaneous</t>
        </is>
      </c>
      <c r="B47" s="41" t="inlineStr">
        <is>
          <t>Tips/Bhoj</t>
        </is>
      </c>
      <c r="C47" s="41" t="inlineStr">
        <is>
          <t>Lumpsum</t>
        </is>
      </c>
      <c r="M47" t="inlineStr">
        <is>
          <t>Wire 2.5mm</t>
        </is>
      </c>
    </row>
    <row r="48" ht="15.75" customHeight="1" s="99">
      <c r="A48" s="43" t="inlineStr">
        <is>
          <t>Miscellaneous</t>
        </is>
      </c>
      <c r="B48" s="43" t="inlineStr">
        <is>
          <t>Tools/Consumables</t>
        </is>
      </c>
      <c r="C48" s="43" t="inlineStr">
        <is>
          <t>Lumpsum</t>
        </is>
      </c>
      <c r="M48" t="inlineStr">
        <is>
          <t>Wire 4mm</t>
        </is>
      </c>
    </row>
  </sheetData>
  <mergeCells count="2">
    <mergeCell ref="A2:L2"/>
    <mergeCell ref="A1:L1"/>
  </mergeCells>
  <pageMargins left="0.75" right="0.75" top="1" bottom="1" header="0.511811023622047" footer="0.511811023622047"/>
  <pageSetup orientation="landscape" paperSize="9" horizontalDpi="300" verticalDpi="300"/>
</worksheet>
</file>

<file path=xl/worksheets/sheet4.xml><?xml version="1.0" encoding="utf-8"?>
<worksheet xmlns="http://schemas.openxmlformats.org/spreadsheetml/2006/main">
  <sheetPr>
    <tabColor rgb="FF3B82F6"/>
    <outlinePr summaryBelow="1" summaryRight="1"/>
    <pageSetUpPr/>
  </sheetPr>
  <dimension ref="A1:R659"/>
  <sheetViews>
    <sheetView zoomScaleNormal="100" workbookViewId="0">
      <pane ySplit="4" topLeftCell="A5" activePane="bottomLeft" state="frozen"/>
      <selection pane="bottomLeft" activeCell="A1" sqref="A1:Q1"/>
    </sheetView>
  </sheetViews>
  <sheetFormatPr baseColWidth="10" defaultColWidth="8.6640625" defaultRowHeight="15"/>
  <cols>
    <col width="7" customWidth="1" style="99" min="1" max="1"/>
    <col width="14" customWidth="1" style="99" min="2" max="2"/>
    <col width="12" customWidth="1" style="99" min="3" max="3"/>
    <col width="18" customWidth="1" style="99" min="4" max="4"/>
    <col width="20" customWidth="1" style="99" min="5" max="5"/>
    <col width="26" customWidth="1" style="99" min="6" max="6"/>
    <col width="28" customWidth="1" style="99" min="7" max="7"/>
    <col width="24" customWidth="1" style="99" min="8" max="8"/>
    <col width="10" customWidth="1" style="99" min="9" max="9"/>
    <col width="16" customWidth="1" style="99" min="10" max="10"/>
    <col width="12" customWidth="1" style="99" min="11" max="11"/>
    <col width="14" customWidth="1" style="99" min="12" max="12"/>
    <col width="10" customWidth="1" style="99" min="13" max="14"/>
    <col width="14" customWidth="1" style="99" min="15" max="15"/>
    <col width="18" customWidth="1" style="99" min="16" max="16"/>
    <col width="14" customWidth="1" style="99" min="17" max="17"/>
    <col width="30" customWidth="1" style="99" min="18" max="18"/>
  </cols>
  <sheetData>
    <row r="1" ht="17.25" customHeight="1" s="99">
      <c r="A1" s="100" t="inlineStr">
        <is>
          <t>HOME CONSTRUCTION — EXPENSE REGISTER</t>
        </is>
      </c>
    </row>
    <row r="2" ht="15.75" customHeight="1" s="99">
      <c r="A2" s="98" t="inlineStr">
        <is>
          <t>Enter every payment/expense as one row. Blue cells = input. Black cells = auto-calculated formulas.</t>
        </is>
      </c>
    </row>
    <row r="4" ht="26.25" customHeight="1" s="99">
      <c r="A4" s="40" t="inlineStr">
        <is>
          <t>Sr No</t>
        </is>
      </c>
      <c r="B4" s="40" t="inlineStr">
        <is>
          <t>Date</t>
        </is>
      </c>
      <c r="C4" s="40" t="inlineStr">
        <is>
          <t>Month</t>
        </is>
      </c>
      <c r="D4" s="40" t="inlineStr">
        <is>
          <t>Construction Phase</t>
        </is>
      </c>
      <c r="E4" s="40" t="inlineStr">
        <is>
          <t>Category</t>
        </is>
      </c>
      <c r="F4" s="40" t="inlineStr">
        <is>
          <t>Sub-Category</t>
        </is>
      </c>
      <c r="G4" s="40" t="inlineStr">
        <is>
          <t>Item Description</t>
        </is>
      </c>
      <c r="H4" s="40" t="inlineStr">
        <is>
          <t>Vendor/Paid To</t>
        </is>
      </c>
      <c r="I4" s="40" t="inlineStr">
        <is>
          <t>Qty</t>
        </is>
      </c>
      <c r="J4" s="40" t="inlineStr">
        <is>
          <t>Unit</t>
        </is>
      </c>
      <c r="K4" s="40" t="inlineStr">
        <is>
          <t>Rate ₹</t>
        </is>
      </c>
      <c r="L4" s="40" t="inlineStr">
        <is>
          <t>Gross Amt ₹</t>
        </is>
      </c>
      <c r="M4" s="40" t="inlineStr">
        <is>
          <t>Discount %</t>
        </is>
      </c>
      <c r="N4" s="40" t="inlineStr">
        <is>
          <t>Discount amount</t>
        </is>
      </c>
      <c r="O4" s="40" t="inlineStr">
        <is>
          <t>Net Amt ₹</t>
        </is>
      </c>
      <c r="P4" s="40" t="inlineStr">
        <is>
          <t>Paid By</t>
        </is>
      </c>
      <c r="Q4" s="40" t="inlineStr">
        <is>
          <t>Payment Mode</t>
        </is>
      </c>
      <c r="R4" t="inlineStr">
        <is>
          <t>Building Unit (B/C, blank=joint 50/50)</t>
        </is>
      </c>
    </row>
    <row r="5" ht="15.75" customHeight="1" s="99">
      <c r="A5" s="43" t="n">
        <v>2</v>
      </c>
      <c r="B5" s="53" t="n">
        <v>46149</v>
      </c>
      <c r="C5" s="54">
        <f>IF(B5="","",TEXT(B5,"MMM-YYYY"))</f>
        <v/>
      </c>
      <c r="D5" s="55" t="inlineStr">
        <is>
          <t>Land Development</t>
        </is>
      </c>
      <c r="E5" s="55" t="inlineStr">
        <is>
          <t>Labour</t>
        </is>
      </c>
      <c r="F5" s="55" t="inlineStr">
        <is>
          <t>Daily Labour-Mitti Bharai</t>
        </is>
      </c>
      <c r="G5" s="55" t="inlineStr">
        <is>
          <t>Site cleaning by Chanarveer (adhoc labour)</t>
        </is>
      </c>
      <c r="H5" s="55" t="inlineStr">
        <is>
          <t>Sonbhai-Coordinator</t>
        </is>
      </c>
      <c r="I5" s="56" t="n">
        <v>1</v>
      </c>
      <c r="J5" s="55" t="inlineStr">
        <is>
          <t>Lumpsum</t>
        </is>
      </c>
      <c r="K5" s="57" t="n">
        <v>1500</v>
      </c>
      <c r="L5" s="58">
        <f>IF(OR(I5="",K5=""),"",I5*K5)</f>
        <v/>
      </c>
      <c r="M5" s="59" t="n"/>
      <c r="N5" s="52">
        <f>M6*L6</f>
        <v/>
      </c>
      <c r="O5" s="58">
        <f>IF(L5="","",IF(M5="",L5,L5*(1-M5)))</f>
        <v/>
      </c>
      <c r="P5" s="55" t="inlineStr">
        <is>
          <t>Self-GPay</t>
        </is>
      </c>
      <c r="Q5" s="55" t="inlineStr">
        <is>
          <t>GPay</t>
        </is>
      </c>
    </row>
    <row r="6" ht="15.75" customHeight="1" s="99">
      <c r="A6" s="41" t="n">
        <v>3</v>
      </c>
      <c r="B6" s="45" t="n">
        <v>46153</v>
      </c>
      <c r="C6" s="46">
        <f>IF(B6="","",TEXT(B6,"MMM-YYYY"))</f>
        <v/>
      </c>
      <c r="D6" s="47" t="inlineStr">
        <is>
          <t>Foundation</t>
        </is>
      </c>
      <c r="E6" s="47" t="inlineStr">
        <is>
          <t>Building Materials</t>
        </is>
      </c>
      <c r="F6" s="47" t="inlineStr">
        <is>
          <t>Cement</t>
        </is>
      </c>
      <c r="G6" s="47" t="inlineStr">
        <is>
          <t>Bill 63 - Ultratech Super 40 bags</t>
        </is>
      </c>
      <c r="H6" s="47" t="inlineStr">
        <is>
          <t>Pappu Hardware</t>
        </is>
      </c>
      <c r="I6" s="48" t="n">
        <v>40</v>
      </c>
      <c r="J6" s="47" t="inlineStr">
        <is>
          <t>Bags</t>
        </is>
      </c>
      <c r="K6" s="49" t="n">
        <v>360</v>
      </c>
      <c r="L6" s="50">
        <f>IF(OR(I6="",K6=""),"",I6*K6)</f>
        <v/>
      </c>
      <c r="M6" s="59" t="n"/>
      <c r="N6" s="52">
        <f>M7*L7</f>
        <v/>
      </c>
      <c r="O6" s="50">
        <f>IF(L6="","",IF(M6="",L6,L6*(1-M6)))</f>
        <v/>
      </c>
      <c r="P6" s="47" t="inlineStr">
        <is>
          <t>Self-GPay</t>
        </is>
      </c>
      <c r="Q6" s="47" t="inlineStr">
        <is>
          <t>GPay</t>
        </is>
      </c>
    </row>
    <row r="7" ht="15.75" customHeight="1" s="99">
      <c r="A7" s="43" t="n">
        <v>4</v>
      </c>
      <c r="B7" s="53" t="n">
        <v>46153</v>
      </c>
      <c r="C7" s="54">
        <f>IF(B7="","",TEXT(B7,"MMM-YYYY"))</f>
        <v/>
      </c>
      <c r="D7" s="55" t="inlineStr">
        <is>
          <t>Foundation</t>
        </is>
      </c>
      <c r="E7" s="55" t="inlineStr">
        <is>
          <t>Steel / Iron</t>
        </is>
      </c>
      <c r="F7" s="55" t="inlineStr">
        <is>
          <t>Tiscon 12mm</t>
        </is>
      </c>
      <c r="G7" s="55" t="inlineStr">
        <is>
          <t>Bill 63 - Tiscon 12mm 100pcs</t>
        </is>
      </c>
      <c r="H7" s="55" t="inlineStr">
        <is>
          <t>Pappu Hardware</t>
        </is>
      </c>
      <c r="I7" s="56" t="n">
        <v>100</v>
      </c>
      <c r="J7" s="55" t="inlineStr">
        <is>
          <t>Pcs</t>
        </is>
      </c>
      <c r="K7" s="57" t="n">
        <v>908</v>
      </c>
      <c r="L7" s="58">
        <f>IF(OR(I7="",K7=""),"",I7*K7)</f>
        <v/>
      </c>
      <c r="M7" s="59" t="n">
        <v>0.04</v>
      </c>
      <c r="N7" s="52">
        <f>M8*L8</f>
        <v/>
      </c>
      <c r="O7" s="58">
        <f>IF(L7="","",IF(M7="",L7,L7*(1-M7)))</f>
        <v/>
      </c>
      <c r="P7" s="55" t="inlineStr">
        <is>
          <t>Self-GPay</t>
        </is>
      </c>
      <c r="Q7" s="55" t="inlineStr">
        <is>
          <t>GPay</t>
        </is>
      </c>
    </row>
    <row r="8" ht="15.75" customHeight="1" s="99">
      <c r="A8" s="41" t="n">
        <v>5</v>
      </c>
      <c r="B8" s="45" t="n">
        <v>46153</v>
      </c>
      <c r="C8" s="46">
        <f>IF(B8="","",TEXT(B8,"MMM-YYYY"))</f>
        <v/>
      </c>
      <c r="D8" s="47" t="inlineStr">
        <is>
          <t>Foundation</t>
        </is>
      </c>
      <c r="E8" s="47" t="inlineStr">
        <is>
          <t>Steel / Iron</t>
        </is>
      </c>
      <c r="F8" s="47" t="inlineStr">
        <is>
          <t>Tiscon 10mm</t>
        </is>
      </c>
      <c r="G8" s="47" t="inlineStr">
        <is>
          <t>Bill 63 - Tiscon 10mm 100pcs</t>
        </is>
      </c>
      <c r="H8" s="47" t="inlineStr">
        <is>
          <t>Pappu Hardware</t>
        </is>
      </c>
      <c r="I8" s="48" t="n">
        <v>100</v>
      </c>
      <c r="J8" s="47" t="inlineStr">
        <is>
          <t>Pcs</t>
        </is>
      </c>
      <c r="K8" s="49" t="n">
        <v>642</v>
      </c>
      <c r="L8" s="50">
        <f>IF(OR(I8="",K8=""),"",I8*K8)</f>
        <v/>
      </c>
      <c r="M8" s="51" t="n">
        <v>0.04</v>
      </c>
      <c r="N8" s="52">
        <f>M9*L9</f>
        <v/>
      </c>
      <c r="O8" s="50">
        <f>IF(L8="","",IF(M8="",L8,L8*(1-M8)))</f>
        <v/>
      </c>
      <c r="P8" s="47" t="inlineStr">
        <is>
          <t>Self-GPay</t>
        </is>
      </c>
      <c r="Q8" s="47" t="inlineStr">
        <is>
          <t>GPay</t>
        </is>
      </c>
    </row>
    <row r="9" ht="15.75" customHeight="1" s="99">
      <c r="A9" s="43" t="n">
        <v>6</v>
      </c>
      <c r="B9" s="53" t="n">
        <v>46153</v>
      </c>
      <c r="C9" s="54">
        <f>IF(B9="","",TEXT(B9,"MMM-YYYY"))</f>
        <v/>
      </c>
      <c r="D9" s="55" t="inlineStr">
        <is>
          <t>Foundation</t>
        </is>
      </c>
      <c r="E9" s="55" t="inlineStr">
        <is>
          <t>Steel / Iron</t>
        </is>
      </c>
      <c r="F9" s="55" t="inlineStr">
        <is>
          <t>Tiscon 6mm</t>
        </is>
      </c>
      <c r="G9" s="55" t="inlineStr">
        <is>
          <t>Bill 63 - Tiscon 6mm 50pcs</t>
        </is>
      </c>
      <c r="H9" s="55" t="inlineStr">
        <is>
          <t>Pappu Hardware</t>
        </is>
      </c>
      <c r="I9" s="56" t="n">
        <v>50</v>
      </c>
      <c r="J9" s="55" t="inlineStr">
        <is>
          <t>Pcs</t>
        </is>
      </c>
      <c r="K9" s="57" t="n">
        <v>246</v>
      </c>
      <c r="L9" s="58">
        <f>IF(OR(I9="",K9=""),"",I9*K9)</f>
        <v/>
      </c>
      <c r="M9" s="59" t="n"/>
      <c r="N9" s="52">
        <f>M10*L10</f>
        <v/>
      </c>
      <c r="O9" s="58">
        <f>IF(L9="","",IF(M9="",L9,L9*(1-M9)))</f>
        <v/>
      </c>
      <c r="P9" s="55" t="inlineStr">
        <is>
          <t>Self-GPay</t>
        </is>
      </c>
      <c r="Q9" s="55" t="inlineStr">
        <is>
          <t>GPay</t>
        </is>
      </c>
    </row>
    <row r="10" ht="15.75" customHeight="1" s="99">
      <c r="A10" s="41" t="n">
        <v>7</v>
      </c>
      <c r="B10" s="45" t="n">
        <v>46153</v>
      </c>
      <c r="C10" s="46">
        <f>IF(B10="","",TEXT(B10,"MMM-YYYY"))</f>
        <v/>
      </c>
      <c r="D10" s="47" t="inlineStr">
        <is>
          <t>Foundation</t>
        </is>
      </c>
      <c r="E10" s="47" t="inlineStr">
        <is>
          <t>Building Materials</t>
        </is>
      </c>
      <c r="F10" s="47" t="inlineStr">
        <is>
          <t>Binding Wire</t>
        </is>
      </c>
      <c r="G10" s="47" t="inlineStr">
        <is>
          <t>Bill 63 - Binding Wire 20kg</t>
        </is>
      </c>
      <c r="H10" s="47" t="inlineStr">
        <is>
          <t>Pappu Hardware</t>
        </is>
      </c>
      <c r="I10" s="48" t="n">
        <v>20</v>
      </c>
      <c r="J10" s="47" t="inlineStr">
        <is>
          <t>Kg</t>
        </is>
      </c>
      <c r="K10" s="49" t="n">
        <v>120</v>
      </c>
      <c r="L10" s="50">
        <f>IF(OR(I10="",K10=""),"",I10*K10)</f>
        <v/>
      </c>
      <c r="M10" s="59" t="n"/>
      <c r="N10" s="52">
        <f>M11*L11</f>
        <v/>
      </c>
      <c r="O10" s="50">
        <f>IF(L10="","",IF(M10="",L10,L10*(1-M10)))</f>
        <v/>
      </c>
      <c r="P10" s="47" t="inlineStr">
        <is>
          <t>Self-GPay</t>
        </is>
      </c>
      <c r="Q10" s="47" t="inlineStr">
        <is>
          <t>GPay</t>
        </is>
      </c>
    </row>
    <row r="11" ht="15.75" customHeight="1" s="99">
      <c r="A11" s="43" t="n">
        <v>8</v>
      </c>
      <c r="B11" s="53" t="n">
        <v>46153</v>
      </c>
      <c r="C11" s="54">
        <f>IF(B11="","",TEXT(B11,"MMM-YYYY"))</f>
        <v/>
      </c>
      <c r="D11" s="55" t="inlineStr">
        <is>
          <t>Foundation</t>
        </is>
      </c>
      <c r="E11" s="55" t="inlineStr">
        <is>
          <t>Building Materials</t>
        </is>
      </c>
      <c r="F11" s="55" t="inlineStr">
        <is>
          <t>Dr Fixit</t>
        </is>
      </c>
      <c r="G11" s="55" t="inlineStr">
        <is>
          <t>Bill 63 - Dr Fixit 10L x 2pcs</t>
        </is>
      </c>
      <c r="H11" s="55" t="inlineStr">
        <is>
          <t>Pappu Hardware</t>
        </is>
      </c>
      <c r="I11" s="56" t="n">
        <v>2</v>
      </c>
      <c r="J11" s="55" t="inlineStr">
        <is>
          <t>Litres</t>
        </is>
      </c>
      <c r="K11" s="57" t="n">
        <v>1400</v>
      </c>
      <c r="L11" s="58">
        <f>IF(OR(I11="",K11=""),"",I11*K11)</f>
        <v/>
      </c>
      <c r="M11" s="59" t="n"/>
      <c r="N11" s="52">
        <f>M12*L12</f>
        <v/>
      </c>
      <c r="O11" s="58">
        <f>IF(L11="","",IF(M11="",L11,L11*(1-M11)))</f>
        <v/>
      </c>
      <c r="P11" s="55" t="inlineStr">
        <is>
          <t>Self-GPay</t>
        </is>
      </c>
      <c r="Q11" s="55" t="inlineStr">
        <is>
          <t>GPay</t>
        </is>
      </c>
    </row>
    <row r="12" ht="15.75" customHeight="1" s="99">
      <c r="A12" s="41" t="n">
        <v>9</v>
      </c>
      <c r="B12" s="45" t="n">
        <v>46153</v>
      </c>
      <c r="C12" s="46">
        <f>IF(B12="","",TEXT(B12,"MMM-YYYY"))</f>
        <v/>
      </c>
      <c r="D12" s="47" t="inlineStr">
        <is>
          <t>Foundation</t>
        </is>
      </c>
      <c r="E12" s="47" t="inlineStr">
        <is>
          <t>Transport · Food · Misc</t>
        </is>
      </c>
      <c r="F12" s="47" t="inlineStr">
        <is>
          <t>Truck/Tempo Freight</t>
        </is>
      </c>
      <c r="G12" s="47" t="inlineStr">
        <is>
          <t>Bill 63 - Transport from Pappu Hardware</t>
        </is>
      </c>
      <c r="H12" s="47" t="inlineStr">
        <is>
          <t>Pappu Hardware</t>
        </is>
      </c>
      <c r="I12" s="48" t="n">
        <v>1</v>
      </c>
      <c r="J12" s="47" t="inlineStr">
        <is>
          <t>Trips</t>
        </is>
      </c>
      <c r="K12" s="49" t="n">
        <v>250</v>
      </c>
      <c r="L12" s="50">
        <f>IF(OR(I12="",K12=""),"",I12*K12)</f>
        <v/>
      </c>
      <c r="M12" s="59" t="n"/>
      <c r="N12" s="52">
        <f>M13*L13</f>
        <v/>
      </c>
      <c r="O12" s="50">
        <f>IF(L12="","",IF(M12="",L12,L12*(1-M12)))</f>
        <v/>
      </c>
      <c r="P12" s="47" t="inlineStr">
        <is>
          <t>Self-GPay</t>
        </is>
      </c>
      <c r="Q12" s="47" t="inlineStr">
        <is>
          <t>GPay</t>
        </is>
      </c>
    </row>
    <row r="13" ht="15.75" customHeight="1" s="99">
      <c r="A13" s="43" t="n">
        <v>10</v>
      </c>
      <c r="B13" s="53" t="n">
        <v>46153</v>
      </c>
      <c r="C13" s="54">
        <f>IF(B13="","",TEXT(B13,"MMM-YYYY"))</f>
        <v/>
      </c>
      <c r="D13" s="55" t="inlineStr">
        <is>
          <t>Foundation</t>
        </is>
      </c>
      <c r="E13" s="55" t="inlineStr">
        <is>
          <t>Labour</t>
        </is>
      </c>
      <c r="F13" s="55" t="inlineStr">
        <is>
          <t>Skilled Labour</t>
        </is>
      </c>
      <c r="G13" s="55" t="inlineStr">
        <is>
          <t>Bill 63 - Loading labour</t>
        </is>
      </c>
      <c r="H13" s="55" t="inlineStr">
        <is>
          <t>Pappu Hardware</t>
        </is>
      </c>
      <c r="I13" s="56" t="n">
        <v>1</v>
      </c>
      <c r="J13" s="55" t="inlineStr">
        <is>
          <t>Lumpsum</t>
        </is>
      </c>
      <c r="K13" s="57" t="n">
        <v>450</v>
      </c>
      <c r="L13" s="58">
        <f>IF(OR(I13="",K13=""),"",I13*K13)</f>
        <v/>
      </c>
      <c r="M13" s="59" t="n"/>
      <c r="N13" s="52">
        <f>M14*L14</f>
        <v/>
      </c>
      <c r="O13" s="58">
        <f>IF(L13="","",IF(M13="",L13,L13*(1-M13)))</f>
        <v/>
      </c>
      <c r="P13" s="55" t="inlineStr">
        <is>
          <t>Self-GPay</t>
        </is>
      </c>
      <c r="Q13" s="55" t="inlineStr">
        <is>
          <t>GPay</t>
        </is>
      </c>
    </row>
    <row r="14" ht="15.75" customHeight="1" s="99">
      <c r="A14" s="41" t="n">
        <v>11</v>
      </c>
      <c r="B14" s="45" t="n">
        <v>46153</v>
      </c>
      <c r="C14" s="46">
        <f>IF(B14="","",TEXT(B14,"MMM-YYYY"))</f>
        <v/>
      </c>
      <c r="D14" s="47" t="inlineStr">
        <is>
          <t>Foundation</t>
        </is>
      </c>
      <c r="E14" s="47" t="inlineStr">
        <is>
          <t>Building Materials</t>
        </is>
      </c>
      <c r="F14" s="47" t="inlineStr">
        <is>
          <t>Nails</t>
        </is>
      </c>
      <c r="G14" s="47" t="inlineStr">
        <is>
          <t>Bill 63 - Kanti (Nails) 2"x1" 1 bag</t>
        </is>
      </c>
      <c r="H14" s="47" t="inlineStr">
        <is>
          <t>Pappu Hardware</t>
        </is>
      </c>
      <c r="I14" s="48" t="n">
        <v>1</v>
      </c>
      <c r="J14" s="47" t="inlineStr">
        <is>
          <t>Kg/Bags</t>
        </is>
      </c>
      <c r="K14" s="49" t="n">
        <v>2000</v>
      </c>
      <c r="L14" s="50">
        <f>IF(OR(I14="",K14=""),"",I14*K14)</f>
        <v/>
      </c>
      <c r="M14" s="51" t="n"/>
      <c r="N14" s="52">
        <f>M15*L15</f>
        <v/>
      </c>
      <c r="O14" s="50">
        <f>IF(L14="","",IF(M14="",L14,L14*(1-M14)))</f>
        <v/>
      </c>
      <c r="P14" s="47" t="inlineStr">
        <is>
          <t>Self-GPay</t>
        </is>
      </c>
      <c r="Q14" s="47" t="inlineStr">
        <is>
          <t>GPay</t>
        </is>
      </c>
    </row>
    <row r="15" ht="15.75" customHeight="1" s="99">
      <c r="A15" s="43" t="n">
        <v>12</v>
      </c>
      <c r="B15" s="53" t="n">
        <v>46153</v>
      </c>
      <c r="C15" s="54">
        <f>IF(B15="","",TEXT(B15,"MMM-YYYY"))</f>
        <v/>
      </c>
      <c r="D15" s="55" t="inlineStr">
        <is>
          <t>Foundation</t>
        </is>
      </c>
      <c r="E15" s="55" t="inlineStr">
        <is>
          <t>Building Materials</t>
        </is>
      </c>
      <c r="F15" s="55" t="inlineStr">
        <is>
          <t>Nails</t>
        </is>
      </c>
      <c r="G15" s="55" t="inlineStr">
        <is>
          <t>Bill 63 - Additional discount from Pappu Hardware</t>
        </is>
      </c>
      <c r="H15" s="55" t="inlineStr">
        <is>
          <t>Pappu Hardware</t>
        </is>
      </c>
      <c r="I15" s="56" t="n">
        <v>1</v>
      </c>
      <c r="J15" s="55" t="inlineStr">
        <is>
          <t>Lumpsum</t>
        </is>
      </c>
      <c r="K15" s="57" t="n">
        <v>-400</v>
      </c>
      <c r="L15" s="58">
        <f>IF(OR(I15="",K15=""),"",I15*K15)</f>
        <v/>
      </c>
      <c r="M15" s="59" t="n"/>
      <c r="N15" s="52">
        <f>M16*L16</f>
        <v/>
      </c>
      <c r="O15" s="58">
        <f>IF(L15="","",IF(M15="",L15,L15*(1-M15)))</f>
        <v/>
      </c>
      <c r="P15" s="55" t="inlineStr">
        <is>
          <t>Self-GPay</t>
        </is>
      </c>
      <c r="Q15" s="55" t="inlineStr">
        <is>
          <t>GPay</t>
        </is>
      </c>
    </row>
    <row r="16" ht="15.75" customHeight="1" s="99">
      <c r="A16" s="41" t="n">
        <v>13</v>
      </c>
      <c r="B16" s="45" t="n">
        <v>46154</v>
      </c>
      <c r="C16" s="46">
        <f>IF(B16="","",TEXT(B16,"MMM-YYYY"))</f>
        <v/>
      </c>
      <c r="D16" s="47" t="inlineStr">
        <is>
          <t>Land Development</t>
        </is>
      </c>
      <c r="E16" s="47" t="inlineStr">
        <is>
          <t>Land Development</t>
        </is>
      </c>
      <c r="F16" s="47" t="inlineStr">
        <is>
          <t>JCB Work</t>
        </is>
      </c>
      <c r="G16" s="47" t="inlineStr">
        <is>
          <t>JCB work 17.5 hrs @ ₹1,000/hr</t>
        </is>
      </c>
      <c r="H16" s="47" t="inlineStr">
        <is>
          <t>Mukesh Yadav</t>
        </is>
      </c>
      <c r="I16" s="48" t="n">
        <v>17.5</v>
      </c>
      <c r="J16" s="47" t="inlineStr">
        <is>
          <t>Hrs</t>
        </is>
      </c>
      <c r="K16" s="49" t="n">
        <v>1000</v>
      </c>
      <c r="L16" s="50">
        <f>IF(OR(I16="",K16=""),"",I16*K16)</f>
        <v/>
      </c>
      <c r="M16" s="51" t="n"/>
      <c r="N16" s="52">
        <f>M17*L17</f>
        <v/>
      </c>
      <c r="O16" s="50">
        <f>IF(L16="","",IF(M16="",L16,L16*(1-M16)))</f>
        <v/>
      </c>
      <c r="P16" s="47" t="inlineStr">
        <is>
          <t>Papa</t>
        </is>
      </c>
      <c r="Q16" s="47" t="inlineStr">
        <is>
          <t>GPay</t>
        </is>
      </c>
    </row>
    <row r="17" ht="15.75" customHeight="1" s="99">
      <c r="A17" s="43" t="n">
        <v>14</v>
      </c>
      <c r="B17" s="53" t="n">
        <v>46146</v>
      </c>
      <c r="C17" s="54">
        <f>IF(B17="","",TEXT(B17,"MMM-YYYY"))</f>
        <v/>
      </c>
      <c r="D17" s="55" t="inlineStr">
        <is>
          <t>Foundation</t>
        </is>
      </c>
      <c r="E17" s="55" t="inlineStr">
        <is>
          <t>Building Materials</t>
        </is>
      </c>
      <c r="F17" s="55" t="inlineStr">
        <is>
          <t>Sand</t>
        </is>
      </c>
      <c r="G17" s="55" t="inlineStr">
        <is>
          <t>Sand 1st truck (920 CFT)</t>
        </is>
      </c>
      <c r="H17" s="55" t="inlineStr">
        <is>
          <t>Sand Truck Wala</t>
        </is>
      </c>
      <c r="I17" s="56" t="n">
        <v>920</v>
      </c>
      <c r="J17" s="55" t="inlineStr">
        <is>
          <t>CFT</t>
        </is>
      </c>
      <c r="K17" s="57" t="n">
        <v>59.78260869565217</v>
      </c>
      <c r="L17" s="58">
        <f>IF(OR(I17="",K17=""),"",I17*K17)</f>
        <v/>
      </c>
      <c r="M17" s="59" t="n"/>
      <c r="N17" s="52">
        <f>M18*L18</f>
        <v/>
      </c>
      <c r="O17" s="58">
        <f>IF(L17="","",IF(M17="",L17,L17*(1-M17)))</f>
        <v/>
      </c>
      <c r="P17" s="55" t="inlineStr">
        <is>
          <t>Papa</t>
        </is>
      </c>
      <c r="Q17" s="55" t="inlineStr">
        <is>
          <t>GPay</t>
        </is>
      </c>
    </row>
    <row r="18" ht="15.75" customHeight="1" s="99">
      <c r="A18" s="41" t="n">
        <v>15</v>
      </c>
      <c r="B18" s="45" t="n">
        <v>46154</v>
      </c>
      <c r="C18" s="46">
        <f>IF(B18="","",TEXT(B18,"MMM-YYYY"))</f>
        <v/>
      </c>
      <c r="D18" s="47" t="inlineStr">
        <is>
          <t>Foundation</t>
        </is>
      </c>
      <c r="E18" s="47" t="inlineStr">
        <is>
          <t>Building Materials</t>
        </is>
      </c>
      <c r="F18" s="47" t="inlineStr">
        <is>
          <t>Sand</t>
        </is>
      </c>
      <c r="G18" s="47" t="inlineStr">
        <is>
          <t>Sand 2nd truck (918 CFT)</t>
        </is>
      </c>
      <c r="H18" s="47" t="inlineStr">
        <is>
          <t>Sand Truck Wala</t>
        </is>
      </c>
      <c r="I18" s="48" t="n">
        <v>918</v>
      </c>
      <c r="J18" s="47" t="inlineStr">
        <is>
          <t>CFT</t>
        </is>
      </c>
      <c r="K18" s="49" t="n">
        <v>59.91285403050109</v>
      </c>
      <c r="L18" s="50">
        <f>IF(OR(I18="",K18=""),"",I18*K18)</f>
        <v/>
      </c>
      <c r="M18" s="51" t="n"/>
      <c r="N18" s="52">
        <f>M19*L19</f>
        <v/>
      </c>
      <c r="O18" s="50">
        <f>IF(L18="","",IF(M18="",L18,L18*(1-M18)))</f>
        <v/>
      </c>
      <c r="P18" s="47" t="inlineStr">
        <is>
          <t>Papa</t>
        </is>
      </c>
      <c r="Q18" s="47" t="inlineStr">
        <is>
          <t>GPay</t>
        </is>
      </c>
    </row>
    <row r="19" ht="15.75" customHeight="1" s="99">
      <c r="A19" s="43" t="n">
        <v>16</v>
      </c>
      <c r="B19" s="53" t="n">
        <v>46156</v>
      </c>
      <c r="C19" s="54">
        <f>IF(B19="","",TEXT(B19,"MMM-YYYY"))</f>
        <v/>
      </c>
      <c r="D19" s="55" t="inlineStr">
        <is>
          <t>Foundation</t>
        </is>
      </c>
      <c r="E19" s="55" t="inlineStr">
        <is>
          <t>Building Materials</t>
        </is>
      </c>
      <c r="F19" s="55" t="inlineStr">
        <is>
          <t>Bricks</t>
        </is>
      </c>
      <c r="G19" s="55" t="inlineStr">
        <is>
          <t>Bricks - tractor 1 delivery (1500 pcs)</t>
        </is>
      </c>
      <c r="H19" s="55" t="inlineStr">
        <is>
          <t>Brick Company</t>
        </is>
      </c>
      <c r="I19" s="56" t="n">
        <v>1500</v>
      </c>
      <c r="J19" s="55" t="inlineStr">
        <is>
          <t>Nos</t>
        </is>
      </c>
      <c r="K19" s="57" t="n">
        <v>8.5</v>
      </c>
      <c r="L19" s="58">
        <f>IF(OR(I19="",K19=""),"",I19*K19)</f>
        <v/>
      </c>
      <c r="M19" s="59" t="n"/>
      <c r="N19" s="59" t="n"/>
      <c r="O19" s="58">
        <f>IF(L19="","",IF(M19="",L19,L19*(1-M19)))</f>
        <v/>
      </c>
      <c r="P19" s="55" t="inlineStr">
        <is>
          <t>Self-GPay</t>
        </is>
      </c>
      <c r="Q19" s="55" t="inlineStr">
        <is>
          <t>GPay</t>
        </is>
      </c>
    </row>
    <row r="20" ht="15.75" customHeight="1" s="99">
      <c r="A20" s="41" t="n">
        <v>17</v>
      </c>
      <c r="B20" s="45" t="n">
        <v>46157</v>
      </c>
      <c r="C20" s="46">
        <f>IF(B20="","",TEXT(B20,"MMM-YYYY"))</f>
        <v/>
      </c>
      <c r="D20" s="47" t="inlineStr">
        <is>
          <t>Foundation</t>
        </is>
      </c>
      <c r="E20" s="47" t="inlineStr">
        <is>
          <t>Building Materials</t>
        </is>
      </c>
      <c r="F20" s="47" t="inlineStr">
        <is>
          <t>Concrete/Gitti</t>
        </is>
      </c>
      <c r="G20" s="47" t="inlineStr">
        <is>
          <t>Crushed stone / Gitti - 27.5 Ton (600 CFT)</t>
        </is>
      </c>
      <c r="H20" s="47" t="inlineStr">
        <is>
          <t>Concrete Supplier</t>
        </is>
      </c>
      <c r="I20" s="48" t="n">
        <v>27.5</v>
      </c>
      <c r="J20" s="47" t="inlineStr">
        <is>
          <t>Ton</t>
        </is>
      </c>
      <c r="K20" s="49" t="n">
        <v>2400</v>
      </c>
      <c r="L20" s="50">
        <f>IF(OR(I20="",K20=""),"",I20*K20)</f>
        <v/>
      </c>
      <c r="M20" s="51" t="n"/>
      <c r="N20" s="51" t="n"/>
      <c r="O20" s="50">
        <f>IF(L20="","",IF(M20="",L20,L20*(1-M20)))</f>
        <v/>
      </c>
      <c r="P20" s="47" t="inlineStr">
        <is>
          <t>Papa</t>
        </is>
      </c>
      <c r="Q20" s="47" t="inlineStr">
        <is>
          <t>GPay</t>
        </is>
      </c>
    </row>
    <row r="21" ht="15.75" customHeight="1" s="99">
      <c r="A21" s="41" t="n">
        <v>19</v>
      </c>
      <c r="B21" s="45" t="n">
        <v>46158</v>
      </c>
      <c r="C21" s="46">
        <f>IF(B21="","",TEXT(B21,"MMM-YYYY"))</f>
        <v/>
      </c>
      <c r="D21" s="47" t="inlineStr">
        <is>
          <t>Foundation</t>
        </is>
      </c>
      <c r="E21" s="47" t="inlineStr">
        <is>
          <t>Professional Fees</t>
        </is>
      </c>
      <c r="F21" s="47" t="inlineStr">
        <is>
          <t>Engineering</t>
        </is>
      </c>
      <c r="G21" s="47" t="inlineStr">
        <is>
          <t>Engineer advance to Econ Builder (construction supervision)</t>
        </is>
      </c>
      <c r="H21" s="47" t="inlineStr">
        <is>
          <t>Econ Builder</t>
        </is>
      </c>
      <c r="I21" s="48" t="n">
        <v>1</v>
      </c>
      <c r="J21" s="47" t="inlineStr">
        <is>
          <t>Lumpsum</t>
        </is>
      </c>
      <c r="K21" s="49" t="n">
        <v>50000</v>
      </c>
      <c r="L21" s="50">
        <f>IF(OR(I21="",K21=""),"",I21*K21)</f>
        <v/>
      </c>
      <c r="M21" s="51" t="n"/>
      <c r="N21" s="51" t="n"/>
      <c r="O21" s="50">
        <f>IF(L21="","",IF(M21="",L21,L21*(1-M21)))</f>
        <v/>
      </c>
      <c r="P21" s="47" t="inlineStr">
        <is>
          <t>Self-GPay</t>
        </is>
      </c>
      <c r="Q21" s="47" t="inlineStr">
        <is>
          <t>GPay</t>
        </is>
      </c>
    </row>
    <row r="22" ht="15.75" customHeight="1" s="99">
      <c r="A22" s="43" t="n">
        <v>20</v>
      </c>
      <c r="B22" s="53" t="n">
        <v>46157</v>
      </c>
      <c r="C22" s="54">
        <f>IF(B22="","",TEXT(B22,"MMM-YYYY"))</f>
        <v/>
      </c>
      <c r="D22" s="55" t="inlineStr">
        <is>
          <t>Foundation</t>
        </is>
      </c>
      <c r="E22" s="55" t="inlineStr">
        <is>
          <t>Building Materials</t>
        </is>
      </c>
      <c r="F22" s="55" t="inlineStr">
        <is>
          <t>Bricks</t>
        </is>
      </c>
      <c r="G22" s="55" t="inlineStr">
        <is>
          <t>Bricks - tractor 2 delivery (1500 pcs)</t>
        </is>
      </c>
      <c r="H22" s="55" t="inlineStr">
        <is>
          <t>Brick Company</t>
        </is>
      </c>
      <c r="I22" s="56" t="n">
        <v>1500</v>
      </c>
      <c r="J22" s="55" t="inlineStr">
        <is>
          <t>Nos</t>
        </is>
      </c>
      <c r="K22" s="57" t="n">
        <v>8.5</v>
      </c>
      <c r="L22" s="58">
        <f>IF(OR(I22="",K22=""),"",I22*K22)</f>
        <v/>
      </c>
      <c r="M22" s="59" t="n"/>
      <c r="N22" s="59" t="n"/>
      <c r="O22" s="58">
        <f>IF(L22="","",IF(M22="",L22,L22*(1-M22)))</f>
        <v/>
      </c>
      <c r="P22" s="55" t="inlineStr">
        <is>
          <t>Self-GPay</t>
        </is>
      </c>
      <c r="Q22" s="55" t="inlineStr">
        <is>
          <t>GPay</t>
        </is>
      </c>
    </row>
    <row r="23" ht="15.75" customHeight="1" s="99">
      <c r="A23" s="41" t="n">
        <v>21</v>
      </c>
      <c r="B23" s="45" t="n">
        <v>46157</v>
      </c>
      <c r="C23" s="46">
        <f>IF(B23="","",TEXT(B23,"MMM-YYYY"))</f>
        <v/>
      </c>
      <c r="D23" s="47" t="inlineStr">
        <is>
          <t>Foundation</t>
        </is>
      </c>
      <c r="E23" s="47" t="inlineStr">
        <is>
          <t>Building Materials</t>
        </is>
      </c>
      <c r="F23" s="47" t="inlineStr">
        <is>
          <t>Bricks</t>
        </is>
      </c>
      <c r="G23" s="47" t="inlineStr">
        <is>
          <t>Bricks - tractor 3 delivery (1500 pcs)</t>
        </is>
      </c>
      <c r="H23" s="47" t="inlineStr">
        <is>
          <t>Brick Company</t>
        </is>
      </c>
      <c r="I23" s="48" t="n">
        <v>1500</v>
      </c>
      <c r="J23" s="47" t="inlineStr">
        <is>
          <t>Nos</t>
        </is>
      </c>
      <c r="K23" s="49" t="n">
        <v>8.5</v>
      </c>
      <c r="L23" s="50">
        <f>IF(OR(I23="",K23=""),"",I23*K23)</f>
        <v/>
      </c>
      <c r="M23" s="51" t="n"/>
      <c r="N23" s="51" t="n"/>
      <c r="O23" s="50">
        <f>IF(L23="","",IF(M23="",L23,L23*(1-M23)))</f>
        <v/>
      </c>
      <c r="P23" s="47" t="inlineStr">
        <is>
          <t>Self-GPay</t>
        </is>
      </c>
      <c r="Q23" s="47" t="inlineStr">
        <is>
          <t>GPay</t>
        </is>
      </c>
    </row>
    <row r="24" ht="15.75" customHeight="1" s="99">
      <c r="A24" s="43" t="n">
        <v>22</v>
      </c>
      <c r="B24" s="53" t="n">
        <v>46157</v>
      </c>
      <c r="C24" s="54">
        <f>IF(B24="","",TEXT(B24,"MMM-YYYY"))</f>
        <v/>
      </c>
      <c r="D24" s="55" t="inlineStr">
        <is>
          <t>Foundation</t>
        </is>
      </c>
      <c r="E24" s="55" t="inlineStr">
        <is>
          <t>Building Materials</t>
        </is>
      </c>
      <c r="F24" s="55" t="inlineStr">
        <is>
          <t>Bricks</t>
        </is>
      </c>
      <c r="G24" s="55" t="inlineStr">
        <is>
          <t>Bricks - tractor 4 delivery (1500 pcs)</t>
        </is>
      </c>
      <c r="H24" s="55" t="inlineStr">
        <is>
          <t>Brick Company</t>
        </is>
      </c>
      <c r="I24" s="56" t="n">
        <v>1500</v>
      </c>
      <c r="J24" s="55" t="inlineStr">
        <is>
          <t>Nos</t>
        </is>
      </c>
      <c r="K24" s="57" t="n">
        <v>8.5</v>
      </c>
      <c r="L24" s="58">
        <f>IF(OR(I24="",K24=""),"",I24*K24)</f>
        <v/>
      </c>
      <c r="M24" s="59" t="n"/>
      <c r="N24" s="59" t="n"/>
      <c r="O24" s="58">
        <f>IF(L24="","",IF(M24="",L24,L24*(1-M24)))</f>
        <v/>
      </c>
      <c r="P24" s="55" t="inlineStr">
        <is>
          <t>Self-GPay</t>
        </is>
      </c>
      <c r="Q24" s="55" t="inlineStr">
        <is>
          <t>GPay</t>
        </is>
      </c>
    </row>
    <row r="25" ht="15.75" customHeight="1" s="99">
      <c r="A25" s="41" t="n">
        <v>23</v>
      </c>
      <c r="B25" s="45" t="n">
        <v>46157</v>
      </c>
      <c r="C25" s="46">
        <f>IF(B25="","",TEXT(B25,"MMM-YYYY"))</f>
        <v/>
      </c>
      <c r="D25" s="47" t="inlineStr">
        <is>
          <t>Foundation</t>
        </is>
      </c>
      <c r="E25" s="47" t="inlineStr">
        <is>
          <t>Building Materials</t>
        </is>
      </c>
      <c r="F25" s="47" t="inlineStr">
        <is>
          <t>Bricks</t>
        </is>
      </c>
      <c r="G25" s="47" t="inlineStr">
        <is>
          <t>Bricks - tractor 5 delivery (1500 pcs)</t>
        </is>
      </c>
      <c r="H25" s="47" t="inlineStr">
        <is>
          <t>Brick Company</t>
        </is>
      </c>
      <c r="I25" s="48" t="n">
        <v>1500</v>
      </c>
      <c r="J25" s="47" t="inlineStr">
        <is>
          <t>Nos</t>
        </is>
      </c>
      <c r="K25" s="49" t="n">
        <v>8.5</v>
      </c>
      <c r="L25" s="50">
        <f>IF(OR(I25="",K25=""),"",I25*K25)</f>
        <v/>
      </c>
      <c r="M25" s="51" t="n"/>
      <c r="N25" s="51" t="n"/>
      <c r="O25" s="50">
        <f>IF(L25="","",IF(M25="",L25,L25*(1-M25)))</f>
        <v/>
      </c>
      <c r="P25" s="47" t="inlineStr">
        <is>
          <t>Self-GPay</t>
        </is>
      </c>
      <c r="Q25" s="47" t="inlineStr">
        <is>
          <t>GPay</t>
        </is>
      </c>
    </row>
    <row r="26" ht="15.75" customHeight="1" s="99">
      <c r="A26" s="43" t="n">
        <v>24</v>
      </c>
      <c r="B26" s="53" t="n">
        <v>46158</v>
      </c>
      <c r="C26" s="54">
        <f>IF(B26="","",TEXT(B26,"MMM-YYYY"))</f>
        <v/>
      </c>
      <c r="D26" s="55" t="inlineStr">
        <is>
          <t>Foundation</t>
        </is>
      </c>
      <c r="E26" s="55" t="inlineStr">
        <is>
          <t>Transport · Food · Misc</t>
        </is>
      </c>
      <c r="F26" s="55" t="inlineStr">
        <is>
          <t>Kala Panni/Tar</t>
        </is>
      </c>
      <c r="G26" s="55" t="inlineStr">
        <is>
          <t>Polythene / Panni</t>
        </is>
      </c>
      <c r="H26" s="55" t="inlineStr">
        <is>
          <t>Local Purchase</t>
        </is>
      </c>
      <c r="I26" s="56" t="n">
        <v>1</v>
      </c>
      <c r="J26" s="55" t="inlineStr">
        <is>
          <t>Lumpsum</t>
        </is>
      </c>
      <c r="K26" s="57" t="n">
        <v>600</v>
      </c>
      <c r="L26" s="58">
        <f>IF(OR(I26="",K26=""),"",I26*K26)</f>
        <v/>
      </c>
      <c r="M26" s="59" t="n"/>
      <c r="N26" s="59" t="n"/>
      <c r="O26" s="58">
        <f>IF(L26="","",IF(M26="",L26,L26*(1-M26)))</f>
        <v/>
      </c>
      <c r="P26" s="55" t="inlineStr">
        <is>
          <t>Papa</t>
        </is>
      </c>
      <c r="Q26" s="55" t="inlineStr">
        <is>
          <t>GPay</t>
        </is>
      </c>
    </row>
    <row r="27" ht="15.75" customHeight="1" s="99">
      <c r="A27" s="41" t="n">
        <v>25</v>
      </c>
      <c r="B27" s="45" t="n">
        <v>46158</v>
      </c>
      <c r="C27" s="46">
        <f>IF(B27="","",TEXT(B27,"MMM-YYYY"))</f>
        <v/>
      </c>
      <c r="D27" s="47" t="inlineStr">
        <is>
          <t>Foundation</t>
        </is>
      </c>
      <c r="E27" s="47" t="inlineStr">
        <is>
          <t>Transport · Food · Misc</t>
        </is>
      </c>
      <c r="F27" s="47" t="inlineStr">
        <is>
          <t>Tools/Equipment</t>
        </is>
      </c>
      <c r="G27" s="47" t="inlineStr">
        <is>
          <t>Construction equipment - Tegadi &amp; Kudal</t>
        </is>
      </c>
      <c r="H27" s="47" t="inlineStr">
        <is>
          <t>Local Purchase</t>
        </is>
      </c>
      <c r="I27" s="48" t="n">
        <v>1</v>
      </c>
      <c r="J27" s="47" t="inlineStr">
        <is>
          <t>Lumpsum</t>
        </is>
      </c>
      <c r="K27" s="49" t="n">
        <v>1175</v>
      </c>
      <c r="L27" s="50">
        <f>IF(OR(I27="",K27=""),"",I27*K27)</f>
        <v/>
      </c>
      <c r="M27" s="51" t="n"/>
      <c r="N27" s="51" t="n"/>
      <c r="O27" s="50">
        <f>IF(L27="","",IF(M27="",L27,L27*(1-M27)))</f>
        <v/>
      </c>
      <c r="P27" s="47" t="inlineStr">
        <is>
          <t>Papa</t>
        </is>
      </c>
      <c r="Q27" s="47" t="inlineStr">
        <is>
          <t>GPay</t>
        </is>
      </c>
    </row>
    <row r="28" ht="15.75" customHeight="1" s="99">
      <c r="A28" s="43" t="n">
        <v>26</v>
      </c>
      <c r="B28" s="53" t="n">
        <v>46158</v>
      </c>
      <c r="C28" s="54">
        <f>IF(B28="","",TEXT(B28,"MMM-YYYY"))</f>
        <v/>
      </c>
      <c r="D28" s="55" t="inlineStr">
        <is>
          <t>Foundation</t>
        </is>
      </c>
      <c r="E28" s="55" t="inlineStr">
        <is>
          <t>Transport · Food · Misc</t>
        </is>
      </c>
      <c r="F28" s="55" t="inlineStr">
        <is>
          <t>Food/Ration</t>
        </is>
      </c>
      <c r="G28" s="55" t="inlineStr">
        <is>
          <t>Food ration for labour</t>
        </is>
      </c>
      <c r="H28" s="55" t="inlineStr">
        <is>
          <t>Local Purchase</t>
        </is>
      </c>
      <c r="I28" s="56" t="n">
        <v>1</v>
      </c>
      <c r="J28" s="55" t="inlineStr">
        <is>
          <t>Lumpsum</t>
        </is>
      </c>
      <c r="K28" s="57" t="n">
        <v>3285</v>
      </c>
      <c r="L28" s="58">
        <f>IF(OR(I28="",K28=""),"",I28*K28)</f>
        <v/>
      </c>
      <c r="M28" s="59" t="n"/>
      <c r="N28" s="59" t="n"/>
      <c r="O28" s="58">
        <f>IF(L28="","",IF(M28="",L28,L28*(1-M28)))</f>
        <v/>
      </c>
      <c r="P28" s="55" t="inlineStr">
        <is>
          <t>Papa</t>
        </is>
      </c>
      <c r="Q28" s="55" t="inlineStr">
        <is>
          <t>GPay</t>
        </is>
      </c>
    </row>
    <row r="29" ht="15.75" customHeight="1" s="99">
      <c r="A29" s="41" t="n">
        <v>27</v>
      </c>
      <c r="B29" s="45" t="n">
        <v>46161</v>
      </c>
      <c r="C29" s="46">
        <f>IF(B29="","",TEXT(B29,"MMM-YYYY"))</f>
        <v/>
      </c>
      <c r="D29" s="47" t="inlineStr">
        <is>
          <t>Foundation</t>
        </is>
      </c>
      <c r="E29" s="47" t="inlineStr">
        <is>
          <t>Building Materials</t>
        </is>
      </c>
      <c r="F29" s="47" t="inlineStr">
        <is>
          <t>Binding Wire</t>
        </is>
      </c>
      <c r="G29" s="47" t="inlineStr">
        <is>
          <t>Soft wire</t>
        </is>
      </c>
      <c r="H29" s="47" t="inlineStr">
        <is>
          <t>Pappu Hardware</t>
        </is>
      </c>
      <c r="I29" s="48" t="n">
        <v>1</v>
      </c>
      <c r="J29" s="47" t="inlineStr">
        <is>
          <t>Lumpsum</t>
        </is>
      </c>
      <c r="K29" s="49" t="n">
        <v>1300</v>
      </c>
      <c r="L29" s="50">
        <f>IF(OR(I29="",K29=""),"",I29*K29)</f>
        <v/>
      </c>
      <c r="M29" s="51" t="n"/>
      <c r="N29" s="51" t="n"/>
      <c r="O29" s="50">
        <f>IF(L29="","",IF(M29="",L29,L29*(1-M29)))</f>
        <v/>
      </c>
      <c r="P29" s="47" t="inlineStr">
        <is>
          <t>Self-GPay</t>
        </is>
      </c>
      <c r="Q29" s="47" t="inlineStr">
        <is>
          <t>GPay</t>
        </is>
      </c>
    </row>
    <row r="30" ht="15.75" customHeight="1" s="99">
      <c r="A30" s="43" t="n">
        <v>28</v>
      </c>
      <c r="B30" s="53" t="n">
        <v>46161</v>
      </c>
      <c r="C30" s="54">
        <f>IF(B30="","",TEXT(B30,"MMM-YYYY"))</f>
        <v/>
      </c>
      <c r="D30" s="55" t="inlineStr">
        <is>
          <t>Foundation</t>
        </is>
      </c>
      <c r="E30" s="55" t="inlineStr">
        <is>
          <t>Building Materials</t>
        </is>
      </c>
      <c r="F30" s="55" t="inlineStr">
        <is>
          <t>Cover Block</t>
        </is>
      </c>
      <c r="G30" s="55" t="inlineStr">
        <is>
          <t>Cover blocks - 6 packets</t>
        </is>
      </c>
      <c r="H30" s="55" t="inlineStr">
        <is>
          <t>Pappu Hardware</t>
        </is>
      </c>
      <c r="I30" s="56" t="n">
        <v>6</v>
      </c>
      <c r="J30" s="55" t="inlineStr">
        <is>
          <t>Nos</t>
        </is>
      </c>
      <c r="K30" s="57" t="n">
        <v>350</v>
      </c>
      <c r="L30" s="58">
        <f>IF(OR(I30="",K30=""),"",I30*K30)</f>
        <v/>
      </c>
      <c r="M30" s="59" t="n"/>
      <c r="N30" s="59" t="n"/>
      <c r="O30" s="58">
        <f>IF(L30="","",IF(M30="",L30,L30*(1-M30)))</f>
        <v/>
      </c>
      <c r="P30" s="55" t="inlineStr">
        <is>
          <t>Self-GPay</t>
        </is>
      </c>
      <c r="Q30" s="55" t="inlineStr">
        <is>
          <t>GPay</t>
        </is>
      </c>
    </row>
    <row r="31" ht="15.75" customHeight="1" s="99">
      <c r="A31" s="41" t="n">
        <v>29</v>
      </c>
      <c r="B31" s="45" t="n">
        <v>46161</v>
      </c>
      <c r="C31" s="46">
        <f>IF(B31="","",TEXT(B31,"MMM-YYYY"))</f>
        <v/>
      </c>
      <c r="D31" s="47" t="inlineStr">
        <is>
          <t>Foundation</t>
        </is>
      </c>
      <c r="E31" s="47" t="inlineStr">
        <is>
          <t>Labour</t>
        </is>
      </c>
      <c r="F31" s="47" t="inlineStr">
        <is>
          <t>Helper Labour</t>
        </is>
      </c>
      <c r="G31" s="47" t="inlineStr">
        <is>
          <t>Labour charges</t>
        </is>
      </c>
      <c r="H31" s="47" t="inlineStr">
        <is>
          <t>Pappu Hardware</t>
        </is>
      </c>
      <c r="I31" s="48" t="n">
        <v>1</v>
      </c>
      <c r="J31" s="47" t="inlineStr">
        <is>
          <t>Lumpsum</t>
        </is>
      </c>
      <c r="K31" s="49" t="n">
        <v>100</v>
      </c>
      <c r="L31" s="50">
        <f>IF(OR(I31="",K31=""),"",I31*K31)</f>
        <v/>
      </c>
      <c r="M31" s="51" t="n"/>
      <c r="N31" s="51" t="n"/>
      <c r="O31" s="50">
        <f>IF(L31="","",IF(M31="",L31,L31*(1-M31)))</f>
        <v/>
      </c>
      <c r="P31" s="47" t="inlineStr">
        <is>
          <t>Self-GPay</t>
        </is>
      </c>
      <c r="Q31" s="47" t="inlineStr">
        <is>
          <t>GPay</t>
        </is>
      </c>
    </row>
    <row r="32" ht="15.75" customHeight="1" s="99">
      <c r="A32" s="43" t="n">
        <v>30</v>
      </c>
      <c r="B32" s="53" t="n">
        <v>46163</v>
      </c>
      <c r="C32" s="54">
        <f>IF(B32="","",TEXT(B32,"MMM-YYYY"))</f>
        <v/>
      </c>
      <c r="D32" s="55" t="inlineStr">
        <is>
          <t>Foundation</t>
        </is>
      </c>
      <c r="E32" s="55" t="inlineStr">
        <is>
          <t>Building Materials</t>
        </is>
      </c>
      <c r="F32" s="55" t="inlineStr">
        <is>
          <t>Cement</t>
        </is>
      </c>
      <c r="G32" s="55" t="inlineStr">
        <is>
          <t>Cement Ultratech Super - 60 bags</t>
        </is>
      </c>
      <c r="H32" s="55" t="inlineStr">
        <is>
          <t>Pappu Hardware</t>
        </is>
      </c>
      <c r="I32" s="56" t="n">
        <v>60</v>
      </c>
      <c r="J32" s="55" t="inlineStr">
        <is>
          <t>Bags</t>
        </is>
      </c>
      <c r="K32" s="57" t="n">
        <v>360</v>
      </c>
      <c r="L32" s="58">
        <f>IF(OR(I32="",K32=""),"",I32*K32)</f>
        <v/>
      </c>
      <c r="M32" s="59" t="n"/>
      <c r="N32" s="59" t="n"/>
      <c r="O32" s="58">
        <f>IF(L32="","",IF(M32="",L32,L32*(1-M32)))</f>
        <v/>
      </c>
      <c r="P32" s="55" t="inlineStr">
        <is>
          <t>Self-GPay</t>
        </is>
      </c>
      <c r="Q32" s="55" t="inlineStr">
        <is>
          <t>GPay</t>
        </is>
      </c>
    </row>
    <row r="33" ht="15.75" customHeight="1" s="99">
      <c r="A33" s="41" t="n">
        <v>31</v>
      </c>
      <c r="B33" s="45" t="n">
        <v>46163</v>
      </c>
      <c r="C33" s="46">
        <f>IF(B33="","",TEXT(B33,"MMM-YYYY"))</f>
        <v/>
      </c>
      <c r="D33" s="47" t="inlineStr">
        <is>
          <t>Foundation</t>
        </is>
      </c>
      <c r="E33" s="47" t="inlineStr">
        <is>
          <t>Transport · Food · Misc</t>
        </is>
      </c>
      <c r="F33" s="47" t="inlineStr">
        <is>
          <t>Material Transport</t>
        </is>
      </c>
      <c r="G33" s="47" t="inlineStr">
        <is>
          <t>Cement transportation</t>
        </is>
      </c>
      <c r="H33" s="47" t="inlineStr">
        <is>
          <t>Pappu Hardware</t>
        </is>
      </c>
      <c r="I33" s="48" t="n">
        <v>1</v>
      </c>
      <c r="J33" s="47" t="inlineStr">
        <is>
          <t>Lumpsum</t>
        </is>
      </c>
      <c r="K33" s="49" t="n">
        <v>250</v>
      </c>
      <c r="L33" s="50">
        <f>IF(OR(I33="",K33=""),"",I33*K33)</f>
        <v/>
      </c>
      <c r="M33" s="51" t="n"/>
      <c r="N33" s="51" t="n"/>
      <c r="O33" s="50">
        <f>IF(L33="","",IF(M33="",L33,L33*(1-M33)))</f>
        <v/>
      </c>
      <c r="P33" s="47" t="inlineStr">
        <is>
          <t>Self-GPay</t>
        </is>
      </c>
      <c r="Q33" s="47" t="inlineStr">
        <is>
          <t>GPay</t>
        </is>
      </c>
    </row>
    <row r="34" ht="15.75" customHeight="1" s="99">
      <c r="A34" s="43" t="n">
        <v>32</v>
      </c>
      <c r="B34" s="53" t="n">
        <v>46163</v>
      </c>
      <c r="C34" s="54">
        <f>IF(B34="","",TEXT(B34,"MMM-YYYY"))</f>
        <v/>
      </c>
      <c r="D34" s="55" t="inlineStr">
        <is>
          <t>Foundation</t>
        </is>
      </c>
      <c r="E34" s="55" t="inlineStr">
        <is>
          <t>Labour</t>
        </is>
      </c>
      <c r="F34" s="55" t="inlineStr">
        <is>
          <t>Helper Labour</t>
        </is>
      </c>
      <c r="G34" s="55" t="inlineStr">
        <is>
          <t>Labour for cement unloading</t>
        </is>
      </c>
      <c r="H34" s="55" t="inlineStr">
        <is>
          <t>Pappu Hardware</t>
        </is>
      </c>
      <c r="I34" s="56" t="n">
        <v>1</v>
      </c>
      <c r="J34" s="55" t="inlineStr">
        <is>
          <t>Lumpsum</t>
        </is>
      </c>
      <c r="K34" s="57" t="n">
        <v>250</v>
      </c>
      <c r="L34" s="58">
        <f>IF(OR(I34="",K34=""),"",I34*K34)</f>
        <v/>
      </c>
      <c r="M34" s="59" t="n"/>
      <c r="N34" s="59" t="n"/>
      <c r="O34" s="58">
        <f>IF(L34="","",IF(M34="",L34,L34*(1-M34)))</f>
        <v/>
      </c>
      <c r="P34" s="55" t="inlineStr">
        <is>
          <t>Self-GPay</t>
        </is>
      </c>
      <c r="Q34" s="55" t="inlineStr">
        <is>
          <t>GPay</t>
        </is>
      </c>
    </row>
    <row r="35" ht="15.75" customHeight="1" s="99">
      <c r="A35" s="41" t="n">
        <v>33</v>
      </c>
      <c r="B35" s="45" t="n">
        <v>46163</v>
      </c>
      <c r="C35" s="46">
        <f>IF(B35="","",TEXT(B35,"MMM-YYYY"))</f>
        <v/>
      </c>
      <c r="D35" s="47" t="inlineStr">
        <is>
          <t>Foundation</t>
        </is>
      </c>
      <c r="E35" s="47" t="inlineStr">
        <is>
          <t>Transport · Food · Misc</t>
        </is>
      </c>
      <c r="F35" s="47" t="inlineStr">
        <is>
          <t>Temp Construction</t>
        </is>
      </c>
      <c r="G35" s="47" t="inlineStr">
        <is>
          <t>Color metal sheet for temp toilet roof</t>
        </is>
      </c>
      <c r="H35" s="47" t="inlineStr">
        <is>
          <t>Pappu Hardware</t>
        </is>
      </c>
      <c r="I35" s="48" t="n">
        <v>1</v>
      </c>
      <c r="J35" s="47" t="inlineStr">
        <is>
          <t>Nos</t>
        </is>
      </c>
      <c r="K35" s="49" t="n">
        <v>2700</v>
      </c>
      <c r="L35" s="50">
        <f>IF(OR(I35="",K35=""),"",I35*K35)</f>
        <v/>
      </c>
      <c r="M35" s="51" t="n"/>
      <c r="N35" s="51" t="n"/>
      <c r="O35" s="50">
        <f>IF(L35="","",IF(M35="",L35,L35*(1-M35)))</f>
        <v/>
      </c>
      <c r="P35" s="47" t="inlineStr">
        <is>
          <t>Self-GPay</t>
        </is>
      </c>
      <c r="Q35" s="47" t="inlineStr">
        <is>
          <t>GPay</t>
        </is>
      </c>
    </row>
    <row r="36" ht="15.75" customHeight="1" s="99">
      <c r="A36" s="43" t="n">
        <v>34</v>
      </c>
      <c r="B36" s="53" t="n">
        <v>46164</v>
      </c>
      <c r="C36" s="54">
        <f>IF(B36="","",TEXT(B36,"MMM-YYYY"))</f>
        <v/>
      </c>
      <c r="D36" s="55" t="inlineStr">
        <is>
          <t>Foundation</t>
        </is>
      </c>
      <c r="E36" s="55" t="inlineStr">
        <is>
          <t>Professional Fees</t>
        </is>
      </c>
      <c r="F36" s="55" t="inlineStr">
        <is>
          <t>Engineering</t>
        </is>
      </c>
      <c r="G36" s="55" t="inlineStr">
        <is>
          <t>Engineer advance to Econ Builder</t>
        </is>
      </c>
      <c r="H36" s="55" t="inlineStr">
        <is>
          <t>Econ Builder</t>
        </is>
      </c>
      <c r="I36" s="56" t="n">
        <v>1</v>
      </c>
      <c r="J36" s="55" t="inlineStr">
        <is>
          <t>Lumpsum</t>
        </is>
      </c>
      <c r="K36" s="57" t="n">
        <v>50000</v>
      </c>
      <c r="L36" s="58">
        <f>IF(OR(I36="",K36=""),"",I36*K36)</f>
        <v/>
      </c>
      <c r="M36" s="59" t="n"/>
      <c r="N36" s="59" t="n"/>
      <c r="O36" s="58">
        <f>IF(L36="","",IF(M36="",L36,L36*(1-M36)))</f>
        <v/>
      </c>
      <c r="P36" s="55" t="inlineStr">
        <is>
          <t>Self-Bank Transfer</t>
        </is>
      </c>
      <c r="Q36" s="55" t="inlineStr">
        <is>
          <t>Bank Transfer</t>
        </is>
      </c>
    </row>
    <row r="37" ht="15.75" customHeight="1" s="99">
      <c r="A37" s="41" t="n">
        <v>35</v>
      </c>
      <c r="B37" s="45" t="n">
        <v>46162</v>
      </c>
      <c r="C37" s="46">
        <f>IF(B37="","",TEXT(B37,"MMM-YYYY"))</f>
        <v/>
      </c>
      <c r="D37" s="47" t="inlineStr">
        <is>
          <t>Plinth</t>
        </is>
      </c>
      <c r="E37" s="47" t="inlineStr">
        <is>
          <t>Building Materials</t>
        </is>
      </c>
      <c r="F37" s="47" t="inlineStr">
        <is>
          <t>Bricks</t>
        </is>
      </c>
      <c r="G37" s="47" t="inlineStr">
        <is>
          <t>Bricks - tractor 6 delivery (1500 pcs)</t>
        </is>
      </c>
      <c r="H37" s="47" t="inlineStr">
        <is>
          <t>Brick Company</t>
        </is>
      </c>
      <c r="I37" s="48" t="n">
        <v>1500</v>
      </c>
      <c r="J37" s="47" t="inlineStr">
        <is>
          <t>Nos</t>
        </is>
      </c>
      <c r="K37" s="49" t="n">
        <v>8.5</v>
      </c>
      <c r="L37" s="50">
        <f>IF(OR(I37="",K37=""),"",I37*K37)</f>
        <v/>
      </c>
      <c r="M37" s="51" t="n"/>
      <c r="N37" s="51" t="n"/>
      <c r="O37" s="50">
        <f>IF(L37="","",IF(M37="",L37,L37*(1-M37)))</f>
        <v/>
      </c>
      <c r="P37" s="47" t="inlineStr">
        <is>
          <t>Self-GPay</t>
        </is>
      </c>
      <c r="Q37" s="47" t="inlineStr">
        <is>
          <t>GPay</t>
        </is>
      </c>
    </row>
    <row r="38" ht="15.75" customHeight="1" s="99">
      <c r="A38" s="43" t="n">
        <v>36</v>
      </c>
      <c r="B38" s="53" t="n">
        <v>46162</v>
      </c>
      <c r="C38" s="54">
        <f>IF(B38="","",TEXT(B38,"MMM-YYYY"))</f>
        <v/>
      </c>
      <c r="D38" s="55" t="inlineStr">
        <is>
          <t>Plinth</t>
        </is>
      </c>
      <c r="E38" s="55" t="inlineStr">
        <is>
          <t>Building Materials</t>
        </is>
      </c>
      <c r="F38" s="55" t="inlineStr">
        <is>
          <t>Bricks</t>
        </is>
      </c>
      <c r="G38" s="55" t="inlineStr">
        <is>
          <t>Bricks - tractor 7 delivery (1500 pcs)</t>
        </is>
      </c>
      <c r="H38" s="55" t="inlineStr">
        <is>
          <t>Brick Company</t>
        </is>
      </c>
      <c r="I38" s="56" t="n">
        <v>1500</v>
      </c>
      <c r="J38" s="55" t="inlineStr">
        <is>
          <t>Nos</t>
        </is>
      </c>
      <c r="K38" s="57" t="n">
        <v>8.5</v>
      </c>
      <c r="L38" s="58">
        <f>IF(OR(I38="",K38=""),"",I38*K38)</f>
        <v/>
      </c>
      <c r="M38" s="59" t="n"/>
      <c r="N38" s="59" t="n"/>
      <c r="O38" s="58">
        <f>IF(L38="","",IF(M38="",L38,L38*(1-M38)))</f>
        <v/>
      </c>
      <c r="P38" s="55" t="inlineStr">
        <is>
          <t>Self-GPay</t>
        </is>
      </c>
      <c r="Q38" s="55" t="inlineStr">
        <is>
          <t>GPay</t>
        </is>
      </c>
    </row>
    <row r="39" ht="15.75" customHeight="1" s="99">
      <c r="A39" s="41" t="n">
        <v>37</v>
      </c>
      <c r="B39" s="45" t="n">
        <v>46165</v>
      </c>
      <c r="C39" s="46">
        <f>IF(B39="","",TEXT(B39,"MMM-YYYY"))</f>
        <v/>
      </c>
      <c r="D39" s="47" t="inlineStr">
        <is>
          <t>Plinth</t>
        </is>
      </c>
      <c r="E39" s="47" t="inlineStr">
        <is>
          <t>Building Materials</t>
        </is>
      </c>
      <c r="F39" s="47" t="inlineStr">
        <is>
          <t>Bricks</t>
        </is>
      </c>
      <c r="G39" s="47" t="inlineStr">
        <is>
          <t>Bricks - tractor 8 delivery (1500 pcs)</t>
        </is>
      </c>
      <c r="H39" s="47" t="inlineStr">
        <is>
          <t>Brick Company</t>
        </is>
      </c>
      <c r="I39" s="48" t="n">
        <v>1500</v>
      </c>
      <c r="J39" s="47" t="inlineStr">
        <is>
          <t>Nos</t>
        </is>
      </c>
      <c r="K39" s="49" t="n">
        <v>8.5</v>
      </c>
      <c r="L39" s="50">
        <f>IF(OR(I39="",K39=""),"",I39*K39)</f>
        <v/>
      </c>
      <c r="M39" s="51" t="n"/>
      <c r="N39" s="51" t="n"/>
      <c r="O39" s="50">
        <f>IF(L39="","",IF(M39="",L39,L39*(1-M39)))</f>
        <v/>
      </c>
      <c r="P39" s="47" t="inlineStr">
        <is>
          <t>Self-GPay</t>
        </is>
      </c>
      <c r="Q39" s="47" t="inlineStr">
        <is>
          <t>GPay</t>
        </is>
      </c>
    </row>
    <row r="40" ht="15.75" customHeight="1" s="99">
      <c r="A40" s="43" t="n">
        <v>38</v>
      </c>
      <c r="B40" s="53" t="n">
        <v>46165</v>
      </c>
      <c r="C40" s="54">
        <f>IF(B40="","",TEXT(B40,"MMM-YYYY"))</f>
        <v/>
      </c>
      <c r="D40" s="55" t="inlineStr">
        <is>
          <t>Plinth</t>
        </is>
      </c>
      <c r="E40" s="55" t="inlineStr">
        <is>
          <t>Building Materials</t>
        </is>
      </c>
      <c r="F40" s="55" t="inlineStr">
        <is>
          <t>Concrete/Gitti</t>
        </is>
      </c>
      <c r="G40" s="55" t="inlineStr">
        <is>
          <t>Crushed stone / Gitti - 37.64 Ton @ ₹2,550/ton</t>
        </is>
      </c>
      <c r="H40" s="55" t="inlineStr">
        <is>
          <t>Concrete Supplier</t>
        </is>
      </c>
      <c r="I40" s="56" t="n">
        <v>37.64</v>
      </c>
      <c r="J40" s="55" t="inlineStr">
        <is>
          <t>Ton</t>
        </is>
      </c>
      <c r="K40" s="57" t="n">
        <v>2550</v>
      </c>
      <c r="L40" s="58">
        <f>IF(OR(I40="",K40=""),"",I40*K40)</f>
        <v/>
      </c>
      <c r="M40" s="59" t="n"/>
      <c r="N40" s="59" t="n"/>
      <c r="O40" s="58">
        <f>IF(L40="","",IF(M40="",L40,L40*(1-M40)))</f>
        <v/>
      </c>
      <c r="P40" s="55" t="inlineStr">
        <is>
          <t>Self-GPay</t>
        </is>
      </c>
      <c r="Q40" s="55" t="inlineStr">
        <is>
          <t>GPay</t>
        </is>
      </c>
    </row>
    <row r="41" ht="15.75" customHeight="1" s="99">
      <c r="A41" s="41" t="n">
        <v>39</v>
      </c>
      <c r="B41" s="45" t="n">
        <v>46166</v>
      </c>
      <c r="C41" s="46">
        <f>IF(B41="","",TEXT(B41,"MMM-YYYY"))</f>
        <v/>
      </c>
      <c r="D41" s="47" t="inlineStr">
        <is>
          <t>Plinth</t>
        </is>
      </c>
      <c r="E41" s="47" t="inlineStr">
        <is>
          <t>Land Development</t>
        </is>
      </c>
      <c r="F41" s="47" t="inlineStr">
        <is>
          <t>Mitti Filling</t>
        </is>
      </c>
      <c r="G41" s="47" t="inlineStr">
        <is>
          <t>Mitti filling - 19 trailers @ ₹600 each</t>
        </is>
      </c>
      <c r="H41" s="47" t="inlineStr">
        <is>
          <t>Mukesh Yadav</t>
        </is>
      </c>
      <c r="I41" s="48" t="n">
        <v>19</v>
      </c>
      <c r="J41" s="47" t="inlineStr">
        <is>
          <t>Nos</t>
        </is>
      </c>
      <c r="K41" s="49" t="n">
        <v>600</v>
      </c>
      <c r="L41" s="50">
        <f>IF(OR(I41="",K41=""),"",I41*K41)</f>
        <v/>
      </c>
      <c r="M41" s="51" t="n"/>
      <c r="N41" s="51" t="n"/>
      <c r="O41" s="50">
        <f>IF(L41="","",IF(M41="",L41,L41*(1-M41)))</f>
        <v/>
      </c>
      <c r="P41" s="47" t="inlineStr">
        <is>
          <t>Papa</t>
        </is>
      </c>
      <c r="Q41" s="47" t="inlineStr">
        <is>
          <t>GPay</t>
        </is>
      </c>
    </row>
    <row r="42" ht="15.75" customHeight="1" s="99">
      <c r="A42" s="43" t="n">
        <v>40</v>
      </c>
      <c r="B42" s="53" t="n">
        <v>46167</v>
      </c>
      <c r="C42" s="54">
        <f>IF(B42="","",TEXT(B42,"MMM-YYYY"))</f>
        <v/>
      </c>
      <c r="D42" s="55" t="inlineStr">
        <is>
          <t>Plinth</t>
        </is>
      </c>
      <c r="E42" s="55" t="inlineStr">
        <is>
          <t>Building Materials</t>
        </is>
      </c>
      <c r="F42" s="55" t="inlineStr">
        <is>
          <t>Cement</t>
        </is>
      </c>
      <c r="G42" s="55" t="inlineStr">
        <is>
          <t>Cement Ultratech Super - 50 bags (Naveen Hardware)</t>
        </is>
      </c>
      <c r="H42" s="55" t="inlineStr">
        <is>
          <t>Naveen Hardware</t>
        </is>
      </c>
      <c r="I42" s="56" t="n">
        <v>50</v>
      </c>
      <c r="J42" s="55" t="inlineStr">
        <is>
          <t>Bags</t>
        </is>
      </c>
      <c r="K42" s="57" t="n">
        <v>360</v>
      </c>
      <c r="L42" s="58">
        <f>IF(OR(I42="",K42=""),"",I42*K42)</f>
        <v/>
      </c>
      <c r="M42" s="59" t="n"/>
      <c r="N42" s="59" t="n"/>
      <c r="O42" s="58">
        <f>IF(L42="","",IF(M42="",L42,L42*(1-M42)))</f>
        <v/>
      </c>
      <c r="P42" s="55" t="inlineStr">
        <is>
          <t>Self-Bank Transfer</t>
        </is>
      </c>
      <c r="Q42" s="55" t="inlineStr">
        <is>
          <t>Bank Transfer</t>
        </is>
      </c>
    </row>
    <row r="43" ht="15.75" customHeight="1" s="99">
      <c r="A43" s="41" t="n">
        <v>41</v>
      </c>
      <c r="B43" s="45" t="n">
        <v>46167</v>
      </c>
      <c r="C43" s="46">
        <f>IF(B43="","",TEXT(B43,"MMM-YYYY"))</f>
        <v/>
      </c>
      <c r="D43" s="47" t="inlineStr">
        <is>
          <t>Plinth</t>
        </is>
      </c>
      <c r="E43" s="47" t="inlineStr">
        <is>
          <t>Transport · Food · Misc</t>
        </is>
      </c>
      <c r="F43" s="47" t="inlineStr">
        <is>
          <t>Material Transport</t>
        </is>
      </c>
      <c r="G43" s="47" t="inlineStr">
        <is>
          <t>Cement transportation</t>
        </is>
      </c>
      <c r="H43" s="47" t="inlineStr">
        <is>
          <t>Naveen Hardware</t>
        </is>
      </c>
      <c r="I43" s="48" t="n">
        <v>1</v>
      </c>
      <c r="J43" s="47" t="inlineStr">
        <is>
          <t>Lumpsum</t>
        </is>
      </c>
      <c r="K43" s="49" t="n">
        <v>300</v>
      </c>
      <c r="L43" s="50">
        <f>IF(OR(I43="",K43=""),"",I43*K43)</f>
        <v/>
      </c>
      <c r="M43" s="51" t="n"/>
      <c r="N43" s="51" t="n"/>
      <c r="O43" s="50">
        <f>IF(L43="","",IF(M43="",L43,L43*(1-M43)))</f>
        <v/>
      </c>
      <c r="P43" s="47" t="inlineStr">
        <is>
          <t>Self-Bank Transfer</t>
        </is>
      </c>
      <c r="Q43" s="47" t="inlineStr">
        <is>
          <t>Bank Transfer</t>
        </is>
      </c>
    </row>
    <row r="44" ht="15.75" customHeight="1" s="99">
      <c r="A44" s="43" t="n">
        <v>42</v>
      </c>
      <c r="B44" s="53" t="n">
        <v>46167</v>
      </c>
      <c r="C44" s="54">
        <f>IF(B44="","",TEXT(B44,"MMM-YYYY"))</f>
        <v/>
      </c>
      <c r="D44" s="55" t="inlineStr">
        <is>
          <t>Plinth</t>
        </is>
      </c>
      <c r="E44" s="55" t="inlineStr">
        <is>
          <t>Labour</t>
        </is>
      </c>
      <c r="F44" s="55" t="inlineStr">
        <is>
          <t>Helper Labour</t>
        </is>
      </c>
      <c r="G44" s="55" t="inlineStr">
        <is>
          <t>Loading/unloading labour for cement</t>
        </is>
      </c>
      <c r="H44" s="55" t="inlineStr">
        <is>
          <t>Naveen Hardware</t>
        </is>
      </c>
      <c r="I44" s="56" t="n">
        <v>1</v>
      </c>
      <c r="J44" s="55" t="inlineStr">
        <is>
          <t>Lumpsum</t>
        </is>
      </c>
      <c r="K44" s="57" t="n">
        <v>350</v>
      </c>
      <c r="L44" s="58">
        <f>IF(OR(I44="",K44=""),"",I44*K44)</f>
        <v/>
      </c>
      <c r="M44" s="59" t="n"/>
      <c r="N44" s="59" t="n"/>
      <c r="O44" s="58">
        <f>IF(L44="","",IF(M44="",L44,L44*(1-M44)))</f>
        <v/>
      </c>
      <c r="P44" s="55" t="inlineStr">
        <is>
          <t>Self-Bank Transfer</t>
        </is>
      </c>
      <c r="Q44" s="55" t="inlineStr">
        <is>
          <t>Bank Transfer</t>
        </is>
      </c>
    </row>
    <row r="45" ht="15.75" customHeight="1" s="99">
      <c r="A45" s="41" t="n">
        <v>43</v>
      </c>
      <c r="B45" s="45" t="n">
        <v>46166</v>
      </c>
      <c r="C45" s="46">
        <f>IF(B45="","",TEXT(B45,"MMM-YYYY"))</f>
        <v/>
      </c>
      <c r="D45" s="47" t="inlineStr">
        <is>
          <t>Plinth</t>
        </is>
      </c>
      <c r="E45" s="47" t="inlineStr">
        <is>
          <t>Building Materials</t>
        </is>
      </c>
      <c r="F45" s="47" t="inlineStr">
        <is>
          <t>Bricks</t>
        </is>
      </c>
      <c r="G45" s="47" t="inlineStr">
        <is>
          <t>Bricks - tractor 9 delivery (1500 pcs)</t>
        </is>
      </c>
      <c r="H45" s="47" t="inlineStr">
        <is>
          <t>Brick Company</t>
        </is>
      </c>
      <c r="I45" s="48" t="n">
        <v>1500</v>
      </c>
      <c r="J45" s="47" t="inlineStr">
        <is>
          <t>Nos</t>
        </is>
      </c>
      <c r="K45" s="49" t="n">
        <v>8.5</v>
      </c>
      <c r="L45" s="50">
        <f>IF(OR(I45="",K45=""),"",I45*K45)</f>
        <v/>
      </c>
      <c r="M45" s="51" t="n"/>
      <c r="N45" s="51" t="n"/>
      <c r="O45" s="50">
        <f>IF(L45="","",IF(M45="",L45,L45*(1-M45)))</f>
        <v/>
      </c>
      <c r="P45" s="47" t="inlineStr">
        <is>
          <t>Self-GPay</t>
        </is>
      </c>
      <c r="Q45" s="47" t="inlineStr">
        <is>
          <t>GPay</t>
        </is>
      </c>
    </row>
    <row r="46" ht="15.75" customHeight="1" s="99">
      <c r="A46" s="43" t="n">
        <v>45</v>
      </c>
      <c r="B46" s="53" t="n">
        <v>46167</v>
      </c>
      <c r="C46" s="54">
        <f>IF(B46="","",TEXT(B46,"MMM-YYYY"))</f>
        <v/>
      </c>
      <c r="D46" s="55" t="inlineStr">
        <is>
          <t>Plinth</t>
        </is>
      </c>
      <c r="E46" s="55" t="inlineStr">
        <is>
          <t>Building Materials</t>
        </is>
      </c>
      <c r="F46" s="55" t="inlineStr">
        <is>
          <t>Bricks</t>
        </is>
      </c>
      <c r="G46" s="55" t="inlineStr">
        <is>
          <t>Bricks - tractor 10 delivery (1500 pcs)</t>
        </is>
      </c>
      <c r="H46" s="55" t="inlineStr">
        <is>
          <t>Brick Company</t>
        </is>
      </c>
      <c r="I46" s="56" t="n">
        <v>1500</v>
      </c>
      <c r="J46" s="55" t="inlineStr">
        <is>
          <t>Nos</t>
        </is>
      </c>
      <c r="K46" s="57" t="n">
        <v>8.5</v>
      </c>
      <c r="L46" s="58">
        <f>IF(OR(I46="",K46=""),"",I46*K46)</f>
        <v/>
      </c>
      <c r="M46" s="59" t="n"/>
      <c r="N46" s="59">
        <f>IF(L49="","",IF(M49="",0,L49*M49))</f>
        <v/>
      </c>
      <c r="O46" s="58">
        <f>IF(L46="","",IF(M46="",L46,L46*(1-M46)))</f>
        <v/>
      </c>
      <c r="P46" s="55" t="inlineStr">
        <is>
          <t>Self-GPay</t>
        </is>
      </c>
      <c r="Q46" s="55" t="inlineStr">
        <is>
          <t>GPay</t>
        </is>
      </c>
    </row>
    <row r="47" ht="15.75" customHeight="1" s="99">
      <c r="A47" s="41" t="n">
        <v>46</v>
      </c>
      <c r="B47" s="45" t="n">
        <v>46168</v>
      </c>
      <c r="C47" s="46">
        <f>IF(B47="","",TEXT(B47,"MMM-YYYY"))</f>
        <v/>
      </c>
      <c r="D47" s="47" t="inlineStr">
        <is>
          <t>Plinth</t>
        </is>
      </c>
      <c r="E47" s="47" t="inlineStr">
        <is>
          <t>Building Materials</t>
        </is>
      </c>
      <c r="F47" s="47" t="inlineStr">
        <is>
          <t>Bricks</t>
        </is>
      </c>
      <c r="G47" s="47" t="inlineStr">
        <is>
          <t>Bricks - tractor 11 delivery (1500 pcs)</t>
        </is>
      </c>
      <c r="H47" s="47" t="inlineStr">
        <is>
          <t>Brick Company</t>
        </is>
      </c>
      <c r="I47" s="48" t="n">
        <v>1500</v>
      </c>
      <c r="J47" s="47" t="inlineStr">
        <is>
          <t>Nos</t>
        </is>
      </c>
      <c r="K47" s="49" t="n">
        <v>8.5</v>
      </c>
      <c r="L47" s="50">
        <f>IF(OR(I47="",K47=""),"",I47*K47)</f>
        <v/>
      </c>
      <c r="M47" s="51" t="n"/>
      <c r="N47" s="51">
        <f>IF(L50="","",IF(M50="",0,L50*M50))</f>
        <v/>
      </c>
      <c r="O47" s="50">
        <f>IF(L47="","",IF(M47="",L47,L47*(1-M47)))</f>
        <v/>
      </c>
      <c r="P47" s="47" t="inlineStr">
        <is>
          <t>Self-GPay</t>
        </is>
      </c>
      <c r="Q47" s="47" t="inlineStr">
        <is>
          <t>GPay</t>
        </is>
      </c>
    </row>
    <row r="48" ht="15.75" customHeight="1" s="99">
      <c r="A48" s="43" t="n">
        <v>47</v>
      </c>
      <c r="B48" s="53" t="n">
        <v>46168</v>
      </c>
      <c r="C48" s="54">
        <f>IF(B48="","",TEXT(B48,"MMM-YYYY"))</f>
        <v/>
      </c>
      <c r="D48" s="55" t="inlineStr">
        <is>
          <t>Plinth</t>
        </is>
      </c>
      <c r="E48" s="55" t="inlineStr">
        <is>
          <t>Building Materials</t>
        </is>
      </c>
      <c r="F48" s="55" t="inlineStr">
        <is>
          <t>Bricks</t>
        </is>
      </c>
      <c r="G48" s="55" t="inlineStr">
        <is>
          <t>Bricks - tractor 12 delivery (1500 pcs)</t>
        </is>
      </c>
      <c r="H48" s="55" t="inlineStr">
        <is>
          <t>Brick Company</t>
        </is>
      </c>
      <c r="I48" s="56" t="n">
        <v>1500</v>
      </c>
      <c r="J48" s="55" t="inlineStr">
        <is>
          <t>Nos</t>
        </is>
      </c>
      <c r="K48" s="57" t="n">
        <v>8.5</v>
      </c>
      <c r="L48" s="58">
        <f>IF(OR(I48="",K48=""),"",I48*K48)</f>
        <v/>
      </c>
      <c r="M48" s="59" t="n"/>
      <c r="N48" s="59">
        <f>IF(L51="","",IF(M51="",0,L51*M51))</f>
        <v/>
      </c>
      <c r="O48" s="58">
        <f>IF(L48="","",IF(M48="",L48,L48*(1-M48)))</f>
        <v/>
      </c>
      <c r="P48" s="55" t="inlineStr">
        <is>
          <t>Self-GPay</t>
        </is>
      </c>
      <c r="Q48" s="55" t="inlineStr">
        <is>
          <t>GPay</t>
        </is>
      </c>
    </row>
    <row r="49" ht="15.75" customHeight="1" s="99">
      <c r="A49" s="41" t="n">
        <v>48</v>
      </c>
      <c r="B49" s="45" t="n">
        <v>46168</v>
      </c>
      <c r="C49" s="46">
        <f>IF(B49="","",TEXT(B49,"MMM-YYYY"))</f>
        <v/>
      </c>
      <c r="D49" s="47" t="inlineStr">
        <is>
          <t>Plinth</t>
        </is>
      </c>
      <c r="E49" s="47" t="inlineStr">
        <is>
          <t>Land Development</t>
        </is>
      </c>
      <c r="F49" s="47" t="inlineStr">
        <is>
          <t>Mitti Filling</t>
        </is>
      </c>
      <c r="G49" s="47" t="inlineStr">
        <is>
          <t>Mitti filling - 22 trailers @ ₹600 each</t>
        </is>
      </c>
      <c r="H49" s="47" t="inlineStr">
        <is>
          <t>Mukesh Yadav</t>
        </is>
      </c>
      <c r="I49" s="48" t="n">
        <v>22</v>
      </c>
      <c r="J49" s="47" t="inlineStr">
        <is>
          <t>Nos</t>
        </is>
      </c>
      <c r="K49" s="49" t="n">
        <v>600</v>
      </c>
      <c r="L49" s="50">
        <f>IF(OR(I49="",K49=""),"",I49*K49)</f>
        <v/>
      </c>
      <c r="M49" s="51" t="n"/>
      <c r="N49" s="51">
        <f>IF(L52="","",IF(M52="",0,L52*M52))</f>
        <v/>
      </c>
      <c r="O49" s="50">
        <f>IF(L49="","",IF(M49="",L49,L49*(1-M49)))</f>
        <v/>
      </c>
      <c r="P49" s="47" t="inlineStr">
        <is>
          <t>Papa</t>
        </is>
      </c>
      <c r="Q49" s="47" t="inlineStr">
        <is>
          <t>GPay</t>
        </is>
      </c>
    </row>
    <row r="50" ht="15.75" customHeight="1" s="99">
      <c r="A50" s="43" t="n">
        <v>49</v>
      </c>
      <c r="B50" s="53" t="n">
        <v>46174</v>
      </c>
      <c r="C50" s="54">
        <f>IF(B50="","",TEXT(B50,"MMM-YYYY"))</f>
        <v/>
      </c>
      <c r="D50" s="55" t="inlineStr">
        <is>
          <t>Plinth</t>
        </is>
      </c>
      <c r="E50" s="55" t="inlineStr">
        <is>
          <t>Steel / Iron</t>
        </is>
      </c>
      <c r="F50" s="55" t="inlineStr">
        <is>
          <t>Tiscon 12mm</t>
        </is>
      </c>
      <c r="G50" s="55" t="inlineStr">
        <is>
          <t>Tiscon 12mm TMT - 100 PC @ ₹908 (Bill 2)</t>
        </is>
      </c>
      <c r="H50" s="55" t="inlineStr">
        <is>
          <t>Pappu Hardware</t>
        </is>
      </c>
      <c r="I50" s="56" t="n">
        <v>100</v>
      </c>
      <c r="J50" s="55" t="inlineStr">
        <is>
          <t>Pcs</t>
        </is>
      </c>
      <c r="K50" s="57" t="n">
        <v>908</v>
      </c>
      <c r="L50" s="58">
        <f>IF(OR(I50="",K50=""),"",I50*K50)</f>
        <v/>
      </c>
      <c r="M50" s="59" t="n">
        <v>0.04</v>
      </c>
      <c r="N50" s="59">
        <f>IF(L53="","",IF(M53="",0,L53*M53))</f>
        <v/>
      </c>
      <c r="O50" s="58">
        <f>IF(L50="","",IF(M50="",L50,L50*(1-M50)))</f>
        <v/>
      </c>
      <c r="P50" s="55" t="inlineStr">
        <is>
          <t>Self-Bank Transfer</t>
        </is>
      </c>
      <c r="Q50" s="55" t="inlineStr">
        <is>
          <t>Bank Transfer</t>
        </is>
      </c>
    </row>
    <row r="51" ht="15.75" customHeight="1" s="99">
      <c r="A51" s="41" t="n">
        <v>50</v>
      </c>
      <c r="B51" s="45" t="n">
        <v>46174</v>
      </c>
      <c r="C51" s="46">
        <f>IF(B51="","",TEXT(B51,"MMM-YYYY"))</f>
        <v/>
      </c>
      <c r="D51" s="47" t="inlineStr">
        <is>
          <t>Plinth</t>
        </is>
      </c>
      <c r="E51" s="47" t="inlineStr">
        <is>
          <t>Steel / Iron</t>
        </is>
      </c>
      <c r="F51" s="47" t="inlineStr">
        <is>
          <t>Tiscon 10mm</t>
        </is>
      </c>
      <c r="G51" s="47" t="inlineStr">
        <is>
          <t>Tiscon 10mm TMT - 100 PC @ ₹642 (Bill 2)</t>
        </is>
      </c>
      <c r="H51" s="47" t="inlineStr">
        <is>
          <t>Pappu Hardware</t>
        </is>
      </c>
      <c r="I51" s="48" t="n">
        <v>100</v>
      </c>
      <c r="J51" s="47" t="inlineStr">
        <is>
          <t>Pcs</t>
        </is>
      </c>
      <c r="K51" s="49" t="n">
        <v>642</v>
      </c>
      <c r="L51" s="50">
        <f>IF(OR(I51="",K51=""),"",I51*K51)</f>
        <v/>
      </c>
      <c r="M51" s="51" t="n">
        <v>0.04</v>
      </c>
      <c r="N51" s="51">
        <f>IF(L54="","",IF(M54="",0,L54*M54))</f>
        <v/>
      </c>
      <c r="O51" s="50">
        <f>IF(L51="","",IF(M51="",L51,L51*(1-M51)))</f>
        <v/>
      </c>
      <c r="P51" s="47" t="inlineStr">
        <is>
          <t>Self-Bank Transfer</t>
        </is>
      </c>
      <c r="Q51" s="47" t="inlineStr">
        <is>
          <t>Bank Transfer</t>
        </is>
      </c>
    </row>
    <row r="52" ht="15.75" customHeight="1" s="99">
      <c r="A52" s="43" t="n">
        <v>51</v>
      </c>
      <c r="B52" s="53" t="n">
        <v>46174</v>
      </c>
      <c r="C52" s="54">
        <f>IF(B52="","",TEXT(B52,"MMM-YYYY"))</f>
        <v/>
      </c>
      <c r="D52" s="55" t="inlineStr">
        <is>
          <t>Plinth</t>
        </is>
      </c>
      <c r="E52" s="55" t="inlineStr">
        <is>
          <t>Steel / Iron</t>
        </is>
      </c>
      <c r="F52" s="55" t="inlineStr">
        <is>
          <t>Tiscon 8mm</t>
        </is>
      </c>
      <c r="G52" s="55" t="inlineStr">
        <is>
          <t>Tiscon 8mm TMT - 50 PC @ ₹420 (NEW)</t>
        </is>
      </c>
      <c r="H52" s="55" t="inlineStr">
        <is>
          <t>Pappu Hardware</t>
        </is>
      </c>
      <c r="I52" s="56" t="n">
        <v>50</v>
      </c>
      <c r="J52" s="55" t="inlineStr">
        <is>
          <t>Pcs</t>
        </is>
      </c>
      <c r="K52" s="57" t="n">
        <v>420</v>
      </c>
      <c r="L52" s="58">
        <f>IF(OR(I52="",K52=""),"",I52*K52)</f>
        <v/>
      </c>
      <c r="M52" s="59" t="n">
        <v>0.04</v>
      </c>
      <c r="N52" s="59">
        <f>IF(L55="","",IF(M55="",0,L55*M55))</f>
        <v/>
      </c>
      <c r="O52" s="58">
        <f>IF(L52="","",IF(M52="",L52,L52*(1-M52)))</f>
        <v/>
      </c>
      <c r="P52" s="55" t="inlineStr">
        <is>
          <t>Self-Bank Transfer</t>
        </is>
      </c>
      <c r="Q52" s="55" t="inlineStr">
        <is>
          <t>Bank Transfer</t>
        </is>
      </c>
    </row>
    <row r="53" ht="15.75" customHeight="1" s="99">
      <c r="A53" s="41" t="n">
        <v>52</v>
      </c>
      <c r="B53" s="45" t="n">
        <v>46174</v>
      </c>
      <c r="C53" s="46">
        <f>IF(B53="","",TEXT(B53,"MMM-YYYY"))</f>
        <v/>
      </c>
      <c r="D53" s="47" t="inlineStr">
        <is>
          <t>Plinth</t>
        </is>
      </c>
      <c r="E53" s="47" t="inlineStr">
        <is>
          <t>Steel / Iron</t>
        </is>
      </c>
      <c r="F53" s="47" t="inlineStr">
        <is>
          <t>Tiscon 6mm</t>
        </is>
      </c>
      <c r="G53" s="47" t="inlineStr">
        <is>
          <t>Tiscon 6mm TMT - 50 PC @ ₹246 (Bill 2)</t>
        </is>
      </c>
      <c r="H53" s="47" t="inlineStr">
        <is>
          <t>Pappu Hardware</t>
        </is>
      </c>
      <c r="I53" s="48" t="n">
        <v>50</v>
      </c>
      <c r="J53" s="47" t="inlineStr">
        <is>
          <t>Pcs</t>
        </is>
      </c>
      <c r="K53" s="49" t="n">
        <v>246</v>
      </c>
      <c r="L53" s="50">
        <f>IF(OR(I53="",K53=""),"",I53*K53)</f>
        <v/>
      </c>
      <c r="M53" s="51" t="n"/>
      <c r="N53" s="51">
        <f>IF(L56="","",IF(M56="",0,L56*M56))</f>
        <v/>
      </c>
      <c r="O53" s="50">
        <f>IF(L53="","",IF(M53="",L53,L53*(1-M53)))</f>
        <v/>
      </c>
      <c r="P53" s="47" t="inlineStr">
        <is>
          <t>Self-Bank Transfer</t>
        </is>
      </c>
      <c r="Q53" s="47" t="inlineStr">
        <is>
          <t>Bank Transfer</t>
        </is>
      </c>
    </row>
    <row r="54" ht="15.75" customHeight="1" s="99">
      <c r="A54" s="43" t="n">
        <v>53</v>
      </c>
      <c r="B54" s="53" t="n">
        <v>46174</v>
      </c>
      <c r="C54" s="54">
        <f>IF(B54="","",TEXT(B54,"MMM-YYYY"))</f>
        <v/>
      </c>
      <c r="D54" s="55" t="inlineStr">
        <is>
          <t>Plinth</t>
        </is>
      </c>
      <c r="E54" s="55" t="inlineStr">
        <is>
          <t>Building Materials</t>
        </is>
      </c>
      <c r="F54" s="55" t="inlineStr">
        <is>
          <t>Cement</t>
        </is>
      </c>
      <c r="G54" s="55" t="inlineStr">
        <is>
          <t>Cement Ultratech Super - 50 bags (Bill 2)</t>
        </is>
      </c>
      <c r="H54" s="55" t="inlineStr">
        <is>
          <t>Pappu Hardware</t>
        </is>
      </c>
      <c r="I54" s="56" t="n">
        <v>50</v>
      </c>
      <c r="J54" s="55" t="inlineStr">
        <is>
          <t>Bags</t>
        </is>
      </c>
      <c r="K54" s="57" t="n">
        <v>360</v>
      </c>
      <c r="L54" s="58">
        <f>IF(OR(I54="",K54=""),"",I54*K54)</f>
        <v/>
      </c>
      <c r="M54" s="59" t="n"/>
      <c r="N54" s="59">
        <f>IF(L57="","",IF(M57="",0,L57*M57))</f>
        <v/>
      </c>
      <c r="O54" s="58">
        <f>IF(L54="","",IF(M54="",L54,L54*(1-M54)))</f>
        <v/>
      </c>
      <c r="P54" s="55" t="inlineStr">
        <is>
          <t>Self-Bank Transfer</t>
        </is>
      </c>
      <c r="Q54" s="55" t="inlineStr">
        <is>
          <t>Bank Transfer</t>
        </is>
      </c>
    </row>
    <row r="55" ht="15.75" customHeight="1" s="99">
      <c r="A55" s="41" t="n">
        <v>54</v>
      </c>
      <c r="B55" s="45" t="n">
        <v>46174</v>
      </c>
      <c r="C55" s="46">
        <f>IF(B55="","",TEXT(B55,"MMM-YYYY"))</f>
        <v/>
      </c>
      <c r="D55" s="47" t="inlineStr">
        <is>
          <t>Plinth</t>
        </is>
      </c>
      <c r="E55" s="47" t="inlineStr">
        <is>
          <t>Building Materials</t>
        </is>
      </c>
      <c r="F55" s="47" t="inlineStr">
        <is>
          <t>Dr Fixit</t>
        </is>
      </c>
      <c r="G55" s="47" t="inlineStr">
        <is>
          <t>Dr Fixit 20 litre - 1 pack</t>
        </is>
      </c>
      <c r="H55" s="47" t="inlineStr">
        <is>
          <t>Pappu Hardware</t>
        </is>
      </c>
      <c r="I55" s="48" t="n">
        <v>20</v>
      </c>
      <c r="J55" s="47" t="inlineStr">
        <is>
          <t>L</t>
        </is>
      </c>
      <c r="K55" s="49" t="n">
        <v>130</v>
      </c>
      <c r="L55" s="50">
        <f>IF(OR(I55="",K55=""),"",I55*K55)</f>
        <v/>
      </c>
      <c r="M55" s="51" t="n"/>
      <c r="N55" s="51">
        <f>IF(L58="","",IF(M58="",0,L58*M58))</f>
        <v/>
      </c>
      <c r="O55" s="50">
        <f>IF(L55="","",IF(M55="",L55,L55*(1-M55)))</f>
        <v/>
      </c>
      <c r="P55" s="47" t="inlineStr">
        <is>
          <t>Self-Bank Transfer</t>
        </is>
      </c>
      <c r="Q55" s="47" t="inlineStr">
        <is>
          <t>Bank Transfer</t>
        </is>
      </c>
    </row>
    <row r="56" ht="15.75" customHeight="1" s="99">
      <c r="A56" s="43" t="n">
        <v>55</v>
      </c>
      <c r="B56" s="53" t="n">
        <v>46174</v>
      </c>
      <c r="C56" s="54">
        <f>IF(B56="","",TEXT(B56,"MMM-YYYY"))</f>
        <v/>
      </c>
      <c r="D56" s="55" t="inlineStr">
        <is>
          <t>Plinth</t>
        </is>
      </c>
      <c r="E56" s="55" t="inlineStr">
        <is>
          <t>Transport · Food · Misc</t>
        </is>
      </c>
      <c r="F56" s="55" t="inlineStr">
        <is>
          <t>Material Transport</t>
        </is>
      </c>
      <c r="G56" s="55" t="inlineStr">
        <is>
          <t>Transport (Gada) for Bill 2 delivery</t>
        </is>
      </c>
      <c r="H56" s="55" t="inlineStr">
        <is>
          <t>Pappu Hardware</t>
        </is>
      </c>
      <c r="I56" s="56" t="n">
        <v>1</v>
      </c>
      <c r="J56" s="55" t="inlineStr">
        <is>
          <t>Lumpsum</t>
        </is>
      </c>
      <c r="K56" s="57" t="n">
        <v>500</v>
      </c>
      <c r="L56" s="58">
        <f>IF(OR(I56="",K56=""),"",I56*K56)</f>
        <v/>
      </c>
      <c r="M56" s="59" t="n"/>
      <c r="N56" s="59">
        <f>IF(L59="","",IF(M59="",0,L59*M59))</f>
        <v/>
      </c>
      <c r="O56" s="58">
        <f>IF(L56="","",IF(M56="",L56,L56*(1-M56)))</f>
        <v/>
      </c>
      <c r="P56" s="55" t="inlineStr">
        <is>
          <t>Self-Bank Transfer</t>
        </is>
      </c>
      <c r="Q56" s="55" t="inlineStr">
        <is>
          <t>Bank Transfer</t>
        </is>
      </c>
    </row>
    <row r="57" ht="15.75" customHeight="1" s="99">
      <c r="A57" s="41" t="n">
        <v>56</v>
      </c>
      <c r="B57" s="45" t="n">
        <v>46174</v>
      </c>
      <c r="C57" s="46">
        <f>IF(B57="","",TEXT(B57,"MMM-YYYY"))</f>
        <v/>
      </c>
      <c r="D57" s="47" t="inlineStr">
        <is>
          <t>Plinth</t>
        </is>
      </c>
      <c r="E57" s="47" t="inlineStr">
        <is>
          <t>Labour</t>
        </is>
      </c>
      <c r="F57" s="47" t="inlineStr">
        <is>
          <t>Helper Labour</t>
        </is>
      </c>
      <c r="G57" s="47" t="inlineStr">
        <is>
          <t>Loading/unloading labour - Bill 2</t>
        </is>
      </c>
      <c r="H57" s="47" t="inlineStr">
        <is>
          <t>Pappu Hardware</t>
        </is>
      </c>
      <c r="I57" s="48" t="n">
        <v>1</v>
      </c>
      <c r="J57" s="47" t="inlineStr">
        <is>
          <t>Lumpsum</t>
        </is>
      </c>
      <c r="K57" s="49" t="n">
        <v>470</v>
      </c>
      <c r="L57" s="50">
        <f>IF(OR(I57="",K57=""),"",I57*K57)</f>
        <v/>
      </c>
      <c r="M57" s="51" t="n"/>
      <c r="N57" s="51">
        <f>IF(L60="","",IF(M60="",0,L60*M60))</f>
        <v/>
      </c>
      <c r="O57" s="50">
        <f>IF(L57="","",IF(M57="",L57,L57*(1-M57)))</f>
        <v/>
      </c>
      <c r="P57" s="47" t="inlineStr">
        <is>
          <t>Self-Bank Transfer</t>
        </is>
      </c>
      <c r="Q57" s="47" t="inlineStr">
        <is>
          <t>Bank Transfer</t>
        </is>
      </c>
    </row>
    <row r="58" ht="15.75" customHeight="1" s="99">
      <c r="A58" s="43" t="n">
        <v>57</v>
      </c>
      <c r="B58" s="53" t="n">
        <v>46174</v>
      </c>
      <c r="C58" s="54">
        <f>IF(B58="","",TEXT(B58,"MMM-YYYY"))</f>
        <v/>
      </c>
      <c r="D58" s="55" t="inlineStr">
        <is>
          <t>Plinth</t>
        </is>
      </c>
      <c r="E58" s="55" t="inlineStr">
        <is>
          <t>Labour</t>
        </is>
      </c>
      <c r="F58" s="55" t="inlineStr">
        <is>
          <t>Earth Filling Labour</t>
        </is>
      </c>
      <c r="G58" s="55" t="inlineStr">
        <is>
          <t>Earth filling (mitti) labour - 66 labourers @ ₹350 each</t>
        </is>
      </c>
      <c r="H58" s="55" t="inlineStr">
        <is>
          <t>Daily Labour</t>
        </is>
      </c>
      <c r="I58" s="56" t="n">
        <v>66</v>
      </c>
      <c r="J58" s="55" t="inlineStr">
        <is>
          <t>Nos</t>
        </is>
      </c>
      <c r="K58" s="57" t="n">
        <v>350</v>
      </c>
      <c r="L58" s="58">
        <f>IF(OR(I58="",K58=""),"",I58*K58)</f>
        <v/>
      </c>
      <c r="M58" s="59" t="n"/>
      <c r="N58" s="59">
        <f>IF(L61="","",IF(M61="",0,L61*M61))</f>
        <v/>
      </c>
      <c r="O58" s="58">
        <f>IF(L58="","",IF(M58="",L58,L58*(1-M58)))</f>
        <v/>
      </c>
      <c r="P58" s="55" t="inlineStr">
        <is>
          <t>Papa</t>
        </is>
      </c>
      <c r="Q58" s="55" t="inlineStr">
        <is>
          <t>GPay</t>
        </is>
      </c>
    </row>
    <row r="59" ht="15.75" customHeight="1" s="99">
      <c r="A59" s="41" t="n">
        <v>58</v>
      </c>
      <c r="B59" s="45" t="n">
        <v>46174</v>
      </c>
      <c r="C59" s="46">
        <f>IF(B59="","",TEXT(B59,"MMM-YYYY"))</f>
        <v/>
      </c>
      <c r="D59" s="47" t="inlineStr">
        <is>
          <t>Plinth</t>
        </is>
      </c>
      <c r="E59" s="47" t="inlineStr">
        <is>
          <t>Professional Fees</t>
        </is>
      </c>
      <c r="F59" s="47" t="inlineStr">
        <is>
          <t>Engineering</t>
        </is>
      </c>
      <c r="G59" s="47" t="inlineStr">
        <is>
          <t>Engineer payment to Econ Builder</t>
        </is>
      </c>
      <c r="H59" s="47" t="inlineStr">
        <is>
          <t>Econ Builder</t>
        </is>
      </c>
      <c r="I59" s="48" t="n">
        <v>1</v>
      </c>
      <c r="J59" s="47" t="inlineStr">
        <is>
          <t>Lumpsum</t>
        </is>
      </c>
      <c r="K59" s="49" t="n">
        <v>100000</v>
      </c>
      <c r="L59" s="50">
        <f>IF(OR(I59="",K59=""),"",I59*K59)</f>
        <v/>
      </c>
      <c r="M59" s="51" t="n"/>
      <c r="N59" s="51">
        <f>IF(L62="","",IF(M62="",0,L62*M62))</f>
        <v/>
      </c>
      <c r="O59" s="50">
        <f>IF(L59="","",IF(M59="",L59,L59*(1-M59)))</f>
        <v/>
      </c>
      <c r="P59" s="47" t="inlineStr">
        <is>
          <t>Self-GPay</t>
        </is>
      </c>
      <c r="Q59" s="47" t="inlineStr">
        <is>
          <t>GPay</t>
        </is>
      </c>
    </row>
    <row r="60" ht="15.75" customHeight="1" s="99">
      <c r="A60" s="43" t="n">
        <v>59</v>
      </c>
      <c r="B60" s="53" t="n">
        <v>46179</v>
      </c>
      <c r="C60" s="54">
        <f>IF(B60="","",TEXT(B60,"MMM-YYYY"))</f>
        <v/>
      </c>
      <c r="D60" s="55" t="inlineStr">
        <is>
          <t>Plinth</t>
        </is>
      </c>
      <c r="E60" s="55" t="inlineStr">
        <is>
          <t>Building Materials</t>
        </is>
      </c>
      <c r="F60" s="55" t="inlineStr">
        <is>
          <t>Cement</t>
        </is>
      </c>
      <c r="G60" s="55" t="inlineStr">
        <is>
          <t>Cement Ultratech Super 50 bags</t>
        </is>
      </c>
      <c r="H60" s="55" t="inlineStr">
        <is>
          <t>Pappu Hardware</t>
        </is>
      </c>
      <c r="I60" s="56" t="n">
        <v>50</v>
      </c>
      <c r="J60" s="55" t="inlineStr">
        <is>
          <t>Bags</t>
        </is>
      </c>
      <c r="K60" s="57" t="n">
        <v>360</v>
      </c>
      <c r="L60" s="58">
        <f>IF(OR(I60="",K60=""),"",I60*K60)</f>
        <v/>
      </c>
      <c r="M60" s="59" t="n"/>
      <c r="N60" s="59">
        <f>IF(L63="","",IF(M63="",0,L63*M63))</f>
        <v/>
      </c>
      <c r="O60" s="58">
        <f>IF(L60="","",IF(M60="",L60,L60*(1-M60)))</f>
        <v/>
      </c>
      <c r="P60" s="55" t="inlineStr">
        <is>
          <t>Self-Bank Transfer</t>
        </is>
      </c>
      <c r="Q60" s="55" t="inlineStr">
        <is>
          <t>Bank Transfer</t>
        </is>
      </c>
    </row>
    <row r="61" ht="15.75" customHeight="1" s="99">
      <c r="A61" s="41" t="n">
        <v>60</v>
      </c>
      <c r="B61" s="45" t="n">
        <v>46179</v>
      </c>
      <c r="C61" s="46">
        <f>IF(B61="","",TEXT(B61,"MMM-YYYY"))</f>
        <v/>
      </c>
      <c r="D61" s="47" t="inlineStr">
        <is>
          <t>Plinth</t>
        </is>
      </c>
      <c r="E61" s="47" t="inlineStr">
        <is>
          <t>Steel / Iron</t>
        </is>
      </c>
      <c r="F61" s="47" t="inlineStr">
        <is>
          <t>Tiscon 6mm</t>
        </is>
      </c>
      <c r="G61" s="47" t="inlineStr">
        <is>
          <t>Tiscon 6mm - 70 pcs @ ₹246</t>
        </is>
      </c>
      <c r="H61" s="47" t="inlineStr">
        <is>
          <t>Pappu Hardware</t>
        </is>
      </c>
      <c r="I61" s="48" t="n">
        <v>70</v>
      </c>
      <c r="J61" s="47" t="inlineStr">
        <is>
          <t>Pcs</t>
        </is>
      </c>
      <c r="K61" s="49" t="n">
        <v>246</v>
      </c>
      <c r="L61" s="50">
        <f>IF(OR(I61="",K61=""),"",I61*K61)</f>
        <v/>
      </c>
      <c r="M61" s="51" t="n"/>
      <c r="N61" s="51">
        <f>IF(L64="","",IF(M64="",0,L64*M64))</f>
        <v/>
      </c>
      <c r="O61" s="50">
        <f>IF(L61="","",IF(M61="",L61,L61*(1-M61)))</f>
        <v/>
      </c>
      <c r="P61" s="47" t="inlineStr">
        <is>
          <t>Self-Bank Transfer</t>
        </is>
      </c>
      <c r="Q61" s="47" t="inlineStr">
        <is>
          <t>Bank Transfer</t>
        </is>
      </c>
    </row>
    <row r="62" ht="15.75" customHeight="1" s="99">
      <c r="A62" s="43" t="n">
        <v>61</v>
      </c>
      <c r="B62" s="53" t="n">
        <v>46179</v>
      </c>
      <c r="C62" s="54">
        <f>IF(B62="","",TEXT(B62,"MMM-YYYY"))</f>
        <v/>
      </c>
      <c r="D62" s="55" t="inlineStr">
        <is>
          <t>Plinth</t>
        </is>
      </c>
      <c r="E62" s="55" t="inlineStr">
        <is>
          <t>Transport · Food · Misc</t>
        </is>
      </c>
      <c r="F62" s="55" t="inlineStr">
        <is>
          <t>Material Transport</t>
        </is>
      </c>
      <c r="G62" s="55" t="inlineStr">
        <is>
          <t>Transport charges - Bill 3</t>
        </is>
      </c>
      <c r="H62" s="55" t="inlineStr">
        <is>
          <t>Pappu Hardware</t>
        </is>
      </c>
      <c r="I62" s="56" t="n">
        <v>1</v>
      </c>
      <c r="J62" s="55" t="inlineStr">
        <is>
          <t>Lumpsum</t>
        </is>
      </c>
      <c r="K62" s="57" t="n">
        <v>250</v>
      </c>
      <c r="L62" s="58">
        <f>IF(OR(I62="",K62=""),"",I62*K62)</f>
        <v/>
      </c>
      <c r="M62" s="59" t="n"/>
      <c r="N62" s="59">
        <f>IF(L65="","",IF(M65="",0,L65*M65))</f>
        <v/>
      </c>
      <c r="O62" s="58">
        <f>IF(L62="","",IF(M62="",L62,L62*(1-M62)))</f>
        <v/>
      </c>
      <c r="P62" s="55" t="inlineStr">
        <is>
          <t>Self-Bank Transfer</t>
        </is>
      </c>
      <c r="Q62" s="55" t="inlineStr">
        <is>
          <t>Bank Transfer</t>
        </is>
      </c>
    </row>
    <row r="63" ht="15.75" customHeight="1" s="99">
      <c r="A63" s="41" t="n">
        <v>62</v>
      </c>
      <c r="B63" s="45" t="n">
        <v>46179</v>
      </c>
      <c r="C63" s="46">
        <f>IF(B63="","",TEXT(B63,"MMM-YYYY"))</f>
        <v/>
      </c>
      <c r="D63" s="47" t="inlineStr">
        <is>
          <t>Plinth</t>
        </is>
      </c>
      <c r="E63" s="47" t="inlineStr">
        <is>
          <t>Labour</t>
        </is>
      </c>
      <c r="F63" s="47" t="inlineStr">
        <is>
          <t>Helper Labour</t>
        </is>
      </c>
      <c r="G63" s="47" t="inlineStr">
        <is>
          <t>Loading/unloading labour - Bill 3</t>
        </is>
      </c>
      <c r="H63" s="47" t="inlineStr">
        <is>
          <t>Pappu Hardware</t>
        </is>
      </c>
      <c r="I63" s="48" t="n">
        <v>1</v>
      </c>
      <c r="J63" s="47" t="inlineStr">
        <is>
          <t>Lumpsum</t>
        </is>
      </c>
      <c r="K63" s="49" t="n">
        <v>230</v>
      </c>
      <c r="L63" s="50">
        <f>IF(OR(I63="",K63=""),"",I63*K63)</f>
        <v/>
      </c>
      <c r="M63" s="51" t="n"/>
      <c r="N63" s="51">
        <f>IF(L66="","",IF(M66="",0,L66*M66))</f>
        <v/>
      </c>
      <c r="O63" s="50">
        <f>IF(L63="","",IF(M63="",L63,L63*(1-M63)))</f>
        <v/>
      </c>
      <c r="P63" s="47" t="inlineStr">
        <is>
          <t>Self-Bank Transfer</t>
        </is>
      </c>
      <c r="Q63" s="47" t="inlineStr">
        <is>
          <t>Bank Transfer</t>
        </is>
      </c>
    </row>
    <row r="64" ht="15.75" customHeight="1" s="99">
      <c r="A64" s="43" t="n">
        <v>63</v>
      </c>
      <c r="B64" s="53" t="n">
        <v>46182</v>
      </c>
      <c r="C64" s="54">
        <f>IF(B64="","",TEXT(B64,"MMM-YYYY"))</f>
        <v/>
      </c>
      <c r="D64" s="55" t="inlineStr">
        <is>
          <t>Plinth</t>
        </is>
      </c>
      <c r="E64" s="55" t="inlineStr">
        <is>
          <t>Building Materials</t>
        </is>
      </c>
      <c r="F64" s="55" t="inlineStr">
        <is>
          <t>Binding Wire</t>
        </is>
      </c>
      <c r="G64" s="55" t="inlineStr">
        <is>
          <t>Soft wire 10 Kg - Bill 4 (unpaid)</t>
        </is>
      </c>
      <c r="H64" s="55" t="inlineStr">
        <is>
          <t>Pappu Hardware</t>
        </is>
      </c>
      <c r="I64" s="56" t="n">
        <v>10</v>
      </c>
      <c r="J64" s="55" t="inlineStr">
        <is>
          <t>Kg</t>
        </is>
      </c>
      <c r="K64" s="57" t="n">
        <v>130</v>
      </c>
      <c r="L64" s="58">
        <f>IF(OR(I64="",K64=""),"",I64*K64)</f>
        <v/>
      </c>
      <c r="M64" s="59" t="n"/>
      <c r="N64" s="59">
        <f>IF(L67="","",IF(M67="",0,L67*M67))</f>
        <v/>
      </c>
      <c r="O64" s="58">
        <f>IF(L64="","",IF(M64="",L64,L64*(1-M64)))</f>
        <v/>
      </c>
      <c r="P64" s="55" t="inlineStr">
        <is>
          <t>Unpaid</t>
        </is>
      </c>
      <c r="Q64" s="55" t="inlineStr">
        <is>
          <t>-</t>
        </is>
      </c>
    </row>
    <row r="65" ht="15.75" customHeight="1" s="99">
      <c r="A65" s="41" t="n">
        <v>64</v>
      </c>
      <c r="B65" s="45" t="n">
        <v>46182</v>
      </c>
      <c r="C65" s="46">
        <f>IF(B65="","",TEXT(B65,"MMM-YYYY"))</f>
        <v/>
      </c>
      <c r="D65" s="47" t="inlineStr">
        <is>
          <t>Plinth</t>
        </is>
      </c>
      <c r="E65" s="47" t="inlineStr">
        <is>
          <t>Land Development</t>
        </is>
      </c>
      <c r="F65" s="47" t="inlineStr">
        <is>
          <t>Mitti Filling</t>
        </is>
      </c>
      <c r="G65" s="47" t="inlineStr">
        <is>
          <t>Mitti filling 19 trailers @ ₹600</t>
        </is>
      </c>
      <c r="H65" s="47" t="inlineStr">
        <is>
          <t>Mukesh Yadav</t>
        </is>
      </c>
      <c r="I65" s="48" t="n">
        <v>19</v>
      </c>
      <c r="J65" s="47" t="inlineStr">
        <is>
          <t>Nos</t>
        </is>
      </c>
      <c r="K65" s="49" t="n">
        <v>600</v>
      </c>
      <c r="L65" s="50">
        <f>IF(OR(I65="",K65=""),"",I65*K65)</f>
        <v/>
      </c>
      <c r="M65" s="51" t="n"/>
      <c r="N65" s="51">
        <f>IF(L68="","",IF(M68="",0,L68*M68))</f>
        <v/>
      </c>
      <c r="O65" s="50">
        <f>IF(L65="","",IF(M65="",L65,L65*(1-M65)))</f>
        <v/>
      </c>
      <c r="P65" s="47" t="inlineStr">
        <is>
          <t>Papa</t>
        </is>
      </c>
      <c r="Q65" s="47" t="inlineStr">
        <is>
          <t>GPay</t>
        </is>
      </c>
    </row>
    <row r="66" ht="15.75" customHeight="1" s="99">
      <c r="A66" s="43" t="n">
        <v>65</v>
      </c>
      <c r="B66" s="53" t="n">
        <v>46182</v>
      </c>
      <c r="C66" s="54">
        <f>IF(B66="","",TEXT(B66,"MMM-YYYY"))</f>
        <v/>
      </c>
      <c r="D66" s="55" t="inlineStr">
        <is>
          <t>Plinth</t>
        </is>
      </c>
      <c r="E66" s="55" t="inlineStr">
        <is>
          <t>Labour</t>
        </is>
      </c>
      <c r="F66" s="55" t="inlineStr">
        <is>
          <t>Earth Filling Labour</t>
        </is>
      </c>
      <c r="G66" s="55" t="inlineStr">
        <is>
          <t>Mitti bharai labour 28.5 Nos @ ₹350</t>
        </is>
      </c>
      <c r="H66" s="55" t="inlineStr">
        <is>
          <t>Daily Labour</t>
        </is>
      </c>
      <c r="I66" s="56" t="n">
        <v>28.5</v>
      </c>
      <c r="J66" s="55" t="inlineStr">
        <is>
          <t>Nos</t>
        </is>
      </c>
      <c r="K66" s="57" t="n">
        <v>350</v>
      </c>
      <c r="L66" s="58">
        <f>IF(OR(I66="",K66=""),"",I66*K66)</f>
        <v/>
      </c>
      <c r="M66" s="59" t="n"/>
      <c r="N66" s="59">
        <f>IF(L69="","",IF(M69="",0,L69*M69))</f>
        <v/>
      </c>
      <c r="O66" s="58">
        <f>IF(L66="","",IF(M66="",L66,L66*(1-M66)))</f>
        <v/>
      </c>
      <c r="P66" s="55" t="inlineStr">
        <is>
          <t>Papa</t>
        </is>
      </c>
      <c r="Q66" s="55" t="inlineStr">
        <is>
          <t>GPay</t>
        </is>
      </c>
    </row>
    <row r="67" ht="15.75" customHeight="1" s="99">
      <c r="A67" s="41" t="n">
        <v>66</v>
      </c>
      <c r="B67" s="45" t="n">
        <v>46183</v>
      </c>
      <c r="C67" s="46">
        <f>IF(B67="","",TEXT(B67,"MMM-YYYY"))</f>
        <v/>
      </c>
      <c r="D67" s="47" t="inlineStr">
        <is>
          <t>Plinth</t>
        </is>
      </c>
      <c r="E67" s="47" t="inlineStr">
        <is>
          <t>Labour</t>
        </is>
      </c>
      <c r="F67" s="47" t="inlineStr">
        <is>
          <t>Sand Movement</t>
        </is>
      </c>
      <c r="G67" s="47" t="inlineStr">
        <is>
          <t>Sand movement 26 trailers @ ₹200</t>
        </is>
      </c>
      <c r="H67" s="47" t="inlineStr">
        <is>
          <t>Mukesh Yadav</t>
        </is>
      </c>
      <c r="I67" s="48" t="n">
        <v>26</v>
      </c>
      <c r="J67" s="47" t="inlineStr">
        <is>
          <t>Nos</t>
        </is>
      </c>
      <c r="K67" s="49" t="n">
        <v>200</v>
      </c>
      <c r="L67" s="50">
        <f>IF(OR(I67="",K67=""),"",I67*K67)</f>
        <v/>
      </c>
      <c r="M67" s="51" t="n"/>
      <c r="N67" s="51">
        <f>IF(L70="","",IF(M70="",0,L70*M70))</f>
        <v/>
      </c>
      <c r="O67" s="50">
        <f>IF(L67="","",IF(M67="",L67,L67*(1-M67)))</f>
        <v/>
      </c>
      <c r="P67" s="47" t="inlineStr">
        <is>
          <t>Unpaid</t>
        </is>
      </c>
      <c r="Q67" s="47" t="inlineStr">
        <is>
          <t>-</t>
        </is>
      </c>
    </row>
    <row r="68" ht="15.75" customHeight="1" s="99">
      <c r="A68" s="43" t="n">
        <v>67</v>
      </c>
      <c r="B68" s="53" t="n">
        <v>46183</v>
      </c>
      <c r="C68" s="54">
        <f>IF(B68="","",TEXT(B68,"MMM-YYYY"))</f>
        <v/>
      </c>
      <c r="D68" s="55" t="inlineStr">
        <is>
          <t>Plinth</t>
        </is>
      </c>
      <c r="E68" s="55" t="inlineStr">
        <is>
          <t>Labour</t>
        </is>
      </c>
      <c r="F68" s="55" t="inlineStr">
        <is>
          <t>Gitti Movement</t>
        </is>
      </c>
      <c r="G68" s="55" t="inlineStr">
        <is>
          <t>Gitti movement 20 trailers @ ₹200</t>
        </is>
      </c>
      <c r="H68" s="55" t="inlineStr">
        <is>
          <t>Mukesh Yadav</t>
        </is>
      </c>
      <c r="I68" s="56" t="n">
        <v>20</v>
      </c>
      <c r="J68" s="55" t="inlineStr">
        <is>
          <t>Nos</t>
        </is>
      </c>
      <c r="K68" s="57" t="n">
        <v>200</v>
      </c>
      <c r="L68" s="58">
        <f>IF(OR(I68="",K68=""),"",I68*K68)</f>
        <v/>
      </c>
      <c r="M68" s="59" t="n"/>
      <c r="N68" s="59">
        <f>IF(L71="","",IF(M71="",0,L71*M71))</f>
        <v/>
      </c>
      <c r="O68" s="58">
        <f>IF(L68="","",IF(M68="",L68,L68*(1-M68)))</f>
        <v/>
      </c>
      <c r="P68" s="55" t="inlineStr">
        <is>
          <t>Unpaid</t>
        </is>
      </c>
      <c r="Q68" s="55" t="inlineStr">
        <is>
          <t>-</t>
        </is>
      </c>
    </row>
    <row r="69" ht="15.75" customHeight="1" s="99">
      <c r="A69" s="41" t="n">
        <v>69</v>
      </c>
      <c r="B69" s="45" t="n"/>
      <c r="C69" s="46">
        <f>IF(B69="","",TEXT(B69,"MMM-YYYY"))</f>
        <v/>
      </c>
      <c r="D69" s="47" t="n"/>
      <c r="E69" s="47" t="n"/>
      <c r="F69" s="47" t="n"/>
      <c r="G69" s="47" t="n"/>
      <c r="H69" s="47" t="n"/>
      <c r="I69" s="48" t="n"/>
      <c r="J69" s="47" t="n"/>
      <c r="K69" s="49" t="n"/>
      <c r="L69" s="50">
        <f>IF(OR(I69="",K69=""),"",I69*K69)</f>
        <v/>
      </c>
      <c r="M69" s="51" t="n"/>
      <c r="N69" s="51" t="n"/>
      <c r="O69" s="50">
        <f>IF(L69="","",IF(M69="",L69,L69*(1-M69)))</f>
        <v/>
      </c>
      <c r="P69" s="47" t="n"/>
      <c r="Q69" s="47" t="n"/>
    </row>
    <row r="70" ht="15.75" customHeight="1" s="99">
      <c r="A70" s="43" t="n">
        <v>70</v>
      </c>
      <c r="B70" s="53" t="n"/>
      <c r="C70" s="54">
        <f>IF(B70="","",TEXT(B70,"MMM-YYYY"))</f>
        <v/>
      </c>
      <c r="D70" s="55" t="n"/>
      <c r="E70" s="55" t="n"/>
      <c r="F70" s="55" t="n"/>
      <c r="G70" s="55" t="n"/>
      <c r="H70" s="55" t="n"/>
      <c r="I70" s="56" t="n"/>
      <c r="J70" s="55" t="n"/>
      <c r="K70" s="57" t="n"/>
      <c r="L70" s="58">
        <f>IF(OR(I70="",K70=""),"",I70*K70)</f>
        <v/>
      </c>
      <c r="M70" s="59" t="n"/>
      <c r="N70" s="59" t="n"/>
      <c r="O70" s="58">
        <f>IF(L70="","",IF(M70="",L70,L70*(1-M70)))</f>
        <v/>
      </c>
      <c r="P70" s="55" t="n"/>
      <c r="Q70" s="55" t="n"/>
    </row>
    <row r="71" ht="15.75" customHeight="1" s="99">
      <c r="A71" s="41" t="n">
        <v>71</v>
      </c>
      <c r="B71" s="45" t="n"/>
      <c r="C71" s="46">
        <f>IF(B71="","",TEXT(B71,"MMM-YYYY"))</f>
        <v/>
      </c>
      <c r="D71" s="47" t="n"/>
      <c r="E71" s="47" t="n"/>
      <c r="F71" s="47" t="n"/>
      <c r="G71" s="47" t="n"/>
      <c r="H71" s="47" t="n"/>
      <c r="I71" s="48" t="n"/>
      <c r="J71" s="47" t="n"/>
      <c r="K71" s="49" t="n"/>
      <c r="L71" s="50">
        <f>IF(OR(I71="",K71=""),"",I71*K71)</f>
        <v/>
      </c>
      <c r="M71" s="51" t="n"/>
      <c r="N71" s="51" t="n"/>
      <c r="O71" s="50">
        <f>IF(L71="","",IF(M71="",L71,L71*(1-M71)))</f>
        <v/>
      </c>
      <c r="P71" s="47" t="n"/>
      <c r="Q71" s="47" t="n"/>
    </row>
    <row r="72" ht="15.75" customHeight="1" s="99">
      <c r="A72" s="43" t="n">
        <v>72</v>
      </c>
      <c r="B72" s="53" t="n"/>
      <c r="C72" s="54">
        <f>IF(B72="","",TEXT(B72,"MMM-YYYY"))</f>
        <v/>
      </c>
      <c r="D72" s="55" t="n"/>
      <c r="E72" s="55" t="n"/>
      <c r="F72" s="55" t="n"/>
      <c r="G72" s="55" t="n"/>
      <c r="H72" s="55" t="n"/>
      <c r="I72" s="56" t="n"/>
      <c r="J72" s="55" t="n"/>
      <c r="K72" s="57" t="n"/>
      <c r="L72" s="58">
        <f>IF(OR(I72="",K72=""),"",I72*K72)</f>
        <v/>
      </c>
      <c r="M72" s="59" t="n"/>
      <c r="N72" s="59" t="n"/>
      <c r="O72" s="58">
        <f>IF(L72="","",IF(M72="",L72,L72*(1-M72)))</f>
        <v/>
      </c>
      <c r="P72" s="55" t="n"/>
      <c r="Q72" s="55" t="n"/>
    </row>
    <row r="73" ht="15.75" customHeight="1" s="99">
      <c r="A73" s="41" t="n">
        <v>73</v>
      </c>
      <c r="B73" s="45" t="n"/>
      <c r="C73" s="46">
        <f>IF(B73="","",TEXT(B73,"MMM-YYYY"))</f>
        <v/>
      </c>
      <c r="D73" s="47" t="n"/>
      <c r="E73" s="47" t="n"/>
      <c r="F73" s="47" t="n"/>
      <c r="G73" s="47" t="n"/>
      <c r="H73" s="47" t="n"/>
      <c r="I73" s="48" t="n"/>
      <c r="J73" s="47" t="n"/>
      <c r="K73" s="49" t="n"/>
      <c r="L73" s="50">
        <f>IF(OR(I73="",K73=""),"",I73*K73)</f>
        <v/>
      </c>
      <c r="M73" s="51" t="n"/>
      <c r="N73" s="51" t="n"/>
      <c r="O73" s="50">
        <f>IF(L73="","",IF(M73="",L73,L73*(1-M73)))</f>
        <v/>
      </c>
      <c r="P73" s="47" t="n"/>
      <c r="Q73" s="47" t="n"/>
    </row>
    <row r="74" ht="15.75" customHeight="1" s="99">
      <c r="A74" s="43" t="n">
        <v>74</v>
      </c>
      <c r="B74" s="53" t="n"/>
      <c r="C74" s="54">
        <f>IF(B74="","",TEXT(B74,"MMM-YYYY"))</f>
        <v/>
      </c>
      <c r="D74" s="55" t="n"/>
      <c r="E74" s="55" t="n"/>
      <c r="F74" s="55" t="n"/>
      <c r="G74" s="55" t="n"/>
      <c r="H74" s="55" t="n"/>
      <c r="I74" s="56" t="n"/>
      <c r="J74" s="55" t="n"/>
      <c r="K74" s="57" t="n"/>
      <c r="L74" s="58">
        <f>IF(OR(I74="",K74=""),"",I74*K74)</f>
        <v/>
      </c>
      <c r="M74" s="59" t="n"/>
      <c r="N74" s="59" t="n"/>
      <c r="O74" s="58">
        <f>IF(L74="","",IF(M74="",L74,L74*(1-M74)))</f>
        <v/>
      </c>
      <c r="P74" s="55" t="n"/>
      <c r="Q74" s="55" t="n"/>
    </row>
    <row r="75" ht="15.75" customHeight="1" s="99">
      <c r="A75" s="41" t="n">
        <v>75</v>
      </c>
      <c r="B75" s="45" t="n"/>
      <c r="C75" s="46">
        <f>IF(B75="","",TEXT(B75,"MMM-YYYY"))</f>
        <v/>
      </c>
      <c r="D75" s="47" t="n"/>
      <c r="E75" s="47" t="n"/>
      <c r="F75" s="47" t="n"/>
      <c r="G75" s="47" t="n"/>
      <c r="H75" s="47" t="n"/>
      <c r="I75" s="48" t="n"/>
      <c r="J75" s="47" t="n"/>
      <c r="K75" s="49" t="n"/>
      <c r="L75" s="50">
        <f>IF(OR(I75="",K75=""),"",I75*K75)</f>
        <v/>
      </c>
      <c r="M75" s="51" t="n"/>
      <c r="N75" s="51" t="n"/>
      <c r="O75" s="50">
        <f>IF(L75="","",IF(M75="",L75,L75*(1-M75)))</f>
        <v/>
      </c>
      <c r="P75" s="47" t="n"/>
      <c r="Q75" s="47" t="n"/>
    </row>
    <row r="76" ht="15.75" customHeight="1" s="99">
      <c r="A76" s="43" t="n">
        <v>76</v>
      </c>
      <c r="B76" s="53" t="n"/>
      <c r="C76" s="54">
        <f>IF(B76="","",TEXT(B76,"MMM-YYYY"))</f>
        <v/>
      </c>
      <c r="D76" s="55" t="n"/>
      <c r="E76" s="55" t="n"/>
      <c r="F76" s="55" t="n"/>
      <c r="G76" s="55" t="n"/>
      <c r="H76" s="55" t="n"/>
      <c r="I76" s="56" t="n"/>
      <c r="J76" s="55" t="n"/>
      <c r="K76" s="57" t="n"/>
      <c r="L76" s="58">
        <f>IF(OR(I76="",K76=""),"",I76*K76)</f>
        <v/>
      </c>
      <c r="M76" s="59" t="n"/>
      <c r="N76" s="59" t="n"/>
      <c r="O76" s="58">
        <f>IF(L76="","",IF(M76="",L76,L76*(1-M76)))</f>
        <v/>
      </c>
      <c r="P76" s="55" t="n"/>
      <c r="Q76" s="55" t="n"/>
    </row>
    <row r="77" ht="15.75" customHeight="1" s="99">
      <c r="A77" s="41" t="n">
        <v>77</v>
      </c>
      <c r="B77" s="45" t="n"/>
      <c r="C77" s="46">
        <f>IF(B77="","",TEXT(B77,"MMM-YYYY"))</f>
        <v/>
      </c>
      <c r="D77" s="47" t="n"/>
      <c r="E77" s="47" t="n"/>
      <c r="F77" s="47" t="n"/>
      <c r="G77" s="47" t="n"/>
      <c r="H77" s="47" t="n"/>
      <c r="I77" s="48" t="n"/>
      <c r="J77" s="47" t="n"/>
      <c r="K77" s="49" t="n"/>
      <c r="L77" s="50">
        <f>IF(OR(I77="",K77=""),"",I77*K77)</f>
        <v/>
      </c>
      <c r="M77" s="51" t="n"/>
      <c r="N77" s="51" t="n"/>
      <c r="O77" s="50">
        <f>IF(L77="","",IF(M77="",L77,L77*(1-M77)))</f>
        <v/>
      </c>
      <c r="P77" s="47" t="n"/>
      <c r="Q77" s="47" t="n"/>
    </row>
    <row r="78" ht="15.75" customHeight="1" s="99">
      <c r="A78" s="43" t="n">
        <v>78</v>
      </c>
      <c r="B78" s="53" t="n"/>
      <c r="C78" s="54">
        <f>IF(B78="","",TEXT(B78,"MMM-YYYY"))</f>
        <v/>
      </c>
      <c r="D78" s="55" t="n"/>
      <c r="E78" s="55" t="n"/>
      <c r="F78" s="55" t="n"/>
      <c r="G78" s="55" t="n"/>
      <c r="H78" s="55" t="n"/>
      <c r="I78" s="56" t="n"/>
      <c r="J78" s="55" t="n"/>
      <c r="K78" s="57" t="n"/>
      <c r="L78" s="58">
        <f>IF(OR(I78="",K78=""),"",I78*K78)</f>
        <v/>
      </c>
      <c r="M78" s="59" t="n"/>
      <c r="N78" s="59" t="n"/>
      <c r="O78" s="58">
        <f>IF(L78="","",IF(M78="",L78,L78*(1-M78)))</f>
        <v/>
      </c>
      <c r="P78" s="55" t="n"/>
      <c r="Q78" s="55" t="n"/>
    </row>
    <row r="79" ht="15.75" customHeight="1" s="99">
      <c r="A79" s="41" t="n">
        <v>79</v>
      </c>
      <c r="B79" s="45" t="n"/>
      <c r="C79" s="46">
        <f>IF(B79="","",TEXT(B79,"MMM-YYYY"))</f>
        <v/>
      </c>
      <c r="D79" s="47" t="n"/>
      <c r="E79" s="47" t="n"/>
      <c r="F79" s="47" t="n"/>
      <c r="G79" s="47" t="n"/>
      <c r="H79" s="47" t="n"/>
      <c r="I79" s="48" t="n"/>
      <c r="J79" s="47" t="n"/>
      <c r="K79" s="49" t="n"/>
      <c r="L79" s="50">
        <f>IF(OR(I79="",K79=""),"",I79*K79)</f>
        <v/>
      </c>
      <c r="M79" s="51" t="n"/>
      <c r="N79" s="51" t="n"/>
      <c r="O79" s="50">
        <f>IF(L79="","",IF(M79="",L79,L79*(1-M79)))</f>
        <v/>
      </c>
      <c r="P79" s="47" t="n"/>
      <c r="Q79" s="47" t="n"/>
    </row>
    <row r="80" ht="15.75" customHeight="1" s="99">
      <c r="A80" s="43" t="n">
        <v>80</v>
      </c>
      <c r="B80" s="53" t="n"/>
      <c r="C80" s="54">
        <f>IF(B80="","",TEXT(B80,"MMM-YYYY"))</f>
        <v/>
      </c>
      <c r="D80" s="55" t="n"/>
      <c r="E80" s="55" t="n"/>
      <c r="F80" s="55" t="n"/>
      <c r="G80" s="55" t="n"/>
      <c r="H80" s="55" t="n"/>
      <c r="I80" s="56" t="n"/>
      <c r="J80" s="55" t="n"/>
      <c r="K80" s="57" t="n"/>
      <c r="L80" s="58">
        <f>IF(OR(I80="",K80=""),"",I80*K80)</f>
        <v/>
      </c>
      <c r="M80" s="59" t="n"/>
      <c r="N80" s="59" t="n"/>
      <c r="O80" s="58">
        <f>IF(L80="","",IF(M80="",L80,L80*(1-M80)))</f>
        <v/>
      </c>
      <c r="P80" s="55" t="n"/>
      <c r="Q80" s="55" t="n"/>
    </row>
    <row r="81" ht="15.75" customHeight="1" s="99">
      <c r="A81" s="41" t="n">
        <v>81</v>
      </c>
      <c r="B81" s="45" t="n"/>
      <c r="C81" s="46">
        <f>IF(B81="","",TEXT(B81,"MMM-YYYY"))</f>
        <v/>
      </c>
      <c r="D81" s="47" t="n"/>
      <c r="E81" s="47" t="n"/>
      <c r="F81" s="47" t="n"/>
      <c r="G81" s="47" t="n"/>
      <c r="H81" s="47" t="n"/>
      <c r="I81" s="48" t="n"/>
      <c r="J81" s="47" t="n"/>
      <c r="K81" s="49" t="n"/>
      <c r="L81" s="50">
        <f>IF(OR(I81="",K81=""),"",I81*K81)</f>
        <v/>
      </c>
      <c r="M81" s="51" t="n"/>
      <c r="N81" s="51" t="n"/>
      <c r="O81" s="50">
        <f>IF(L81="","",IF(M81="",L81,L81*(1-M81)))</f>
        <v/>
      </c>
      <c r="P81" s="47" t="n"/>
      <c r="Q81" s="47" t="n"/>
    </row>
    <row r="82" ht="15.75" customHeight="1" s="99">
      <c r="A82" s="43" t="n">
        <v>82</v>
      </c>
      <c r="B82" s="53" t="n"/>
      <c r="C82" s="54">
        <f>IF(B82="","",TEXT(B82,"MMM-YYYY"))</f>
        <v/>
      </c>
      <c r="D82" s="55" t="n"/>
      <c r="E82" s="55" t="n"/>
      <c r="F82" s="55" t="n"/>
      <c r="G82" s="55" t="n"/>
      <c r="H82" s="55" t="n"/>
      <c r="I82" s="56" t="n"/>
      <c r="J82" s="55" t="n"/>
      <c r="K82" s="57" t="n"/>
      <c r="L82" s="58">
        <f>IF(OR(I82="",K82=""),"",I82*K82)</f>
        <v/>
      </c>
      <c r="M82" s="59" t="n"/>
      <c r="N82" s="59" t="n"/>
      <c r="O82" s="58">
        <f>IF(L82="","",IF(M82="",L82,L82*(1-M82)))</f>
        <v/>
      </c>
      <c r="P82" s="55" t="n"/>
      <c r="Q82" s="55" t="n"/>
    </row>
    <row r="83" ht="15.75" customHeight="1" s="99">
      <c r="A83" s="41" t="n">
        <v>83</v>
      </c>
      <c r="B83" s="45" t="n"/>
      <c r="C83" s="46">
        <f>IF(B83="","",TEXT(B83,"MMM-YYYY"))</f>
        <v/>
      </c>
      <c r="D83" s="47" t="n"/>
      <c r="E83" s="47" t="n"/>
      <c r="F83" s="47" t="n"/>
      <c r="G83" s="47" t="n"/>
      <c r="H83" s="47" t="n"/>
      <c r="I83" s="48" t="n"/>
      <c r="J83" s="47" t="n"/>
      <c r="K83" s="49" t="n"/>
      <c r="L83" s="50">
        <f>IF(OR(I83="",K83=""),"",I83*K83)</f>
        <v/>
      </c>
      <c r="M83" s="51" t="n"/>
      <c r="N83" s="51" t="n"/>
      <c r="O83" s="50">
        <f>IF(L83="","",IF(M83="",L83,L83*(1-M83)))</f>
        <v/>
      </c>
      <c r="P83" s="47" t="n"/>
      <c r="Q83" s="47" t="n"/>
    </row>
    <row r="84" ht="15.75" customHeight="1" s="99">
      <c r="A84" s="43" t="n">
        <v>84</v>
      </c>
      <c r="B84" s="53" t="n"/>
      <c r="C84" s="54">
        <f>IF(B84="","",TEXT(B84,"MMM-YYYY"))</f>
        <v/>
      </c>
      <c r="D84" s="55" t="n"/>
      <c r="E84" s="55" t="n"/>
      <c r="F84" s="55" t="n"/>
      <c r="G84" s="55" t="n"/>
      <c r="H84" s="55" t="n"/>
      <c r="I84" s="56" t="n"/>
      <c r="J84" s="55" t="n"/>
      <c r="K84" s="57" t="n"/>
      <c r="L84" s="58">
        <f>IF(OR(I84="",K84=""),"",I84*K84)</f>
        <v/>
      </c>
      <c r="M84" s="59" t="n"/>
      <c r="N84" s="59" t="n"/>
      <c r="O84" s="58">
        <f>IF(L84="","",IF(M84="",L84,L84*(1-M84)))</f>
        <v/>
      </c>
      <c r="P84" s="55" t="n"/>
      <c r="Q84" s="55" t="n"/>
    </row>
    <row r="85" ht="15.75" customHeight="1" s="99">
      <c r="A85" s="41" t="n">
        <v>85</v>
      </c>
      <c r="B85" s="45" t="n"/>
      <c r="C85" s="46">
        <f>IF(B85="","",TEXT(B85,"MMM-YYYY"))</f>
        <v/>
      </c>
      <c r="D85" s="47" t="n"/>
      <c r="E85" s="47" t="n"/>
      <c r="F85" s="47" t="n"/>
      <c r="G85" s="47" t="n"/>
      <c r="H85" s="47" t="n"/>
      <c r="I85" s="48" t="n"/>
      <c r="J85" s="47" t="n"/>
      <c r="K85" s="49" t="n"/>
      <c r="L85" s="50">
        <f>IF(OR(I85="",K85=""),"",I85*K85)</f>
        <v/>
      </c>
      <c r="M85" s="51" t="n"/>
      <c r="N85" s="51" t="n"/>
      <c r="O85" s="50">
        <f>IF(L85="","",IF(M85="",L85,L85*(1-M85)))</f>
        <v/>
      </c>
      <c r="P85" s="47" t="n"/>
      <c r="Q85" s="47" t="n"/>
    </row>
    <row r="86" ht="15.75" customHeight="1" s="99">
      <c r="A86" s="43" t="n">
        <v>86</v>
      </c>
      <c r="B86" s="53" t="n"/>
      <c r="C86" s="54">
        <f>IF(B86="","",TEXT(B86,"MMM-YYYY"))</f>
        <v/>
      </c>
      <c r="D86" s="55" t="n"/>
      <c r="E86" s="55" t="n"/>
      <c r="F86" s="55" t="n"/>
      <c r="G86" s="55" t="n"/>
      <c r="H86" s="55" t="n"/>
      <c r="I86" s="56" t="n"/>
      <c r="J86" s="55" t="n"/>
      <c r="K86" s="57" t="n"/>
      <c r="L86" s="58">
        <f>IF(OR(I86="",K86=""),"",I86*K86)</f>
        <v/>
      </c>
      <c r="M86" s="59" t="n"/>
      <c r="N86" s="59" t="n"/>
      <c r="O86" s="58">
        <f>IF(L86="","",IF(M86="",L86,L86*(1-M86)))</f>
        <v/>
      </c>
      <c r="P86" s="55" t="n"/>
      <c r="Q86" s="55" t="n"/>
    </row>
    <row r="87" ht="15.75" customHeight="1" s="99">
      <c r="A87" s="41" t="n">
        <v>87</v>
      </c>
      <c r="B87" s="45" t="n"/>
      <c r="C87" s="46">
        <f>IF(B87="","",TEXT(B87,"MMM-YYYY"))</f>
        <v/>
      </c>
      <c r="D87" s="47" t="n"/>
      <c r="E87" s="47" t="n"/>
      <c r="F87" s="47" t="n"/>
      <c r="G87" s="47" t="n"/>
      <c r="H87" s="47" t="n"/>
      <c r="I87" s="48" t="n"/>
      <c r="J87" s="47" t="n"/>
      <c r="K87" s="49" t="n"/>
      <c r="L87" s="50">
        <f>IF(OR(I87="",K87=""),"",I87*K87)</f>
        <v/>
      </c>
      <c r="M87" s="51" t="n"/>
      <c r="N87" s="51" t="n"/>
      <c r="O87" s="50">
        <f>IF(L87="","",IF(M87="",L87,L87*(1-M87)))</f>
        <v/>
      </c>
      <c r="P87" s="47" t="n"/>
      <c r="Q87" s="47" t="n"/>
    </row>
    <row r="88" ht="15.75" customHeight="1" s="99">
      <c r="A88" s="43" t="n">
        <v>88</v>
      </c>
      <c r="B88" s="53" t="n"/>
      <c r="C88" s="54">
        <f>IF(B88="","",TEXT(B88,"MMM-YYYY"))</f>
        <v/>
      </c>
      <c r="D88" s="55" t="n"/>
      <c r="E88" s="55" t="n"/>
      <c r="F88" s="55" t="n"/>
      <c r="G88" s="55" t="n"/>
      <c r="H88" s="55" t="n"/>
      <c r="I88" s="56" t="n"/>
      <c r="J88" s="55" t="n"/>
      <c r="K88" s="57" t="n"/>
      <c r="L88" s="58">
        <f>IF(OR(I88="",K88=""),"",I88*K88)</f>
        <v/>
      </c>
      <c r="M88" s="59" t="n"/>
      <c r="N88" s="59" t="n"/>
      <c r="O88" s="58">
        <f>IF(L88="","",IF(M88="",L88,L88*(1-M88)))</f>
        <v/>
      </c>
      <c r="P88" s="55" t="n"/>
      <c r="Q88" s="55" t="n"/>
    </row>
    <row r="89" ht="15.75" customHeight="1" s="99">
      <c r="A89" s="41" t="n">
        <v>89</v>
      </c>
      <c r="B89" s="45" t="n"/>
      <c r="C89" s="46">
        <f>IF(B89="","",TEXT(B89,"MMM-YYYY"))</f>
        <v/>
      </c>
      <c r="D89" s="47" t="n"/>
      <c r="E89" s="47" t="n"/>
      <c r="F89" s="47" t="n"/>
      <c r="G89" s="47" t="n"/>
      <c r="H89" s="47" t="n"/>
      <c r="I89" s="48" t="n"/>
      <c r="J89" s="47" t="n"/>
      <c r="K89" s="49" t="n"/>
      <c r="L89" s="50">
        <f>IF(OR(I89="",K89=""),"",I89*K89)</f>
        <v/>
      </c>
      <c r="M89" s="51" t="n"/>
      <c r="N89" s="51" t="n"/>
      <c r="O89" s="50">
        <f>IF(L89="","",IF(M89="",L89,L89*(1-M89)))</f>
        <v/>
      </c>
      <c r="P89" s="47" t="n"/>
      <c r="Q89" s="47" t="n"/>
    </row>
    <row r="90" ht="15.75" customHeight="1" s="99">
      <c r="A90" s="43" t="n">
        <v>90</v>
      </c>
      <c r="B90" s="53" t="n"/>
      <c r="C90" s="54">
        <f>IF(B90="","",TEXT(B90,"MMM-YYYY"))</f>
        <v/>
      </c>
      <c r="D90" s="55" t="n"/>
      <c r="E90" s="55" t="n"/>
      <c r="F90" s="55" t="n"/>
      <c r="G90" s="55" t="n"/>
      <c r="H90" s="55" t="n"/>
      <c r="I90" s="56" t="n"/>
      <c r="J90" s="55" t="n"/>
      <c r="K90" s="57" t="n"/>
      <c r="L90" s="58">
        <f>IF(OR(I90="",K90=""),"",I90*K90)</f>
        <v/>
      </c>
      <c r="M90" s="59" t="n"/>
      <c r="N90" s="59" t="n"/>
      <c r="O90" s="58">
        <f>IF(L90="","",IF(M90="",L90,L90*(1-M90)))</f>
        <v/>
      </c>
      <c r="P90" s="55" t="n"/>
      <c r="Q90" s="55" t="n"/>
    </row>
    <row r="91" ht="15.75" customHeight="1" s="99">
      <c r="A91" s="41" t="n">
        <v>91</v>
      </c>
      <c r="B91" s="45" t="n"/>
      <c r="C91" s="46">
        <f>IF(B91="","",TEXT(B91,"MMM-YYYY"))</f>
        <v/>
      </c>
      <c r="D91" s="47" t="n"/>
      <c r="E91" s="47" t="n"/>
      <c r="F91" s="47" t="n"/>
      <c r="G91" s="47" t="n"/>
      <c r="H91" s="47" t="n"/>
      <c r="I91" s="48" t="n"/>
      <c r="J91" s="47" t="n"/>
      <c r="K91" s="49" t="n"/>
      <c r="L91" s="50">
        <f>IF(OR(I91="",K91=""),"",I91*K91)</f>
        <v/>
      </c>
      <c r="M91" s="51" t="n"/>
      <c r="N91" s="51" t="n"/>
      <c r="O91" s="50">
        <f>IF(L91="","",IF(M91="",L91,L91*(1-M91)))</f>
        <v/>
      </c>
      <c r="P91" s="47" t="n"/>
      <c r="Q91" s="47" t="n"/>
    </row>
    <row r="92" ht="15.75" customHeight="1" s="99">
      <c r="A92" s="43" t="n">
        <v>92</v>
      </c>
      <c r="B92" s="53" t="n"/>
      <c r="C92" s="54">
        <f>IF(B92="","",TEXT(B92,"MMM-YYYY"))</f>
        <v/>
      </c>
      <c r="D92" s="55" t="n"/>
      <c r="E92" s="55" t="n"/>
      <c r="F92" s="55" t="n"/>
      <c r="G92" s="55" t="n"/>
      <c r="H92" s="55" t="n"/>
      <c r="I92" s="56" t="n"/>
      <c r="J92" s="55" t="n"/>
      <c r="K92" s="57" t="n"/>
      <c r="L92" s="58">
        <f>IF(OR(I92="",K92=""),"",I92*K92)</f>
        <v/>
      </c>
      <c r="M92" s="59" t="n"/>
      <c r="N92" s="59" t="n"/>
      <c r="O92" s="58">
        <f>IF(L92="","",IF(M92="",L92,L92*(1-M92)))</f>
        <v/>
      </c>
      <c r="P92" s="55" t="n"/>
      <c r="Q92" s="55" t="n"/>
    </row>
    <row r="93" ht="15.75" customHeight="1" s="99">
      <c r="A93" s="41" t="n">
        <v>93</v>
      </c>
      <c r="B93" s="45" t="n"/>
      <c r="C93" s="46">
        <f>IF(B93="","",TEXT(B93,"MMM-YYYY"))</f>
        <v/>
      </c>
      <c r="D93" s="47" t="n"/>
      <c r="E93" s="47" t="n"/>
      <c r="F93" s="47" t="n"/>
      <c r="G93" s="47" t="n"/>
      <c r="H93" s="47" t="n"/>
      <c r="I93" s="48" t="n"/>
      <c r="J93" s="47" t="n"/>
      <c r="K93" s="49" t="n"/>
      <c r="L93" s="50">
        <f>IF(OR(I93="",K93=""),"",I93*K93)</f>
        <v/>
      </c>
      <c r="M93" s="51" t="n"/>
      <c r="N93" s="51" t="n"/>
      <c r="O93" s="50">
        <f>IF(L93="","",IF(M93="",L93,L93*(1-M93)))</f>
        <v/>
      </c>
      <c r="P93" s="47" t="n"/>
      <c r="Q93" s="47" t="n"/>
    </row>
    <row r="94" ht="15.75" customHeight="1" s="99">
      <c r="A94" s="43" t="n">
        <v>94</v>
      </c>
      <c r="B94" s="53" t="n"/>
      <c r="C94" s="54">
        <f>IF(B94="","",TEXT(B94,"MMM-YYYY"))</f>
        <v/>
      </c>
      <c r="D94" s="55" t="n"/>
      <c r="E94" s="55" t="n"/>
      <c r="F94" s="55" t="n"/>
      <c r="G94" s="55" t="n"/>
      <c r="H94" s="55" t="n"/>
      <c r="I94" s="56" t="n"/>
      <c r="J94" s="55" t="n"/>
      <c r="K94" s="57" t="n"/>
      <c r="L94" s="58">
        <f>IF(OR(I94="",K94=""),"",I94*K94)</f>
        <v/>
      </c>
      <c r="M94" s="59" t="n"/>
      <c r="N94" s="59" t="n"/>
      <c r="O94" s="58">
        <f>IF(L94="","",IF(M94="",L94,L94*(1-M94)))</f>
        <v/>
      </c>
      <c r="P94" s="55" t="n"/>
      <c r="Q94" s="55" t="n"/>
    </row>
    <row r="95" ht="15.75" customHeight="1" s="99">
      <c r="A95" s="41" t="n">
        <v>95</v>
      </c>
      <c r="B95" s="45" t="n"/>
      <c r="C95" s="46">
        <f>IF(B95="","",TEXT(B95,"MMM-YYYY"))</f>
        <v/>
      </c>
      <c r="D95" s="47" t="n"/>
      <c r="E95" s="47" t="n"/>
      <c r="F95" s="47" t="n"/>
      <c r="G95" s="47" t="n"/>
      <c r="H95" s="47" t="n"/>
      <c r="I95" s="48" t="n"/>
      <c r="J95" s="47" t="n"/>
      <c r="K95" s="49" t="n"/>
      <c r="L95" s="50">
        <f>IF(OR(I95="",K95=""),"",I95*K95)</f>
        <v/>
      </c>
      <c r="M95" s="51" t="n"/>
      <c r="N95" s="51" t="n"/>
      <c r="O95" s="50">
        <f>IF(L95="","",IF(M95="",L95,L95*(1-M95)))</f>
        <v/>
      </c>
      <c r="P95" s="47" t="n"/>
      <c r="Q95" s="47" t="n"/>
    </row>
    <row r="96" ht="15.75" customHeight="1" s="99">
      <c r="A96" s="43" t="n">
        <v>96</v>
      </c>
      <c r="B96" s="53" t="n"/>
      <c r="C96" s="54">
        <f>IF(B96="","",TEXT(B96,"MMM-YYYY"))</f>
        <v/>
      </c>
      <c r="D96" s="55" t="n"/>
      <c r="E96" s="55" t="n"/>
      <c r="F96" s="55" t="n"/>
      <c r="G96" s="55" t="n"/>
      <c r="H96" s="55" t="n"/>
      <c r="I96" s="56" t="n"/>
      <c r="J96" s="55" t="n"/>
      <c r="K96" s="57" t="n"/>
      <c r="L96" s="58">
        <f>IF(OR(I96="",K96=""),"",I96*K96)</f>
        <v/>
      </c>
      <c r="M96" s="59" t="n"/>
      <c r="N96" s="59" t="n"/>
      <c r="O96" s="58">
        <f>IF(L96="","",IF(M96="",L96,L96*(1-M96)))</f>
        <v/>
      </c>
      <c r="P96" s="55" t="n"/>
      <c r="Q96" s="55" t="n"/>
    </row>
    <row r="97" ht="15.75" customHeight="1" s="99">
      <c r="A97" s="41" t="n">
        <v>97</v>
      </c>
      <c r="B97" s="45" t="n"/>
      <c r="C97" s="46">
        <f>IF(B97="","",TEXT(B97,"MMM-YYYY"))</f>
        <v/>
      </c>
      <c r="D97" s="47" t="n"/>
      <c r="E97" s="47" t="n"/>
      <c r="F97" s="47" t="n"/>
      <c r="G97" s="47" t="n"/>
      <c r="H97" s="47" t="n"/>
      <c r="I97" s="48" t="n"/>
      <c r="J97" s="47" t="n"/>
      <c r="K97" s="49" t="n"/>
      <c r="L97" s="50">
        <f>IF(OR(I97="",K97=""),"",I97*K97)</f>
        <v/>
      </c>
      <c r="M97" s="51" t="n"/>
      <c r="N97" s="51" t="n"/>
      <c r="O97" s="50">
        <f>IF(L97="","",IF(M97="",L97,L97*(1-M97)))</f>
        <v/>
      </c>
      <c r="P97" s="47" t="n"/>
      <c r="Q97" s="47" t="n"/>
    </row>
    <row r="98" ht="15.75" customHeight="1" s="99">
      <c r="A98" s="43" t="n">
        <v>98</v>
      </c>
      <c r="B98" s="53" t="n"/>
      <c r="C98" s="54">
        <f>IF(B98="","",TEXT(B98,"MMM-YYYY"))</f>
        <v/>
      </c>
      <c r="D98" s="55" t="n"/>
      <c r="E98" s="55" t="n"/>
      <c r="F98" s="55" t="n"/>
      <c r="G98" s="55" t="n"/>
      <c r="H98" s="55" t="n"/>
      <c r="I98" s="56" t="n"/>
      <c r="J98" s="55" t="n"/>
      <c r="K98" s="57" t="n"/>
      <c r="L98" s="58">
        <f>IF(OR(I98="",K98=""),"",I98*K98)</f>
        <v/>
      </c>
      <c r="M98" s="59" t="n"/>
      <c r="N98" s="59" t="n"/>
      <c r="O98" s="58">
        <f>IF(L98="","",IF(M98="",L98,L98*(1-M98)))</f>
        <v/>
      </c>
      <c r="P98" s="55" t="n"/>
      <c r="Q98" s="55" t="n"/>
    </row>
    <row r="99" ht="15.75" customHeight="1" s="99">
      <c r="A99" s="41" t="n">
        <v>99</v>
      </c>
      <c r="B99" s="45" t="n"/>
      <c r="C99" s="46">
        <f>IF(B99="","",TEXT(B99,"MMM-YYYY"))</f>
        <v/>
      </c>
      <c r="D99" s="47" t="n"/>
      <c r="E99" s="47" t="n"/>
      <c r="F99" s="47" t="n"/>
      <c r="G99" s="47" t="n"/>
      <c r="H99" s="47" t="n"/>
      <c r="I99" s="48" t="n"/>
      <c r="J99" s="47" t="n"/>
      <c r="K99" s="49" t="n"/>
      <c r="L99" s="50">
        <f>IF(OR(I99="",K99=""),"",I99*K99)</f>
        <v/>
      </c>
      <c r="M99" s="51" t="n"/>
      <c r="N99" s="51" t="n"/>
      <c r="O99" s="50">
        <f>IF(L99="","",IF(M99="",L99,L99*(1-M99)))</f>
        <v/>
      </c>
      <c r="P99" s="47" t="n"/>
      <c r="Q99" s="47" t="n"/>
    </row>
    <row r="100" ht="15.75" customHeight="1" s="99">
      <c r="A100" s="43" t="n">
        <v>100</v>
      </c>
      <c r="B100" s="53" t="n"/>
      <c r="C100" s="54">
        <f>IF(B100="","",TEXT(B100,"MMM-YYYY"))</f>
        <v/>
      </c>
      <c r="D100" s="55" t="n"/>
      <c r="E100" s="55" t="n"/>
      <c r="F100" s="55" t="n"/>
      <c r="G100" s="55" t="n"/>
      <c r="H100" s="55" t="n"/>
      <c r="I100" s="56" t="n"/>
      <c r="J100" s="55" t="n"/>
      <c r="K100" s="57" t="n"/>
      <c r="L100" s="58">
        <f>IF(OR(I100="",K100=""),"",I100*K100)</f>
        <v/>
      </c>
      <c r="M100" s="59" t="n"/>
      <c r="N100" s="59" t="n"/>
      <c r="O100" s="58">
        <f>IF(L100="","",IF(M100="",L100,L100*(1-M100)))</f>
        <v/>
      </c>
      <c r="P100" s="55" t="n"/>
      <c r="Q100" s="55" t="n"/>
    </row>
    <row r="101" ht="15.75" customHeight="1" s="99">
      <c r="A101" s="41" t="n">
        <v>101</v>
      </c>
      <c r="B101" s="45" t="n"/>
      <c r="C101" s="46">
        <f>IF(B101="","",TEXT(B101,"MMM-YYYY"))</f>
        <v/>
      </c>
      <c r="D101" s="47" t="n"/>
      <c r="E101" s="47" t="n"/>
      <c r="F101" s="47" t="n"/>
      <c r="G101" s="47" t="n"/>
      <c r="H101" s="47" t="n"/>
      <c r="I101" s="48" t="n"/>
      <c r="J101" s="47" t="n"/>
      <c r="K101" s="49" t="n"/>
      <c r="L101" s="50">
        <f>IF(OR(I101="",K101=""),"",I101*K101)</f>
        <v/>
      </c>
      <c r="M101" s="51" t="n"/>
      <c r="N101" s="51" t="n"/>
      <c r="O101" s="50">
        <f>IF(L101="","",IF(M101="",L101,L101*(1-M101)))</f>
        <v/>
      </c>
      <c r="P101" s="47" t="n"/>
      <c r="Q101" s="47" t="n"/>
    </row>
    <row r="102" ht="15.75" customHeight="1" s="99">
      <c r="A102" s="43" t="n">
        <v>102</v>
      </c>
      <c r="B102" s="53" t="n"/>
      <c r="C102" s="54">
        <f>IF(B102="","",TEXT(B102,"MMM-YYYY"))</f>
        <v/>
      </c>
      <c r="D102" s="55" t="n"/>
      <c r="E102" s="55" t="n"/>
      <c r="F102" s="55" t="n"/>
      <c r="G102" s="55" t="n"/>
      <c r="H102" s="55" t="n"/>
      <c r="I102" s="56" t="n"/>
      <c r="J102" s="55" t="n"/>
      <c r="K102" s="57" t="n"/>
      <c r="L102" s="58">
        <f>IF(OR(I102="",K102=""),"",I102*K102)</f>
        <v/>
      </c>
      <c r="M102" s="59" t="n"/>
      <c r="N102" s="59" t="n"/>
      <c r="O102" s="58">
        <f>IF(L102="","",IF(M102="",L102,L102*(1-M102)))</f>
        <v/>
      </c>
      <c r="P102" s="55" t="n"/>
      <c r="Q102" s="55" t="n"/>
    </row>
    <row r="103" ht="15.75" customHeight="1" s="99">
      <c r="A103" s="41" t="n">
        <v>103</v>
      </c>
      <c r="B103" s="45" t="n"/>
      <c r="C103" s="46">
        <f>IF(B103="","",TEXT(B103,"MMM-YYYY"))</f>
        <v/>
      </c>
      <c r="D103" s="47" t="n"/>
      <c r="E103" s="47" t="n"/>
      <c r="F103" s="47" t="n"/>
      <c r="G103" s="47" t="n"/>
      <c r="H103" s="47" t="n"/>
      <c r="I103" s="48" t="n"/>
      <c r="J103" s="47" t="n"/>
      <c r="K103" s="49" t="n"/>
      <c r="L103" s="50">
        <f>IF(OR(I103="",K103=""),"",I103*K103)</f>
        <v/>
      </c>
      <c r="M103" s="51" t="n"/>
      <c r="N103" s="51" t="n"/>
      <c r="O103" s="50">
        <f>IF(L103="","",IF(M103="",L103,L103*(1-M103)))</f>
        <v/>
      </c>
      <c r="P103" s="47" t="n"/>
      <c r="Q103" s="47" t="n"/>
    </row>
    <row r="104" ht="15.75" customHeight="1" s="99">
      <c r="A104" s="43" t="n">
        <v>104</v>
      </c>
      <c r="B104" s="53" t="n"/>
      <c r="C104" s="54">
        <f>IF(B104="","",TEXT(B104,"MMM-YYYY"))</f>
        <v/>
      </c>
      <c r="D104" s="55" t="n"/>
      <c r="E104" s="55" t="n"/>
      <c r="F104" s="55" t="n"/>
      <c r="G104" s="55" t="n"/>
      <c r="H104" s="55" t="n"/>
      <c r="I104" s="56" t="n"/>
      <c r="J104" s="55" t="n"/>
      <c r="K104" s="57" t="n"/>
      <c r="L104" s="58">
        <f>IF(OR(I104="",K104=""),"",I104*K104)</f>
        <v/>
      </c>
      <c r="M104" s="59" t="n"/>
      <c r="N104" s="59" t="n"/>
      <c r="O104" s="58">
        <f>IF(L104="","",IF(M104="",L104,L104*(1-M104)))</f>
        <v/>
      </c>
      <c r="P104" s="55" t="n"/>
      <c r="Q104" s="55" t="n"/>
    </row>
    <row r="105" ht="15.75" customHeight="1" s="99">
      <c r="A105" s="41" t="n">
        <v>105</v>
      </c>
      <c r="B105" s="45" t="n"/>
      <c r="C105" s="46">
        <f>IF(B105="","",TEXT(B105,"MMM-YYYY"))</f>
        <v/>
      </c>
      <c r="D105" s="47" t="n"/>
      <c r="E105" s="47" t="n"/>
      <c r="F105" s="47" t="n"/>
      <c r="G105" s="47" t="n"/>
      <c r="H105" s="47" t="n"/>
      <c r="I105" s="48" t="n"/>
      <c r="J105" s="47" t="n"/>
      <c r="K105" s="49" t="n"/>
      <c r="L105" s="50">
        <f>IF(OR(I105="",K105=""),"",I105*K105)</f>
        <v/>
      </c>
      <c r="M105" s="51" t="n"/>
      <c r="N105" s="51" t="n"/>
      <c r="O105" s="50">
        <f>IF(L105="","",IF(M105="",L105,L105*(1-M105)))</f>
        <v/>
      </c>
      <c r="P105" s="47" t="n"/>
      <c r="Q105" s="47" t="n"/>
    </row>
    <row r="106" ht="15.75" customHeight="1" s="99">
      <c r="A106" s="43" t="n">
        <v>106</v>
      </c>
      <c r="B106" s="53" t="n"/>
      <c r="C106" s="54">
        <f>IF(B106="","",TEXT(B106,"MMM-YYYY"))</f>
        <v/>
      </c>
      <c r="D106" s="55" t="n"/>
      <c r="E106" s="55" t="n"/>
      <c r="F106" s="55" t="n"/>
      <c r="G106" s="55" t="n"/>
      <c r="H106" s="55" t="n"/>
      <c r="I106" s="56" t="n"/>
      <c r="J106" s="55" t="n"/>
      <c r="K106" s="57" t="n"/>
      <c r="L106" s="58">
        <f>IF(OR(I106="",K106=""),"",I106*K106)</f>
        <v/>
      </c>
      <c r="M106" s="59" t="n"/>
      <c r="N106" s="59" t="n"/>
      <c r="O106" s="58">
        <f>IF(L106="","",IF(M106="",L106,L106*(1-M106)))</f>
        <v/>
      </c>
      <c r="P106" s="55" t="n"/>
      <c r="Q106" s="55" t="n"/>
    </row>
    <row r="107" ht="15.75" customHeight="1" s="99">
      <c r="A107" s="41" t="n">
        <v>107</v>
      </c>
      <c r="B107" s="45" t="n"/>
      <c r="C107" s="46">
        <f>IF(B107="","",TEXT(B107,"MMM-YYYY"))</f>
        <v/>
      </c>
      <c r="D107" s="47" t="n"/>
      <c r="E107" s="47" t="n"/>
      <c r="F107" s="47" t="n"/>
      <c r="G107" s="47" t="n"/>
      <c r="H107" s="47" t="n"/>
      <c r="I107" s="48" t="n"/>
      <c r="J107" s="47" t="n"/>
      <c r="K107" s="49" t="n"/>
      <c r="L107" s="50">
        <f>IF(OR(I107="",K107=""),"",I107*K107)</f>
        <v/>
      </c>
      <c r="M107" s="51" t="n"/>
      <c r="N107" s="51" t="n"/>
      <c r="O107" s="50">
        <f>IF(L107="","",IF(M107="",L107,L107*(1-M107)))</f>
        <v/>
      </c>
      <c r="P107" s="47" t="n"/>
      <c r="Q107" s="47" t="n"/>
    </row>
    <row r="108" ht="15.75" customHeight="1" s="99">
      <c r="A108" s="43" t="n">
        <v>108</v>
      </c>
      <c r="B108" s="53" t="n"/>
      <c r="C108" s="54">
        <f>IF(B108="","",TEXT(B108,"MMM-YYYY"))</f>
        <v/>
      </c>
      <c r="D108" s="55" t="n"/>
      <c r="E108" s="55" t="n"/>
      <c r="F108" s="55" t="n"/>
      <c r="G108" s="55" t="n"/>
      <c r="H108" s="55" t="n"/>
      <c r="I108" s="56" t="n"/>
      <c r="J108" s="55" t="n"/>
      <c r="K108" s="57" t="n"/>
      <c r="L108" s="58">
        <f>IF(OR(I108="",K108=""),"",I108*K108)</f>
        <v/>
      </c>
      <c r="M108" s="59" t="n"/>
      <c r="N108" s="59" t="n"/>
      <c r="O108" s="58">
        <f>IF(L108="","",IF(M108="",L108,L108*(1-M108)))</f>
        <v/>
      </c>
      <c r="P108" s="55" t="n"/>
      <c r="Q108" s="55" t="n"/>
    </row>
    <row r="109" ht="15.75" customHeight="1" s="99">
      <c r="A109" s="41" t="n">
        <v>109</v>
      </c>
      <c r="B109" s="45" t="n"/>
      <c r="C109" s="46">
        <f>IF(B109="","",TEXT(B109,"MMM-YYYY"))</f>
        <v/>
      </c>
      <c r="D109" s="47" t="n"/>
      <c r="E109" s="47" t="n"/>
      <c r="F109" s="47" t="n"/>
      <c r="G109" s="47" t="n"/>
      <c r="H109" s="47" t="n"/>
      <c r="I109" s="48" t="n"/>
      <c r="J109" s="47" t="n"/>
      <c r="K109" s="49" t="n"/>
      <c r="L109" s="50">
        <f>IF(OR(I109="",K109=""),"",I109*K109)</f>
        <v/>
      </c>
      <c r="M109" s="51" t="n"/>
      <c r="N109" s="51" t="n"/>
      <c r="O109" s="50">
        <f>IF(L109="","",IF(M109="",L109,L109*(1-M109)))</f>
        <v/>
      </c>
      <c r="P109" s="47" t="n"/>
      <c r="Q109" s="47" t="n"/>
    </row>
    <row r="110" ht="15.75" customHeight="1" s="99">
      <c r="A110" s="43" t="n">
        <v>110</v>
      </c>
      <c r="B110" s="53" t="n"/>
      <c r="C110" s="54">
        <f>IF(B110="","",TEXT(B110,"MMM-YYYY"))</f>
        <v/>
      </c>
      <c r="D110" s="55" t="n"/>
      <c r="E110" s="55" t="n"/>
      <c r="F110" s="55" t="n"/>
      <c r="G110" s="55" t="n"/>
      <c r="H110" s="55" t="n"/>
      <c r="I110" s="56" t="n"/>
      <c r="J110" s="55" t="n"/>
      <c r="K110" s="57" t="n"/>
      <c r="L110" s="58">
        <f>IF(OR(I110="",K110=""),"",I110*K110)</f>
        <v/>
      </c>
      <c r="M110" s="59" t="n"/>
      <c r="N110" s="59" t="n"/>
      <c r="O110" s="58">
        <f>IF(L110="","",IF(M110="",L110,L110*(1-M110)))</f>
        <v/>
      </c>
      <c r="P110" s="55" t="n"/>
      <c r="Q110" s="55" t="n"/>
    </row>
    <row r="111" ht="15.75" customHeight="1" s="99">
      <c r="A111" s="41" t="n">
        <v>111</v>
      </c>
      <c r="B111" s="45" t="n"/>
      <c r="C111" s="46">
        <f>IF(B111="","",TEXT(B111,"MMM-YYYY"))</f>
        <v/>
      </c>
      <c r="D111" s="47" t="n"/>
      <c r="E111" s="47" t="n"/>
      <c r="F111" s="47" t="n"/>
      <c r="G111" s="47" t="n"/>
      <c r="H111" s="47" t="n"/>
      <c r="I111" s="48" t="n"/>
      <c r="J111" s="47" t="n"/>
      <c r="K111" s="49" t="n"/>
      <c r="L111" s="50">
        <f>IF(OR(I111="",K111=""),"",I111*K111)</f>
        <v/>
      </c>
      <c r="M111" s="51" t="n"/>
      <c r="N111" s="51" t="n"/>
      <c r="O111" s="50">
        <f>IF(L111="","",IF(M111="",L111,L111*(1-M111)))</f>
        <v/>
      </c>
      <c r="P111" s="47" t="n"/>
      <c r="Q111" s="47" t="n"/>
    </row>
    <row r="112" ht="15.75" customHeight="1" s="99">
      <c r="A112" s="43" t="n">
        <v>112</v>
      </c>
      <c r="B112" s="53" t="n"/>
      <c r="C112" s="54">
        <f>IF(B112="","",TEXT(B112,"MMM-YYYY"))</f>
        <v/>
      </c>
      <c r="D112" s="55" t="n"/>
      <c r="E112" s="55" t="n"/>
      <c r="F112" s="55" t="n"/>
      <c r="G112" s="55" t="n"/>
      <c r="H112" s="55" t="n"/>
      <c r="I112" s="56" t="n"/>
      <c r="J112" s="55" t="n"/>
      <c r="K112" s="57" t="n"/>
      <c r="L112" s="58">
        <f>IF(OR(I112="",K112=""),"",I112*K112)</f>
        <v/>
      </c>
      <c r="M112" s="59" t="n"/>
      <c r="N112" s="59" t="n"/>
      <c r="O112" s="58">
        <f>IF(L112="","",IF(M112="",L112,L112*(1-M112)))</f>
        <v/>
      </c>
      <c r="P112" s="55" t="n"/>
      <c r="Q112" s="55" t="n"/>
    </row>
    <row r="113" ht="15.75" customHeight="1" s="99">
      <c r="A113" s="41" t="n">
        <v>113</v>
      </c>
      <c r="B113" s="45" t="n"/>
      <c r="C113" s="46">
        <f>IF(B113="","",TEXT(B113,"MMM-YYYY"))</f>
        <v/>
      </c>
      <c r="D113" s="47" t="n"/>
      <c r="E113" s="47" t="n"/>
      <c r="F113" s="47" t="n"/>
      <c r="G113" s="47" t="n"/>
      <c r="H113" s="47" t="n"/>
      <c r="I113" s="48" t="n"/>
      <c r="J113" s="47" t="n"/>
      <c r="K113" s="49" t="n"/>
      <c r="L113" s="50">
        <f>IF(OR(I113="",K113=""),"",I113*K113)</f>
        <v/>
      </c>
      <c r="M113" s="51" t="n"/>
      <c r="N113" s="51" t="n"/>
      <c r="O113" s="50">
        <f>IF(L113="","",IF(M113="",L113,L113*(1-M113)))</f>
        <v/>
      </c>
      <c r="P113" s="47" t="n"/>
      <c r="Q113" s="47" t="n"/>
    </row>
    <row r="114" ht="15.75" customHeight="1" s="99">
      <c r="A114" s="43" t="n">
        <v>114</v>
      </c>
      <c r="B114" s="53" t="n"/>
      <c r="C114" s="54">
        <f>IF(B114="","",TEXT(B114,"MMM-YYYY"))</f>
        <v/>
      </c>
      <c r="D114" s="55" t="n"/>
      <c r="E114" s="55" t="n"/>
      <c r="F114" s="55" t="n"/>
      <c r="G114" s="55" t="n"/>
      <c r="H114" s="55" t="n"/>
      <c r="I114" s="56" t="n"/>
      <c r="J114" s="55" t="n"/>
      <c r="K114" s="57" t="n"/>
      <c r="L114" s="58">
        <f>IF(OR(I114="",K114=""),"",I114*K114)</f>
        <v/>
      </c>
      <c r="M114" s="59" t="n"/>
      <c r="N114" s="59" t="n"/>
      <c r="O114" s="58">
        <f>IF(L114="","",IF(M114="",L114,L114*(1-M114)))</f>
        <v/>
      </c>
      <c r="P114" s="55" t="n"/>
      <c r="Q114" s="55" t="n"/>
    </row>
    <row r="115" ht="15.75" customHeight="1" s="99">
      <c r="A115" s="41" t="n">
        <v>115</v>
      </c>
      <c r="B115" s="45" t="n"/>
      <c r="C115" s="46">
        <f>IF(B115="","",TEXT(B115,"MMM-YYYY"))</f>
        <v/>
      </c>
      <c r="D115" s="47" t="n"/>
      <c r="E115" s="47" t="n"/>
      <c r="F115" s="47" t="n"/>
      <c r="G115" s="47" t="n"/>
      <c r="H115" s="47" t="n"/>
      <c r="I115" s="48" t="n"/>
      <c r="J115" s="47" t="n"/>
      <c r="K115" s="49" t="n"/>
      <c r="L115" s="50">
        <f>IF(OR(I115="",K115=""),"",I115*K115)</f>
        <v/>
      </c>
      <c r="M115" s="51" t="n"/>
      <c r="N115" s="51" t="n"/>
      <c r="O115" s="50">
        <f>IF(L115="","",IF(M115="",L115,L115*(1-M115)))</f>
        <v/>
      </c>
      <c r="P115" s="47" t="n"/>
      <c r="Q115" s="47" t="n"/>
    </row>
    <row r="116" ht="15.75" customHeight="1" s="99">
      <c r="A116" s="43" t="n">
        <v>116</v>
      </c>
      <c r="B116" s="53" t="n"/>
      <c r="C116" s="54">
        <f>IF(B116="","",TEXT(B116,"MMM-YYYY"))</f>
        <v/>
      </c>
      <c r="D116" s="55" t="n"/>
      <c r="E116" s="55" t="n"/>
      <c r="F116" s="55" t="n"/>
      <c r="G116" s="55" t="n"/>
      <c r="H116" s="55" t="n"/>
      <c r="I116" s="56" t="n"/>
      <c r="J116" s="55" t="n"/>
      <c r="K116" s="57" t="n"/>
      <c r="L116" s="58">
        <f>IF(OR(I116="",K116=""),"",I116*K116)</f>
        <v/>
      </c>
      <c r="M116" s="59" t="n"/>
      <c r="N116" s="59" t="n"/>
      <c r="O116" s="58">
        <f>IF(L116="","",IF(M116="",L116,L116*(1-M116)))</f>
        <v/>
      </c>
      <c r="P116" s="55" t="n"/>
      <c r="Q116" s="55" t="n"/>
    </row>
    <row r="117" ht="15.75" customHeight="1" s="99">
      <c r="A117" s="41" t="n">
        <v>117</v>
      </c>
      <c r="B117" s="45" t="n"/>
      <c r="C117" s="46">
        <f>IF(B117="","",TEXT(B117,"MMM-YYYY"))</f>
        <v/>
      </c>
      <c r="D117" s="47" t="n"/>
      <c r="E117" s="47" t="n"/>
      <c r="F117" s="47" t="n"/>
      <c r="G117" s="47" t="n"/>
      <c r="H117" s="47" t="n"/>
      <c r="I117" s="48" t="n"/>
      <c r="J117" s="47" t="n"/>
      <c r="K117" s="49" t="n"/>
      <c r="L117" s="50">
        <f>IF(OR(I117="",K117=""),"",I117*K117)</f>
        <v/>
      </c>
      <c r="M117" s="51" t="n"/>
      <c r="N117" s="51" t="n"/>
      <c r="O117" s="50">
        <f>IF(L117="","",IF(M117="",L117,L117*(1-M117)))</f>
        <v/>
      </c>
      <c r="P117" s="47" t="n"/>
      <c r="Q117" s="47" t="n"/>
    </row>
    <row r="118" ht="15.75" customHeight="1" s="99">
      <c r="A118" s="43" t="n">
        <v>118</v>
      </c>
      <c r="B118" s="53" t="n"/>
      <c r="C118" s="54">
        <f>IF(B118="","",TEXT(B118,"MMM-YYYY"))</f>
        <v/>
      </c>
      <c r="D118" s="55" t="n"/>
      <c r="E118" s="55" t="n"/>
      <c r="F118" s="55" t="n"/>
      <c r="G118" s="55" t="n"/>
      <c r="H118" s="55" t="n"/>
      <c r="I118" s="56" t="n"/>
      <c r="J118" s="55" t="n"/>
      <c r="K118" s="57" t="n"/>
      <c r="L118" s="58">
        <f>IF(OR(I118="",K118=""),"",I118*K118)</f>
        <v/>
      </c>
      <c r="M118" s="59" t="n"/>
      <c r="N118" s="59" t="n"/>
      <c r="O118" s="58">
        <f>IF(L118="","",IF(M118="",L118,L118*(1-M118)))</f>
        <v/>
      </c>
      <c r="P118" s="55" t="n"/>
      <c r="Q118" s="55" t="n"/>
    </row>
    <row r="119" ht="15.75" customHeight="1" s="99">
      <c r="A119" s="41" t="n">
        <v>119</v>
      </c>
      <c r="B119" s="45" t="n"/>
      <c r="C119" s="46">
        <f>IF(B119="","",TEXT(B119,"MMM-YYYY"))</f>
        <v/>
      </c>
      <c r="D119" s="47" t="n"/>
      <c r="E119" s="47" t="n"/>
      <c r="F119" s="47" t="n"/>
      <c r="G119" s="47" t="n"/>
      <c r="H119" s="47" t="n"/>
      <c r="I119" s="48" t="n"/>
      <c r="J119" s="47" t="n"/>
      <c r="K119" s="49" t="n"/>
      <c r="L119" s="50">
        <f>IF(OR(I119="",K119=""),"",I119*K119)</f>
        <v/>
      </c>
      <c r="M119" s="51" t="n"/>
      <c r="N119" s="51" t="n"/>
      <c r="O119" s="50">
        <f>IF(L119="","",IF(M119="",L119,L119*(1-M119)))</f>
        <v/>
      </c>
      <c r="P119" s="47" t="n"/>
      <c r="Q119" s="47" t="n"/>
    </row>
    <row r="120" ht="15.75" customHeight="1" s="99">
      <c r="A120" s="43" t="n">
        <v>120</v>
      </c>
      <c r="B120" s="53" t="n"/>
      <c r="C120" s="54">
        <f>IF(B120="","",TEXT(B120,"MMM-YYYY"))</f>
        <v/>
      </c>
      <c r="D120" s="55" t="n"/>
      <c r="E120" s="55" t="n"/>
      <c r="F120" s="55" t="n"/>
      <c r="G120" s="55" t="n"/>
      <c r="H120" s="55" t="n"/>
      <c r="I120" s="56" t="n"/>
      <c r="J120" s="55" t="n"/>
      <c r="K120" s="57" t="n"/>
      <c r="L120" s="58">
        <f>IF(OR(I120="",K120=""),"",I120*K120)</f>
        <v/>
      </c>
      <c r="M120" s="59" t="n"/>
      <c r="N120" s="59" t="n"/>
      <c r="O120" s="58">
        <f>IF(L120="","",IF(M120="",L120,L120*(1-M120)))</f>
        <v/>
      </c>
      <c r="P120" s="55" t="n"/>
      <c r="Q120" s="55" t="n"/>
    </row>
    <row r="121" ht="15.75" customHeight="1" s="99">
      <c r="A121" s="41" t="n">
        <v>121</v>
      </c>
      <c r="B121" s="45" t="n"/>
      <c r="C121" s="46">
        <f>IF(B121="","",TEXT(B121,"MMM-YYYY"))</f>
        <v/>
      </c>
      <c r="D121" s="47" t="n"/>
      <c r="E121" s="47" t="n"/>
      <c r="F121" s="47" t="n"/>
      <c r="G121" s="47" t="n"/>
      <c r="H121" s="47" t="n"/>
      <c r="I121" s="48" t="n"/>
      <c r="J121" s="47" t="n"/>
      <c r="K121" s="49" t="n"/>
      <c r="L121" s="50">
        <f>IF(OR(I121="",K121=""),"",I121*K121)</f>
        <v/>
      </c>
      <c r="M121" s="51" t="n"/>
      <c r="N121" s="51" t="n"/>
      <c r="O121" s="50">
        <f>IF(L121="","",IF(M121="",L121,L121*(1-M121)))</f>
        <v/>
      </c>
      <c r="P121" s="47" t="n"/>
      <c r="Q121" s="47" t="n"/>
    </row>
    <row r="122" ht="15.75" customHeight="1" s="99">
      <c r="A122" s="43" t="n">
        <v>122</v>
      </c>
      <c r="B122" s="53" t="n"/>
      <c r="C122" s="54">
        <f>IF(B122="","",TEXT(B122,"MMM-YYYY"))</f>
        <v/>
      </c>
      <c r="D122" s="55" t="n"/>
      <c r="E122" s="55" t="n"/>
      <c r="F122" s="55" t="n"/>
      <c r="G122" s="55" t="n"/>
      <c r="H122" s="55" t="n"/>
      <c r="I122" s="56" t="n"/>
      <c r="J122" s="55" t="n"/>
      <c r="K122" s="57" t="n"/>
      <c r="L122" s="58">
        <f>IF(OR(I122="",K122=""),"",I122*K122)</f>
        <v/>
      </c>
      <c r="M122" s="59" t="n"/>
      <c r="N122" s="59" t="n"/>
      <c r="O122" s="58">
        <f>IF(L122="","",IF(M122="",L122,L122*(1-M122)))</f>
        <v/>
      </c>
      <c r="P122" s="55" t="n"/>
      <c r="Q122" s="55" t="n"/>
    </row>
    <row r="123" ht="15.75" customHeight="1" s="99">
      <c r="A123" s="41" t="n">
        <v>123</v>
      </c>
      <c r="B123" s="45" t="n"/>
      <c r="C123" s="46">
        <f>IF(B123="","",TEXT(B123,"MMM-YYYY"))</f>
        <v/>
      </c>
      <c r="D123" s="47" t="n"/>
      <c r="E123" s="47" t="n"/>
      <c r="F123" s="47" t="n"/>
      <c r="G123" s="47" t="n"/>
      <c r="H123" s="47" t="n"/>
      <c r="I123" s="48" t="n"/>
      <c r="J123" s="47" t="n"/>
      <c r="K123" s="49" t="n"/>
      <c r="L123" s="50">
        <f>IF(OR(I123="",K123=""),"",I123*K123)</f>
        <v/>
      </c>
      <c r="M123" s="51" t="n"/>
      <c r="N123" s="51" t="n"/>
      <c r="O123" s="50">
        <f>IF(L123="","",IF(M123="",L123,L123*(1-M123)))</f>
        <v/>
      </c>
      <c r="P123" s="47" t="n"/>
      <c r="Q123" s="47" t="n"/>
    </row>
    <row r="124" ht="15.75" customHeight="1" s="99">
      <c r="A124" s="43" t="n">
        <v>124</v>
      </c>
      <c r="B124" s="53" t="n"/>
      <c r="C124" s="54">
        <f>IF(B124="","",TEXT(B124,"MMM-YYYY"))</f>
        <v/>
      </c>
      <c r="D124" s="55" t="n"/>
      <c r="E124" s="55" t="n"/>
      <c r="F124" s="55" t="n"/>
      <c r="G124" s="55" t="n"/>
      <c r="H124" s="55" t="n"/>
      <c r="I124" s="56" t="n"/>
      <c r="J124" s="55" t="n"/>
      <c r="K124" s="57" t="n"/>
      <c r="L124" s="58">
        <f>IF(OR(I124="",K124=""),"",I124*K124)</f>
        <v/>
      </c>
      <c r="M124" s="59" t="n"/>
      <c r="N124" s="59" t="n"/>
      <c r="O124" s="58">
        <f>IF(L124="","",IF(M124="",L124,L124*(1-M124)))</f>
        <v/>
      </c>
      <c r="P124" s="55" t="n"/>
      <c r="Q124" s="55" t="n"/>
    </row>
    <row r="125" ht="15.75" customHeight="1" s="99">
      <c r="A125" s="41" t="n">
        <v>125</v>
      </c>
      <c r="B125" s="45" t="n"/>
      <c r="C125" s="46">
        <f>IF(B125="","",TEXT(B125,"MMM-YYYY"))</f>
        <v/>
      </c>
      <c r="D125" s="47" t="n"/>
      <c r="E125" s="47" t="n"/>
      <c r="F125" s="47" t="n"/>
      <c r="G125" s="47" t="n"/>
      <c r="H125" s="47" t="n"/>
      <c r="I125" s="48" t="n"/>
      <c r="J125" s="47" t="n"/>
      <c r="K125" s="49" t="n"/>
      <c r="L125" s="50">
        <f>IF(OR(I125="",K125=""),"",I125*K125)</f>
        <v/>
      </c>
      <c r="M125" s="51" t="n"/>
      <c r="N125" s="51" t="n"/>
      <c r="O125" s="50">
        <f>IF(L125="","",IF(M125="",L125,L125*(1-M125)))</f>
        <v/>
      </c>
      <c r="P125" s="47" t="n"/>
      <c r="Q125" s="47" t="n"/>
    </row>
    <row r="126" ht="15.75" customHeight="1" s="99">
      <c r="A126" s="43" t="n">
        <v>126</v>
      </c>
      <c r="B126" s="53" t="n"/>
      <c r="C126" s="54">
        <f>IF(B126="","",TEXT(B126,"MMM-YYYY"))</f>
        <v/>
      </c>
      <c r="D126" s="55" t="n"/>
      <c r="E126" s="55" t="n"/>
      <c r="F126" s="55" t="n"/>
      <c r="G126" s="55" t="n"/>
      <c r="H126" s="55" t="n"/>
      <c r="I126" s="56" t="n"/>
      <c r="J126" s="55" t="n"/>
      <c r="K126" s="57" t="n"/>
      <c r="L126" s="58">
        <f>IF(OR(I126="",K126=""),"",I126*K126)</f>
        <v/>
      </c>
      <c r="M126" s="59" t="n"/>
      <c r="N126" s="59" t="n"/>
      <c r="O126" s="58">
        <f>IF(L126="","",IF(M126="",L126,L126*(1-M126)))</f>
        <v/>
      </c>
      <c r="P126" s="55" t="n"/>
      <c r="Q126" s="55" t="n"/>
    </row>
    <row r="127" ht="15.75" customHeight="1" s="99">
      <c r="A127" s="41" t="n">
        <v>127</v>
      </c>
      <c r="B127" s="45" t="n"/>
      <c r="C127" s="46">
        <f>IF(B127="","",TEXT(B127,"MMM-YYYY"))</f>
        <v/>
      </c>
      <c r="D127" s="47" t="n"/>
      <c r="E127" s="47" t="n"/>
      <c r="F127" s="47" t="n"/>
      <c r="G127" s="47" t="n"/>
      <c r="H127" s="47" t="n"/>
      <c r="I127" s="48" t="n"/>
      <c r="J127" s="47" t="n"/>
      <c r="K127" s="49" t="n"/>
      <c r="L127" s="50">
        <f>IF(OR(I127="",K127=""),"",I127*K127)</f>
        <v/>
      </c>
      <c r="M127" s="51" t="n"/>
      <c r="N127" s="51" t="n"/>
      <c r="O127" s="50">
        <f>IF(L127="","",IF(M127="",L127,L127*(1-M127)))</f>
        <v/>
      </c>
      <c r="P127" s="47" t="n"/>
      <c r="Q127" s="47" t="n"/>
    </row>
    <row r="128" ht="15.75" customHeight="1" s="99">
      <c r="A128" s="43" t="n">
        <v>128</v>
      </c>
      <c r="B128" s="53" t="n"/>
      <c r="C128" s="54">
        <f>IF(B128="","",TEXT(B128,"MMM-YYYY"))</f>
        <v/>
      </c>
      <c r="D128" s="55" t="n"/>
      <c r="E128" s="55" t="n"/>
      <c r="F128" s="55" t="n"/>
      <c r="G128" s="55" t="n"/>
      <c r="H128" s="55" t="n"/>
      <c r="I128" s="56" t="n"/>
      <c r="J128" s="55" t="n"/>
      <c r="K128" s="57" t="n"/>
      <c r="L128" s="58">
        <f>IF(OR(I128="",K128=""),"",I128*K128)</f>
        <v/>
      </c>
      <c r="M128" s="59" t="n"/>
      <c r="N128" s="59" t="n"/>
      <c r="O128" s="58">
        <f>IF(L128="","",IF(M128="",L128,L128*(1-M128)))</f>
        <v/>
      </c>
      <c r="P128" s="55" t="n"/>
      <c r="Q128" s="55" t="n"/>
    </row>
    <row r="129" ht="15.75" customHeight="1" s="99">
      <c r="A129" s="41" t="n">
        <v>129</v>
      </c>
      <c r="B129" s="45" t="n"/>
      <c r="C129" s="46">
        <f>IF(B129="","",TEXT(B129,"MMM-YYYY"))</f>
        <v/>
      </c>
      <c r="D129" s="47" t="n"/>
      <c r="E129" s="47" t="n"/>
      <c r="F129" s="47" t="n"/>
      <c r="G129" s="47" t="n"/>
      <c r="H129" s="47" t="n"/>
      <c r="I129" s="48" t="n"/>
      <c r="J129" s="47" t="n"/>
      <c r="K129" s="49" t="n"/>
      <c r="L129" s="50">
        <f>IF(OR(I129="",K129=""),"",I129*K129)</f>
        <v/>
      </c>
      <c r="M129" s="51" t="n"/>
      <c r="N129" s="51" t="n"/>
      <c r="O129" s="50">
        <f>IF(L129="","",IF(M129="",L129,L129*(1-M129)))</f>
        <v/>
      </c>
      <c r="P129" s="47" t="n"/>
      <c r="Q129" s="47" t="n"/>
    </row>
    <row r="130" ht="15.75" customHeight="1" s="99">
      <c r="A130" s="43" t="n">
        <v>130</v>
      </c>
      <c r="B130" s="53" t="n"/>
      <c r="C130" s="54">
        <f>IF(B130="","",TEXT(B130,"MMM-YYYY"))</f>
        <v/>
      </c>
      <c r="D130" s="55" t="n"/>
      <c r="E130" s="55" t="n"/>
      <c r="F130" s="55" t="n"/>
      <c r="G130" s="55" t="n"/>
      <c r="H130" s="55" t="n"/>
      <c r="I130" s="56" t="n"/>
      <c r="J130" s="55" t="n"/>
      <c r="K130" s="57" t="n"/>
      <c r="L130" s="58">
        <f>IF(OR(I130="",K130=""),"",I130*K130)</f>
        <v/>
      </c>
      <c r="M130" s="59" t="n"/>
      <c r="N130" s="59" t="n"/>
      <c r="O130" s="58">
        <f>IF(L130="","",IF(M130="",L130,L130*(1-M130)))</f>
        <v/>
      </c>
      <c r="P130" s="55" t="n"/>
      <c r="Q130" s="55" t="n"/>
    </row>
    <row r="131" ht="15.75" customHeight="1" s="99">
      <c r="A131" s="41" t="n">
        <v>131</v>
      </c>
      <c r="B131" s="45" t="n"/>
      <c r="C131" s="46">
        <f>IF(B131="","",TEXT(B131,"MMM-YYYY"))</f>
        <v/>
      </c>
      <c r="D131" s="47" t="n"/>
      <c r="E131" s="47" t="n"/>
      <c r="F131" s="47" t="n"/>
      <c r="G131" s="47" t="n"/>
      <c r="H131" s="47" t="n"/>
      <c r="I131" s="48" t="n"/>
      <c r="J131" s="47" t="n"/>
      <c r="K131" s="49" t="n"/>
      <c r="L131" s="50">
        <f>IF(OR(I131="",K131=""),"",I131*K131)</f>
        <v/>
      </c>
      <c r="M131" s="51" t="n"/>
      <c r="N131" s="51" t="n"/>
      <c r="O131" s="50">
        <f>IF(L131="","",IF(M131="",L131,L131*(1-M131)))</f>
        <v/>
      </c>
      <c r="P131" s="47" t="n"/>
      <c r="Q131" s="47" t="n"/>
    </row>
    <row r="132" ht="15.75" customHeight="1" s="99">
      <c r="A132" s="43" t="n">
        <v>132</v>
      </c>
      <c r="B132" s="53" t="n"/>
      <c r="C132" s="54">
        <f>IF(B132="","",TEXT(B132,"MMM-YYYY"))</f>
        <v/>
      </c>
      <c r="D132" s="55" t="n"/>
      <c r="E132" s="55" t="n"/>
      <c r="F132" s="55" t="n"/>
      <c r="G132" s="55" t="n"/>
      <c r="H132" s="55" t="n"/>
      <c r="I132" s="56" t="n"/>
      <c r="J132" s="55" t="n"/>
      <c r="K132" s="57" t="n"/>
      <c r="L132" s="58">
        <f>IF(OR(I132="",K132=""),"",I132*K132)</f>
        <v/>
      </c>
      <c r="M132" s="59" t="n"/>
      <c r="N132" s="59" t="n"/>
      <c r="O132" s="58">
        <f>IF(L132="","",IF(M132="",L132,L132*(1-M132)))</f>
        <v/>
      </c>
      <c r="P132" s="55" t="n"/>
      <c r="Q132" s="55" t="n"/>
    </row>
    <row r="133" ht="15.75" customHeight="1" s="99">
      <c r="A133" s="41" t="n">
        <v>133</v>
      </c>
      <c r="B133" s="45" t="n"/>
      <c r="C133" s="46">
        <f>IF(B133="","",TEXT(B133,"MMM-YYYY"))</f>
        <v/>
      </c>
      <c r="D133" s="47" t="n"/>
      <c r="E133" s="47" t="n"/>
      <c r="F133" s="47" t="n"/>
      <c r="G133" s="47" t="n"/>
      <c r="H133" s="47" t="n"/>
      <c r="I133" s="48" t="n"/>
      <c r="J133" s="47" t="n"/>
      <c r="K133" s="49" t="n"/>
      <c r="L133" s="50">
        <f>IF(OR(I133="",K133=""),"",I133*K133)</f>
        <v/>
      </c>
      <c r="M133" s="51" t="n"/>
      <c r="N133" s="51" t="n"/>
      <c r="O133" s="50">
        <f>IF(L133="","",IF(M133="",L133,L133*(1-M133)))</f>
        <v/>
      </c>
      <c r="P133" s="47" t="n"/>
      <c r="Q133" s="47" t="n"/>
    </row>
    <row r="134" ht="15.75" customHeight="1" s="99">
      <c r="A134" s="43" t="n">
        <v>134</v>
      </c>
      <c r="B134" s="53" t="n"/>
      <c r="C134" s="54">
        <f>IF(B134="","",TEXT(B134,"MMM-YYYY"))</f>
        <v/>
      </c>
      <c r="D134" s="55" t="n"/>
      <c r="E134" s="55" t="n"/>
      <c r="F134" s="55" t="n"/>
      <c r="G134" s="55" t="n"/>
      <c r="H134" s="55" t="n"/>
      <c r="I134" s="56" t="n"/>
      <c r="J134" s="55" t="n"/>
      <c r="K134" s="57" t="n"/>
      <c r="L134" s="58">
        <f>IF(OR(I134="",K134=""),"",I134*K134)</f>
        <v/>
      </c>
      <c r="M134" s="59" t="n"/>
      <c r="N134" s="59" t="n"/>
      <c r="O134" s="58">
        <f>IF(L134="","",IF(M134="",L134,L134*(1-M134)))</f>
        <v/>
      </c>
      <c r="P134" s="55" t="n"/>
      <c r="Q134" s="55" t="n"/>
    </row>
    <row r="135" ht="15.75" customHeight="1" s="99">
      <c r="A135" s="41" t="n">
        <v>135</v>
      </c>
      <c r="B135" s="45" t="n"/>
      <c r="C135" s="46">
        <f>IF(B135="","",TEXT(B135,"MMM-YYYY"))</f>
        <v/>
      </c>
      <c r="D135" s="47" t="n"/>
      <c r="E135" s="47" t="n"/>
      <c r="F135" s="47" t="n"/>
      <c r="G135" s="47" t="n"/>
      <c r="H135" s="47" t="n"/>
      <c r="I135" s="48" t="n"/>
      <c r="J135" s="47" t="n"/>
      <c r="K135" s="49" t="n"/>
      <c r="L135" s="50">
        <f>IF(OR(I135="",K135=""),"",I135*K135)</f>
        <v/>
      </c>
      <c r="M135" s="51" t="n"/>
      <c r="N135" s="51" t="n"/>
      <c r="O135" s="50">
        <f>IF(L135="","",IF(M135="",L135,L135*(1-M135)))</f>
        <v/>
      </c>
      <c r="P135" s="47" t="n"/>
      <c r="Q135" s="47" t="n"/>
    </row>
    <row r="136" ht="15.75" customHeight="1" s="99">
      <c r="A136" s="43" t="n">
        <v>136</v>
      </c>
      <c r="B136" s="53" t="n"/>
      <c r="C136" s="54">
        <f>IF(B136="","",TEXT(B136,"MMM-YYYY"))</f>
        <v/>
      </c>
      <c r="D136" s="55" t="n"/>
      <c r="E136" s="55" t="n"/>
      <c r="F136" s="55" t="n"/>
      <c r="G136" s="55" t="n"/>
      <c r="H136" s="55" t="n"/>
      <c r="I136" s="56" t="n"/>
      <c r="J136" s="55" t="n"/>
      <c r="K136" s="57" t="n"/>
      <c r="L136" s="58">
        <f>IF(OR(I136="",K136=""),"",I136*K136)</f>
        <v/>
      </c>
      <c r="M136" s="59" t="n"/>
      <c r="N136" s="59" t="n"/>
      <c r="O136" s="58">
        <f>IF(L136="","",IF(M136="",L136,L136*(1-M136)))</f>
        <v/>
      </c>
      <c r="P136" s="55" t="n"/>
      <c r="Q136" s="55" t="n"/>
    </row>
    <row r="137" ht="15.75" customHeight="1" s="99">
      <c r="A137" s="41" t="n">
        <v>137</v>
      </c>
      <c r="B137" s="45" t="n"/>
      <c r="C137" s="46">
        <f>IF(B137="","",TEXT(B137,"MMM-YYYY"))</f>
        <v/>
      </c>
      <c r="D137" s="47" t="n"/>
      <c r="E137" s="47" t="n"/>
      <c r="F137" s="47" t="n"/>
      <c r="G137" s="47" t="n"/>
      <c r="H137" s="47" t="n"/>
      <c r="I137" s="48" t="n"/>
      <c r="J137" s="47" t="n"/>
      <c r="K137" s="49" t="n"/>
      <c r="L137" s="50">
        <f>IF(OR(I137="",K137=""),"",I137*K137)</f>
        <v/>
      </c>
      <c r="M137" s="51" t="n"/>
      <c r="N137" s="51" t="n"/>
      <c r="O137" s="50">
        <f>IF(L137="","",IF(M137="",L137,L137*(1-M137)))</f>
        <v/>
      </c>
      <c r="P137" s="47" t="n"/>
      <c r="Q137" s="47" t="n"/>
    </row>
    <row r="138" ht="15.75" customHeight="1" s="99">
      <c r="A138" s="43" t="n">
        <v>138</v>
      </c>
      <c r="B138" s="53" t="n"/>
      <c r="C138" s="54">
        <f>IF(B138="","",TEXT(B138,"MMM-YYYY"))</f>
        <v/>
      </c>
      <c r="D138" s="55" t="n"/>
      <c r="E138" s="55" t="n"/>
      <c r="F138" s="55" t="n"/>
      <c r="G138" s="55" t="n"/>
      <c r="H138" s="55" t="n"/>
      <c r="I138" s="56" t="n"/>
      <c r="J138" s="55" t="n"/>
      <c r="K138" s="57" t="n"/>
      <c r="L138" s="58">
        <f>IF(OR(I138="",K138=""),"",I138*K138)</f>
        <v/>
      </c>
      <c r="M138" s="59" t="n"/>
      <c r="N138" s="59" t="n"/>
      <c r="O138" s="58">
        <f>IF(L138="","",IF(M138="",L138,L138*(1-M138)))</f>
        <v/>
      </c>
      <c r="P138" s="55" t="n"/>
      <c r="Q138" s="55" t="n"/>
    </row>
    <row r="139" ht="15.75" customHeight="1" s="99">
      <c r="A139" s="41" t="n">
        <v>139</v>
      </c>
      <c r="B139" s="45" t="n"/>
      <c r="C139" s="46">
        <f>IF(B139="","",TEXT(B139,"MMM-YYYY"))</f>
        <v/>
      </c>
      <c r="D139" s="47" t="n"/>
      <c r="E139" s="47" t="n"/>
      <c r="F139" s="47" t="n"/>
      <c r="G139" s="47" t="n"/>
      <c r="H139" s="47" t="n"/>
      <c r="I139" s="48" t="n"/>
      <c r="J139" s="47" t="n"/>
      <c r="K139" s="49" t="n"/>
      <c r="L139" s="50">
        <f>IF(OR(I139="",K139=""),"",I139*K139)</f>
        <v/>
      </c>
      <c r="M139" s="51" t="n"/>
      <c r="N139" s="51" t="n"/>
      <c r="O139" s="50">
        <f>IF(L139="","",IF(M139="",L139,L139*(1-M139)))</f>
        <v/>
      </c>
      <c r="P139" s="47" t="n"/>
      <c r="Q139" s="47" t="n"/>
    </row>
    <row r="140" ht="15.75" customHeight="1" s="99">
      <c r="A140" s="43" t="n">
        <v>140</v>
      </c>
      <c r="B140" s="53" t="n"/>
      <c r="C140" s="54">
        <f>IF(B140="","",TEXT(B140,"MMM-YYYY"))</f>
        <v/>
      </c>
      <c r="D140" s="55" t="n"/>
      <c r="E140" s="55" t="n"/>
      <c r="F140" s="55" t="n"/>
      <c r="G140" s="55" t="n"/>
      <c r="H140" s="55" t="n"/>
      <c r="I140" s="56" t="n"/>
      <c r="J140" s="55" t="n"/>
      <c r="K140" s="57" t="n"/>
      <c r="L140" s="58">
        <f>IF(OR(I140="",K140=""),"",I140*K140)</f>
        <v/>
      </c>
      <c r="M140" s="59" t="n"/>
      <c r="N140" s="59" t="n"/>
      <c r="O140" s="58">
        <f>IF(L140="","",IF(M140="",L140,L140*(1-M140)))</f>
        <v/>
      </c>
      <c r="P140" s="55" t="n"/>
      <c r="Q140" s="55" t="n"/>
    </row>
    <row r="141" ht="15.75" customHeight="1" s="99">
      <c r="A141" s="41" t="n">
        <v>141</v>
      </c>
      <c r="B141" s="45" t="n"/>
      <c r="C141" s="46">
        <f>IF(B141="","",TEXT(B141,"MMM-YYYY"))</f>
        <v/>
      </c>
      <c r="D141" s="47" t="n"/>
      <c r="E141" s="47" t="n"/>
      <c r="F141" s="47" t="n"/>
      <c r="G141" s="47" t="n"/>
      <c r="H141" s="47" t="n"/>
      <c r="I141" s="48" t="n"/>
      <c r="J141" s="47" t="n"/>
      <c r="K141" s="49" t="n"/>
      <c r="L141" s="50">
        <f>IF(OR(I141="",K141=""),"",I141*K141)</f>
        <v/>
      </c>
      <c r="M141" s="51" t="n"/>
      <c r="N141" s="51" t="n"/>
      <c r="O141" s="50">
        <f>IF(L141="","",IF(M141="",L141,L141*(1-M141)))</f>
        <v/>
      </c>
      <c r="P141" s="47" t="n"/>
      <c r="Q141" s="47" t="n"/>
    </row>
    <row r="142" ht="15.75" customHeight="1" s="99">
      <c r="A142" s="43" t="n">
        <v>142</v>
      </c>
      <c r="B142" s="53" t="n"/>
      <c r="C142" s="54">
        <f>IF(B142="","",TEXT(B142,"MMM-YYYY"))</f>
        <v/>
      </c>
      <c r="D142" s="55" t="n"/>
      <c r="E142" s="55" t="n"/>
      <c r="F142" s="55" t="n"/>
      <c r="G142" s="55" t="n"/>
      <c r="H142" s="55" t="n"/>
      <c r="I142" s="56" t="n"/>
      <c r="J142" s="55" t="n"/>
      <c r="K142" s="57" t="n"/>
      <c r="L142" s="58">
        <f>IF(OR(I142="",K142=""),"",I142*K142)</f>
        <v/>
      </c>
      <c r="M142" s="59" t="n"/>
      <c r="N142" s="59" t="n"/>
      <c r="O142" s="58">
        <f>IF(L142="","",IF(M142="",L142,L142*(1-M142)))</f>
        <v/>
      </c>
      <c r="P142" s="55" t="n"/>
      <c r="Q142" s="55" t="n"/>
    </row>
    <row r="143" ht="15.75" customHeight="1" s="99">
      <c r="A143" s="41" t="n">
        <v>143</v>
      </c>
      <c r="B143" s="45" t="n"/>
      <c r="C143" s="46">
        <f>IF(B143="","",TEXT(B143,"MMM-YYYY"))</f>
        <v/>
      </c>
      <c r="D143" s="47" t="n"/>
      <c r="E143" s="47" t="n"/>
      <c r="F143" s="47" t="n"/>
      <c r="G143" s="47" t="n"/>
      <c r="H143" s="47" t="n"/>
      <c r="I143" s="48" t="n"/>
      <c r="J143" s="47" t="n"/>
      <c r="K143" s="49" t="n"/>
      <c r="L143" s="50">
        <f>IF(OR(I143="",K143=""),"",I143*K143)</f>
        <v/>
      </c>
      <c r="M143" s="51" t="n"/>
      <c r="N143" s="51" t="n"/>
      <c r="O143" s="50">
        <f>IF(L143="","",IF(M143="",L143,L143*(1-M143)))</f>
        <v/>
      </c>
      <c r="P143" s="47" t="n"/>
      <c r="Q143" s="47" t="n"/>
    </row>
    <row r="144" ht="15.75" customHeight="1" s="99">
      <c r="A144" s="43" t="n">
        <v>144</v>
      </c>
      <c r="B144" s="53" t="n"/>
      <c r="C144" s="54">
        <f>IF(B144="","",TEXT(B144,"MMM-YYYY"))</f>
        <v/>
      </c>
      <c r="D144" s="55" t="n"/>
      <c r="E144" s="55" t="n"/>
      <c r="F144" s="55" t="n"/>
      <c r="G144" s="55" t="n"/>
      <c r="H144" s="55" t="n"/>
      <c r="I144" s="56" t="n"/>
      <c r="J144" s="55" t="n"/>
      <c r="K144" s="57" t="n"/>
      <c r="L144" s="58">
        <f>IF(OR(I144="",K144=""),"",I144*K144)</f>
        <v/>
      </c>
      <c r="M144" s="59" t="n"/>
      <c r="N144" s="59" t="n"/>
      <c r="O144" s="58">
        <f>IF(L144="","",IF(M144="",L144,L144*(1-M144)))</f>
        <v/>
      </c>
      <c r="P144" s="55" t="n"/>
      <c r="Q144" s="55" t="n"/>
    </row>
    <row r="145" ht="15.75" customHeight="1" s="99">
      <c r="A145" s="41" t="n">
        <v>145</v>
      </c>
      <c r="B145" s="45" t="n"/>
      <c r="C145" s="46">
        <f>IF(B145="","",TEXT(B145,"MMM-YYYY"))</f>
        <v/>
      </c>
      <c r="D145" s="47" t="n"/>
      <c r="E145" s="47" t="n"/>
      <c r="F145" s="47" t="n"/>
      <c r="G145" s="47" t="n"/>
      <c r="H145" s="47" t="n"/>
      <c r="I145" s="48" t="n"/>
      <c r="J145" s="47" t="n"/>
      <c r="K145" s="49" t="n"/>
      <c r="L145" s="50">
        <f>IF(OR(I145="",K145=""),"",I145*K145)</f>
        <v/>
      </c>
      <c r="M145" s="51" t="n"/>
      <c r="N145" s="51" t="n"/>
      <c r="O145" s="50">
        <f>IF(L145="","",IF(M145="",L145,L145*(1-M145)))</f>
        <v/>
      </c>
      <c r="P145" s="47" t="n"/>
      <c r="Q145" s="47" t="n"/>
    </row>
    <row r="146" ht="15.75" customHeight="1" s="99">
      <c r="A146" s="43" t="n">
        <v>146</v>
      </c>
      <c r="B146" s="53" t="n"/>
      <c r="C146" s="54">
        <f>IF(B146="","",TEXT(B146,"MMM-YYYY"))</f>
        <v/>
      </c>
      <c r="D146" s="55" t="n"/>
      <c r="E146" s="55" t="n"/>
      <c r="F146" s="55" t="n"/>
      <c r="G146" s="55" t="n"/>
      <c r="H146" s="55" t="n"/>
      <c r="I146" s="56" t="n"/>
      <c r="J146" s="55" t="n"/>
      <c r="K146" s="57" t="n"/>
      <c r="L146" s="58">
        <f>IF(OR(I146="",K146=""),"",I146*K146)</f>
        <v/>
      </c>
      <c r="M146" s="59" t="n"/>
      <c r="N146" s="59" t="n"/>
      <c r="O146" s="58">
        <f>IF(L146="","",IF(M146="",L146,L146*(1-M146)))</f>
        <v/>
      </c>
      <c r="P146" s="55" t="n"/>
      <c r="Q146" s="55" t="n"/>
    </row>
    <row r="147" ht="15.75" customHeight="1" s="99">
      <c r="A147" s="41" t="n">
        <v>147</v>
      </c>
      <c r="B147" s="45" t="n"/>
      <c r="C147" s="46">
        <f>IF(B147="","",TEXT(B147,"MMM-YYYY"))</f>
        <v/>
      </c>
      <c r="D147" s="47" t="n"/>
      <c r="E147" s="47" t="n"/>
      <c r="F147" s="47" t="n"/>
      <c r="G147" s="47" t="n"/>
      <c r="H147" s="47" t="n"/>
      <c r="I147" s="48" t="n"/>
      <c r="J147" s="47" t="n"/>
      <c r="K147" s="49" t="n"/>
      <c r="L147" s="50">
        <f>IF(OR(I147="",K147=""),"",I147*K147)</f>
        <v/>
      </c>
      <c r="M147" s="51" t="n"/>
      <c r="N147" s="51" t="n"/>
      <c r="O147" s="50">
        <f>IF(L147="","",IF(M147="",L147,L147*(1-M147)))</f>
        <v/>
      </c>
      <c r="P147" s="47" t="n"/>
      <c r="Q147" s="47" t="n"/>
    </row>
    <row r="148" ht="15.75" customHeight="1" s="99">
      <c r="A148" s="43" t="n">
        <v>148</v>
      </c>
      <c r="B148" s="53" t="n"/>
      <c r="C148" s="54">
        <f>IF(B148="","",TEXT(B148,"MMM-YYYY"))</f>
        <v/>
      </c>
      <c r="D148" s="55" t="n"/>
      <c r="E148" s="55" t="n"/>
      <c r="F148" s="55" t="n"/>
      <c r="G148" s="55" t="n"/>
      <c r="H148" s="55" t="n"/>
      <c r="I148" s="56" t="n"/>
      <c r="J148" s="55" t="n"/>
      <c r="K148" s="57" t="n"/>
      <c r="L148" s="58">
        <f>IF(OR(I148="",K148=""),"",I148*K148)</f>
        <v/>
      </c>
      <c r="M148" s="59" t="n"/>
      <c r="N148" s="59" t="n"/>
      <c r="O148" s="58">
        <f>IF(L148="","",IF(M148="",L148,L148*(1-M148)))</f>
        <v/>
      </c>
      <c r="P148" s="55" t="n"/>
      <c r="Q148" s="55" t="n"/>
    </row>
    <row r="149" ht="15.75" customHeight="1" s="99">
      <c r="A149" s="41" t="n">
        <v>149</v>
      </c>
      <c r="B149" s="45" t="n"/>
      <c r="C149" s="46">
        <f>IF(B149="","",TEXT(B149,"MMM-YYYY"))</f>
        <v/>
      </c>
      <c r="D149" s="47" t="n"/>
      <c r="E149" s="47" t="n"/>
      <c r="F149" s="47" t="n"/>
      <c r="G149" s="47" t="n"/>
      <c r="H149" s="47" t="n"/>
      <c r="I149" s="48" t="n"/>
      <c r="J149" s="47" t="n"/>
      <c r="K149" s="49" t="n"/>
      <c r="L149" s="50">
        <f>IF(OR(I149="",K149=""),"",I149*K149)</f>
        <v/>
      </c>
      <c r="M149" s="51" t="n"/>
      <c r="N149" s="51" t="n"/>
      <c r="O149" s="50">
        <f>IF(L149="","",IF(M149="",L149,L149*(1-M149)))</f>
        <v/>
      </c>
      <c r="P149" s="47" t="n"/>
      <c r="Q149" s="47" t="n"/>
    </row>
    <row r="150" ht="15.75" customHeight="1" s="99">
      <c r="A150" s="43" t="n">
        <v>150</v>
      </c>
      <c r="B150" s="53" t="n"/>
      <c r="C150" s="54">
        <f>IF(B150="","",TEXT(B150,"MMM-YYYY"))</f>
        <v/>
      </c>
      <c r="D150" s="55" t="n"/>
      <c r="E150" s="55" t="n"/>
      <c r="F150" s="55" t="n"/>
      <c r="G150" s="55" t="n"/>
      <c r="H150" s="55" t="n"/>
      <c r="I150" s="56" t="n"/>
      <c r="J150" s="55" t="n"/>
      <c r="K150" s="57" t="n"/>
      <c r="L150" s="58">
        <f>IF(OR(I150="",K150=""),"",I150*K150)</f>
        <v/>
      </c>
      <c r="M150" s="59" t="n"/>
      <c r="N150" s="59" t="n"/>
      <c r="O150" s="58">
        <f>IF(L150="","",IF(M150="",L150,L150*(1-M150)))</f>
        <v/>
      </c>
      <c r="P150" s="55" t="n"/>
      <c r="Q150" s="55" t="n"/>
    </row>
    <row r="151" ht="15.75" customHeight="1" s="99">
      <c r="A151" s="41" t="n">
        <v>151</v>
      </c>
      <c r="B151" s="45" t="n"/>
      <c r="C151" s="46">
        <f>IF(B151="","",TEXT(B151,"MMM-YYYY"))</f>
        <v/>
      </c>
      <c r="D151" s="47" t="n"/>
      <c r="E151" s="47" t="n"/>
      <c r="F151" s="47" t="n"/>
      <c r="G151" s="47" t="n"/>
      <c r="H151" s="47" t="n"/>
      <c r="I151" s="48" t="n"/>
      <c r="J151" s="47" t="n"/>
      <c r="K151" s="49" t="n"/>
      <c r="L151" s="50">
        <f>IF(OR(I151="",K151=""),"",I151*K151)</f>
        <v/>
      </c>
      <c r="M151" s="51" t="n"/>
      <c r="N151" s="51" t="n"/>
      <c r="O151" s="50">
        <f>IF(L151="","",IF(M151="",L151,L151*(1-M151)))</f>
        <v/>
      </c>
      <c r="P151" s="47" t="n"/>
      <c r="Q151" s="47" t="n"/>
    </row>
    <row r="152" ht="15.75" customHeight="1" s="99">
      <c r="A152" s="43" t="n">
        <v>152</v>
      </c>
      <c r="B152" s="53" t="n"/>
      <c r="C152" s="54">
        <f>IF(B152="","",TEXT(B152,"MMM-YYYY"))</f>
        <v/>
      </c>
      <c r="D152" s="55" t="n"/>
      <c r="E152" s="55" t="n"/>
      <c r="F152" s="55" t="n"/>
      <c r="G152" s="55" t="n"/>
      <c r="H152" s="55" t="n"/>
      <c r="I152" s="56" t="n"/>
      <c r="J152" s="55" t="n"/>
      <c r="K152" s="57" t="n"/>
      <c r="L152" s="58">
        <f>IF(OR(I152="",K152=""),"",I152*K152)</f>
        <v/>
      </c>
      <c r="M152" s="59" t="n"/>
      <c r="N152" s="59" t="n"/>
      <c r="O152" s="58">
        <f>IF(L152="","",IF(M152="",L152,L152*(1-M152)))</f>
        <v/>
      </c>
      <c r="P152" s="55" t="n"/>
      <c r="Q152" s="55" t="n"/>
    </row>
    <row r="153" ht="15.75" customHeight="1" s="99">
      <c r="A153" s="41" t="n">
        <v>153</v>
      </c>
      <c r="B153" s="45" t="n"/>
      <c r="C153" s="46">
        <f>IF(B153="","",TEXT(B153,"MMM-YYYY"))</f>
        <v/>
      </c>
      <c r="D153" s="47" t="n"/>
      <c r="E153" s="47" t="n"/>
      <c r="F153" s="47" t="n"/>
      <c r="G153" s="47" t="n"/>
      <c r="H153" s="47" t="n"/>
      <c r="I153" s="48" t="n"/>
      <c r="J153" s="47" t="n"/>
      <c r="K153" s="49" t="n"/>
      <c r="L153" s="50">
        <f>IF(OR(I153="",K153=""),"",I153*K153)</f>
        <v/>
      </c>
      <c r="M153" s="51" t="n"/>
      <c r="N153" s="51" t="n"/>
      <c r="O153" s="50">
        <f>IF(L153="","",IF(M153="",L153,L153*(1-M153)))</f>
        <v/>
      </c>
      <c r="P153" s="47" t="n"/>
      <c r="Q153" s="47" t="n"/>
    </row>
    <row r="154" ht="15.75" customHeight="1" s="99">
      <c r="A154" s="43" t="n">
        <v>154</v>
      </c>
      <c r="B154" s="53" t="n"/>
      <c r="C154" s="54">
        <f>IF(B154="","",TEXT(B154,"MMM-YYYY"))</f>
        <v/>
      </c>
      <c r="D154" s="55" t="n"/>
      <c r="E154" s="55" t="n"/>
      <c r="F154" s="55" t="n"/>
      <c r="G154" s="55" t="n"/>
      <c r="H154" s="55" t="n"/>
      <c r="I154" s="56" t="n"/>
      <c r="J154" s="55" t="n"/>
      <c r="K154" s="57" t="n"/>
      <c r="L154" s="58">
        <f>IF(OR(I154="",K154=""),"",I154*K154)</f>
        <v/>
      </c>
      <c r="M154" s="59" t="n"/>
      <c r="N154" s="59" t="n"/>
      <c r="O154" s="58">
        <f>IF(L154="","",IF(M154="",L154,L154*(1-M154)))</f>
        <v/>
      </c>
      <c r="P154" s="55" t="n"/>
      <c r="Q154" s="55" t="n"/>
    </row>
    <row r="155" ht="15.75" customHeight="1" s="99">
      <c r="A155" s="41" t="n">
        <v>155</v>
      </c>
      <c r="B155" s="45" t="n"/>
      <c r="C155" s="46">
        <f>IF(B155="","",TEXT(B155,"MMM-YYYY"))</f>
        <v/>
      </c>
      <c r="D155" s="47" t="n"/>
      <c r="E155" s="47" t="n"/>
      <c r="F155" s="47" t="n"/>
      <c r="G155" s="47" t="n"/>
      <c r="H155" s="47" t="n"/>
      <c r="I155" s="48" t="n"/>
      <c r="J155" s="47" t="n"/>
      <c r="K155" s="49" t="n"/>
      <c r="L155" s="50">
        <f>IF(OR(I155="",K155=""),"",I155*K155)</f>
        <v/>
      </c>
      <c r="M155" s="51" t="n"/>
      <c r="N155" s="51" t="n"/>
      <c r="O155" s="50">
        <f>IF(L155="","",IF(M155="",L155,L155*(1-M155)))</f>
        <v/>
      </c>
      <c r="P155" s="47" t="n"/>
      <c r="Q155" s="47" t="n"/>
    </row>
    <row r="156" ht="15.75" customHeight="1" s="99">
      <c r="A156" s="43" t="n">
        <v>156</v>
      </c>
      <c r="B156" s="53" t="n"/>
      <c r="C156" s="54">
        <f>IF(B156="","",TEXT(B156,"MMM-YYYY"))</f>
        <v/>
      </c>
      <c r="D156" s="55" t="n"/>
      <c r="E156" s="55" t="n"/>
      <c r="F156" s="55" t="n"/>
      <c r="G156" s="55" t="n"/>
      <c r="H156" s="55" t="n"/>
      <c r="I156" s="56" t="n"/>
      <c r="J156" s="55" t="n"/>
      <c r="K156" s="57" t="n"/>
      <c r="L156" s="58">
        <f>IF(OR(I156="",K156=""),"",I156*K156)</f>
        <v/>
      </c>
      <c r="M156" s="59" t="n"/>
      <c r="N156" s="59" t="n"/>
      <c r="O156" s="58">
        <f>IF(L156="","",IF(M156="",L156,L156*(1-M156)))</f>
        <v/>
      </c>
      <c r="P156" s="55" t="n"/>
      <c r="Q156" s="55" t="n"/>
    </row>
    <row r="157" ht="15.75" customHeight="1" s="99">
      <c r="A157" s="41" t="n">
        <v>157</v>
      </c>
      <c r="B157" s="45" t="n"/>
      <c r="C157" s="46">
        <f>IF(B157="","",TEXT(B157,"MMM-YYYY"))</f>
        <v/>
      </c>
      <c r="D157" s="47" t="n"/>
      <c r="E157" s="47" t="n"/>
      <c r="F157" s="47" t="n"/>
      <c r="G157" s="47" t="n"/>
      <c r="H157" s="47" t="n"/>
      <c r="I157" s="48" t="n"/>
      <c r="J157" s="47" t="n"/>
      <c r="K157" s="49" t="n"/>
      <c r="L157" s="50">
        <f>IF(OR(I157="",K157=""),"",I157*K157)</f>
        <v/>
      </c>
      <c r="M157" s="51" t="n"/>
      <c r="N157" s="51" t="n"/>
      <c r="O157" s="50">
        <f>IF(L157="","",IF(M157="",L157,L157*(1-M157)))</f>
        <v/>
      </c>
      <c r="P157" s="47" t="n"/>
      <c r="Q157" s="47" t="n"/>
    </row>
    <row r="158" ht="15.75" customHeight="1" s="99">
      <c r="A158" s="43" t="n">
        <v>158</v>
      </c>
      <c r="B158" s="53" t="n"/>
      <c r="C158" s="54">
        <f>IF(B158="","",TEXT(B158,"MMM-YYYY"))</f>
        <v/>
      </c>
      <c r="D158" s="55" t="n"/>
      <c r="E158" s="55" t="n"/>
      <c r="F158" s="55" t="n"/>
      <c r="G158" s="55" t="n"/>
      <c r="H158" s="55" t="n"/>
      <c r="I158" s="56" t="n"/>
      <c r="J158" s="55" t="n"/>
      <c r="K158" s="57" t="n"/>
      <c r="L158" s="58">
        <f>IF(OR(I158="",K158=""),"",I158*K158)</f>
        <v/>
      </c>
      <c r="M158" s="59" t="n"/>
      <c r="N158" s="59" t="n"/>
      <c r="O158" s="58">
        <f>IF(L158="","",IF(M158="",L158,L158*(1-M158)))</f>
        <v/>
      </c>
      <c r="P158" s="55" t="n"/>
      <c r="Q158" s="55" t="n"/>
    </row>
    <row r="159" ht="15.75" customHeight="1" s="99">
      <c r="A159" s="41" t="n">
        <v>159</v>
      </c>
      <c r="B159" s="45" t="n"/>
      <c r="C159" s="46">
        <f>IF(B159="","",TEXT(B159,"MMM-YYYY"))</f>
        <v/>
      </c>
      <c r="D159" s="47" t="n"/>
      <c r="E159" s="47" t="n"/>
      <c r="F159" s="47" t="n"/>
      <c r="G159" s="47" t="n"/>
      <c r="H159" s="47" t="n"/>
      <c r="I159" s="48" t="n"/>
      <c r="J159" s="47" t="n"/>
      <c r="K159" s="49" t="n"/>
      <c r="L159" s="50">
        <f>IF(OR(I159="",K159=""),"",I159*K159)</f>
        <v/>
      </c>
      <c r="M159" s="51" t="n"/>
      <c r="N159" s="51" t="n"/>
      <c r="O159" s="50">
        <f>IF(L159="","",IF(M159="",L159,L159*(1-M159)))</f>
        <v/>
      </c>
      <c r="P159" s="47" t="n"/>
      <c r="Q159" s="47" t="n"/>
    </row>
    <row r="160" ht="15.75" customHeight="1" s="99">
      <c r="A160" s="43" t="n">
        <v>160</v>
      </c>
      <c r="B160" s="53" t="n"/>
      <c r="C160" s="54">
        <f>IF(B160="","",TEXT(B160,"MMM-YYYY"))</f>
        <v/>
      </c>
      <c r="D160" s="55" t="n"/>
      <c r="E160" s="55" t="n"/>
      <c r="F160" s="55" t="n"/>
      <c r="G160" s="55" t="n"/>
      <c r="H160" s="55" t="n"/>
      <c r="I160" s="56" t="n"/>
      <c r="J160" s="55" t="n"/>
      <c r="K160" s="57" t="n"/>
      <c r="L160" s="58">
        <f>IF(OR(I160="",K160=""),"",I160*K160)</f>
        <v/>
      </c>
      <c r="M160" s="59" t="n"/>
      <c r="N160" s="59" t="n"/>
      <c r="O160" s="58">
        <f>IF(L160="","",IF(M160="",L160,L160*(1-M160)))</f>
        <v/>
      </c>
      <c r="P160" s="55" t="n"/>
      <c r="Q160" s="55" t="n"/>
    </row>
    <row r="161" ht="15.75" customHeight="1" s="99">
      <c r="A161" s="41" t="n">
        <v>161</v>
      </c>
      <c r="B161" s="45" t="n"/>
      <c r="C161" s="46">
        <f>IF(B161="","",TEXT(B161,"MMM-YYYY"))</f>
        <v/>
      </c>
      <c r="D161" s="47" t="n"/>
      <c r="E161" s="47" t="n"/>
      <c r="F161" s="47" t="n"/>
      <c r="G161" s="47" t="n"/>
      <c r="H161" s="47" t="n"/>
      <c r="I161" s="48" t="n"/>
      <c r="J161" s="47" t="n"/>
      <c r="K161" s="49" t="n"/>
      <c r="L161" s="50">
        <f>IF(OR(I161="",K161=""),"",I161*K161)</f>
        <v/>
      </c>
      <c r="M161" s="51" t="n"/>
      <c r="N161" s="51" t="n"/>
      <c r="O161" s="50">
        <f>IF(L161="","",IF(M161="",L161,L161*(1-M161)))</f>
        <v/>
      </c>
      <c r="P161" s="47" t="n"/>
      <c r="Q161" s="47" t="n"/>
    </row>
    <row r="162" ht="15.75" customHeight="1" s="99">
      <c r="A162" s="43" t="n">
        <v>162</v>
      </c>
      <c r="B162" s="53" t="n"/>
      <c r="C162" s="54">
        <f>IF(B162="","",TEXT(B162,"MMM-YYYY"))</f>
        <v/>
      </c>
      <c r="D162" s="55" t="n"/>
      <c r="E162" s="55" t="n"/>
      <c r="F162" s="55" t="n"/>
      <c r="G162" s="55" t="n"/>
      <c r="H162" s="55" t="n"/>
      <c r="I162" s="56" t="n"/>
      <c r="J162" s="55" t="n"/>
      <c r="K162" s="57" t="n"/>
      <c r="L162" s="58">
        <f>IF(OR(I162="",K162=""),"",I162*K162)</f>
        <v/>
      </c>
      <c r="M162" s="59" t="n"/>
      <c r="N162" s="59" t="n"/>
      <c r="O162" s="58">
        <f>IF(L162="","",IF(M162="",L162,L162*(1-M162)))</f>
        <v/>
      </c>
      <c r="P162" s="55" t="n"/>
      <c r="Q162" s="55" t="n"/>
    </row>
    <row r="163" ht="15.75" customHeight="1" s="99">
      <c r="A163" s="41" t="n">
        <v>163</v>
      </c>
      <c r="B163" s="45" t="n"/>
      <c r="C163" s="46">
        <f>IF(B163="","",TEXT(B163,"MMM-YYYY"))</f>
        <v/>
      </c>
      <c r="D163" s="47" t="n"/>
      <c r="E163" s="47" t="n"/>
      <c r="F163" s="47" t="n"/>
      <c r="G163" s="47" t="n"/>
      <c r="H163" s="47" t="n"/>
      <c r="I163" s="48" t="n"/>
      <c r="J163" s="47" t="n"/>
      <c r="K163" s="49" t="n"/>
      <c r="L163" s="50">
        <f>IF(OR(I163="",K163=""),"",I163*K163)</f>
        <v/>
      </c>
      <c r="M163" s="51" t="n"/>
      <c r="N163" s="51" t="n"/>
      <c r="O163" s="50">
        <f>IF(L163="","",IF(M163="",L163,L163*(1-M163)))</f>
        <v/>
      </c>
      <c r="P163" s="47" t="n"/>
      <c r="Q163" s="47" t="n"/>
    </row>
    <row r="164" ht="15.75" customHeight="1" s="99">
      <c r="A164" s="43" t="n">
        <v>164</v>
      </c>
      <c r="B164" s="53" t="n"/>
      <c r="C164" s="54">
        <f>IF(B164="","",TEXT(B164,"MMM-YYYY"))</f>
        <v/>
      </c>
      <c r="D164" s="55" t="n"/>
      <c r="E164" s="55" t="n"/>
      <c r="F164" s="55" t="n"/>
      <c r="G164" s="55" t="n"/>
      <c r="H164" s="55" t="n"/>
      <c r="I164" s="56" t="n"/>
      <c r="J164" s="55" t="n"/>
      <c r="K164" s="57" t="n"/>
      <c r="L164" s="58">
        <f>IF(OR(I164="",K164=""),"",I164*K164)</f>
        <v/>
      </c>
      <c r="M164" s="59" t="n"/>
      <c r="N164" s="59" t="n"/>
      <c r="O164" s="58">
        <f>IF(L164="","",IF(M164="",L164,L164*(1-M164)))</f>
        <v/>
      </c>
      <c r="P164" s="55" t="n"/>
      <c r="Q164" s="55" t="n"/>
    </row>
    <row r="165" ht="15.75" customHeight="1" s="99">
      <c r="A165" s="41" t="n">
        <v>165</v>
      </c>
      <c r="B165" s="45" t="n"/>
      <c r="C165" s="46">
        <f>IF(B165="","",TEXT(B165,"MMM-YYYY"))</f>
        <v/>
      </c>
      <c r="D165" s="47" t="n"/>
      <c r="E165" s="47" t="n"/>
      <c r="F165" s="47" t="n"/>
      <c r="G165" s="47" t="n"/>
      <c r="H165" s="47" t="n"/>
      <c r="I165" s="48" t="n"/>
      <c r="J165" s="47" t="n"/>
      <c r="K165" s="49" t="n"/>
      <c r="L165" s="50">
        <f>IF(OR(I165="",K165=""),"",I165*K165)</f>
        <v/>
      </c>
      <c r="M165" s="51" t="n"/>
      <c r="N165" s="51" t="n"/>
      <c r="O165" s="50">
        <f>IF(L165="","",IF(M165="",L165,L165*(1-M165)))</f>
        <v/>
      </c>
      <c r="P165" s="47" t="n"/>
      <c r="Q165" s="47" t="n"/>
    </row>
    <row r="166" ht="15.75" customHeight="1" s="99">
      <c r="A166" s="43" t="n">
        <v>166</v>
      </c>
      <c r="B166" s="53" t="n"/>
      <c r="C166" s="54">
        <f>IF(B166="","",TEXT(B166,"MMM-YYYY"))</f>
        <v/>
      </c>
      <c r="D166" s="55" t="n"/>
      <c r="E166" s="55" t="n"/>
      <c r="F166" s="55" t="n"/>
      <c r="G166" s="55" t="n"/>
      <c r="H166" s="55" t="n"/>
      <c r="I166" s="56" t="n"/>
      <c r="J166" s="55" t="n"/>
      <c r="K166" s="57" t="n"/>
      <c r="L166" s="58">
        <f>IF(OR(I166="",K166=""),"",I166*K166)</f>
        <v/>
      </c>
      <c r="M166" s="59" t="n"/>
      <c r="N166" s="59" t="n"/>
      <c r="O166" s="58">
        <f>IF(L166="","",IF(M166="",L166,L166*(1-M166)))</f>
        <v/>
      </c>
      <c r="P166" s="55" t="n"/>
      <c r="Q166" s="55" t="n"/>
    </row>
    <row r="167" ht="15.75" customHeight="1" s="99">
      <c r="A167" s="41" t="n">
        <v>167</v>
      </c>
      <c r="B167" s="45" t="n"/>
      <c r="C167" s="46">
        <f>IF(B167="","",TEXT(B167,"MMM-YYYY"))</f>
        <v/>
      </c>
      <c r="D167" s="47" t="n"/>
      <c r="E167" s="47" t="n"/>
      <c r="F167" s="47" t="n"/>
      <c r="G167" s="47" t="n"/>
      <c r="H167" s="47" t="n"/>
      <c r="I167" s="48" t="n"/>
      <c r="J167" s="47" t="n"/>
      <c r="K167" s="49" t="n"/>
      <c r="L167" s="50">
        <f>IF(OR(I167="",K167=""),"",I167*K167)</f>
        <v/>
      </c>
      <c r="M167" s="51" t="n"/>
      <c r="N167" s="51" t="n"/>
      <c r="O167" s="50">
        <f>IF(L167="","",IF(M167="",L167,L167*(1-M167)))</f>
        <v/>
      </c>
      <c r="P167" s="47" t="n"/>
      <c r="Q167" s="47" t="n"/>
    </row>
    <row r="168" ht="15.75" customHeight="1" s="99">
      <c r="A168" s="43" t="n">
        <v>168</v>
      </c>
      <c r="B168" s="53" t="n"/>
      <c r="C168" s="54">
        <f>IF(B168="","",TEXT(B168,"MMM-YYYY"))</f>
        <v/>
      </c>
      <c r="D168" s="55" t="n"/>
      <c r="E168" s="55" t="n"/>
      <c r="F168" s="55" t="n"/>
      <c r="G168" s="55" t="n"/>
      <c r="H168" s="55" t="n"/>
      <c r="I168" s="56" t="n"/>
      <c r="J168" s="55" t="n"/>
      <c r="K168" s="57" t="n"/>
      <c r="L168" s="58">
        <f>IF(OR(I168="",K168=""),"",I168*K168)</f>
        <v/>
      </c>
      <c r="M168" s="59" t="n"/>
      <c r="N168" s="59" t="n"/>
      <c r="O168" s="58">
        <f>IF(L168="","",IF(M168="",L168,L168*(1-M168)))</f>
        <v/>
      </c>
      <c r="P168" s="55" t="n"/>
      <c r="Q168" s="55" t="n"/>
    </row>
    <row r="169" ht="15.75" customHeight="1" s="99">
      <c r="A169" s="41" t="n">
        <v>169</v>
      </c>
      <c r="B169" s="45" t="n"/>
      <c r="C169" s="46">
        <f>IF(B169="","",TEXT(B169,"MMM-YYYY"))</f>
        <v/>
      </c>
      <c r="D169" s="47" t="n"/>
      <c r="E169" s="47" t="n"/>
      <c r="F169" s="47" t="n"/>
      <c r="G169" s="47" t="n"/>
      <c r="H169" s="47" t="n"/>
      <c r="I169" s="48" t="n"/>
      <c r="J169" s="47" t="n"/>
      <c r="K169" s="49" t="n"/>
      <c r="L169" s="50">
        <f>IF(OR(I169="",K169=""),"",I169*K169)</f>
        <v/>
      </c>
      <c r="M169" s="51" t="n"/>
      <c r="N169" s="51" t="n"/>
      <c r="O169" s="50">
        <f>IF(L169="","",IF(M169="",L169,L169*(1-M169)))</f>
        <v/>
      </c>
      <c r="P169" s="47" t="n"/>
      <c r="Q169" s="47" t="n"/>
    </row>
    <row r="170" ht="15.75" customHeight="1" s="99">
      <c r="A170" s="43" t="n">
        <v>170</v>
      </c>
      <c r="B170" s="53" t="n"/>
      <c r="C170" s="54">
        <f>IF(B170="","",TEXT(B170,"MMM-YYYY"))</f>
        <v/>
      </c>
      <c r="D170" s="55" t="n"/>
      <c r="E170" s="55" t="n"/>
      <c r="F170" s="55" t="n"/>
      <c r="G170" s="55" t="n"/>
      <c r="H170" s="55" t="n"/>
      <c r="I170" s="56" t="n"/>
      <c r="J170" s="55" t="n"/>
      <c r="K170" s="57" t="n"/>
      <c r="L170" s="58">
        <f>IF(OR(I170="",K170=""),"",I170*K170)</f>
        <v/>
      </c>
      <c r="M170" s="59" t="n"/>
      <c r="N170" s="59" t="n"/>
      <c r="O170" s="58">
        <f>IF(L170="","",IF(M170="",L170,L170*(1-M170)))</f>
        <v/>
      </c>
      <c r="P170" s="55" t="n"/>
      <c r="Q170" s="55" t="n"/>
    </row>
    <row r="171" ht="15.75" customHeight="1" s="99">
      <c r="A171" s="41" t="n">
        <v>171</v>
      </c>
      <c r="B171" s="45" t="n"/>
      <c r="C171" s="46">
        <f>IF(B171="","",TEXT(B171,"MMM-YYYY"))</f>
        <v/>
      </c>
      <c r="D171" s="47" t="n"/>
      <c r="E171" s="47" t="n"/>
      <c r="F171" s="47" t="n"/>
      <c r="G171" s="47" t="n"/>
      <c r="H171" s="47" t="n"/>
      <c r="I171" s="48" t="n"/>
      <c r="J171" s="47" t="n"/>
      <c r="K171" s="49" t="n"/>
      <c r="L171" s="50">
        <f>IF(OR(I171="",K171=""),"",I171*K171)</f>
        <v/>
      </c>
      <c r="M171" s="51" t="n"/>
      <c r="N171" s="51" t="n"/>
      <c r="O171" s="50">
        <f>IF(L171="","",IF(M171="",L171,L171*(1-M171)))</f>
        <v/>
      </c>
      <c r="P171" s="47" t="n"/>
      <c r="Q171" s="47" t="n"/>
    </row>
    <row r="172" ht="15.75" customHeight="1" s="99">
      <c r="A172" s="43" t="n">
        <v>172</v>
      </c>
      <c r="B172" s="53" t="n"/>
      <c r="C172" s="54">
        <f>IF(B172="","",TEXT(B172,"MMM-YYYY"))</f>
        <v/>
      </c>
      <c r="D172" s="55" t="n"/>
      <c r="E172" s="55" t="n"/>
      <c r="F172" s="55" t="n"/>
      <c r="G172" s="55" t="n"/>
      <c r="H172" s="55" t="n"/>
      <c r="I172" s="56" t="n"/>
      <c r="J172" s="55" t="n"/>
      <c r="K172" s="57" t="n"/>
      <c r="L172" s="58">
        <f>IF(OR(I172="",K172=""),"",I172*K172)</f>
        <v/>
      </c>
      <c r="M172" s="59" t="n"/>
      <c r="N172" s="59" t="n"/>
      <c r="O172" s="58">
        <f>IF(L172="","",IF(M172="",L172,L172*(1-M172)))</f>
        <v/>
      </c>
      <c r="P172" s="55" t="n"/>
      <c r="Q172" s="55" t="n"/>
    </row>
    <row r="173" ht="15.75" customHeight="1" s="99">
      <c r="A173" s="41" t="n">
        <v>173</v>
      </c>
      <c r="B173" s="45" t="n"/>
      <c r="C173" s="46">
        <f>IF(B173="","",TEXT(B173,"MMM-YYYY"))</f>
        <v/>
      </c>
      <c r="D173" s="47" t="n"/>
      <c r="E173" s="47" t="n"/>
      <c r="F173" s="47" t="n"/>
      <c r="G173" s="47" t="n"/>
      <c r="H173" s="47" t="n"/>
      <c r="I173" s="48" t="n"/>
      <c r="J173" s="47" t="n"/>
      <c r="K173" s="49" t="n"/>
      <c r="L173" s="50">
        <f>IF(OR(I173="",K173=""),"",I173*K173)</f>
        <v/>
      </c>
      <c r="M173" s="51" t="n"/>
      <c r="N173" s="51" t="n"/>
      <c r="O173" s="50">
        <f>IF(L173="","",IF(M173="",L173,L173*(1-M173)))</f>
        <v/>
      </c>
      <c r="P173" s="47" t="n"/>
      <c r="Q173" s="47" t="n"/>
    </row>
    <row r="174" ht="15.75" customHeight="1" s="99">
      <c r="A174" s="43" t="n">
        <v>174</v>
      </c>
      <c r="B174" s="53" t="n"/>
      <c r="C174" s="54">
        <f>IF(B174="","",TEXT(B174,"MMM-YYYY"))</f>
        <v/>
      </c>
      <c r="D174" s="55" t="n"/>
      <c r="E174" s="55" t="n"/>
      <c r="F174" s="55" t="n"/>
      <c r="G174" s="55" t="n"/>
      <c r="H174" s="55" t="n"/>
      <c r="I174" s="56" t="n"/>
      <c r="J174" s="55" t="n"/>
      <c r="K174" s="57" t="n"/>
      <c r="L174" s="58">
        <f>IF(OR(I174="",K174=""),"",I174*K174)</f>
        <v/>
      </c>
      <c r="M174" s="59" t="n"/>
      <c r="N174" s="59" t="n"/>
      <c r="O174" s="58">
        <f>IF(L174="","",IF(M174="",L174,L174*(1-M174)))</f>
        <v/>
      </c>
      <c r="P174" s="55" t="n"/>
      <c r="Q174" s="55" t="n"/>
    </row>
    <row r="175" ht="15.75" customHeight="1" s="99">
      <c r="A175" s="41" t="n">
        <v>175</v>
      </c>
      <c r="B175" s="45" t="n"/>
      <c r="C175" s="46">
        <f>IF(B175="","",TEXT(B175,"MMM-YYYY"))</f>
        <v/>
      </c>
      <c r="D175" s="47" t="n"/>
      <c r="E175" s="47" t="n"/>
      <c r="F175" s="47" t="n"/>
      <c r="G175" s="47" t="n"/>
      <c r="H175" s="47" t="n"/>
      <c r="I175" s="48" t="n"/>
      <c r="J175" s="47" t="n"/>
      <c r="K175" s="49" t="n"/>
      <c r="L175" s="50">
        <f>IF(OR(I175="",K175=""),"",I175*K175)</f>
        <v/>
      </c>
      <c r="M175" s="51" t="n"/>
      <c r="N175" s="51" t="n"/>
      <c r="O175" s="50">
        <f>IF(L175="","",IF(M175="",L175,L175*(1-M175)))</f>
        <v/>
      </c>
      <c r="P175" s="47" t="n"/>
      <c r="Q175" s="47" t="n"/>
    </row>
    <row r="176" ht="15.75" customHeight="1" s="99">
      <c r="A176" s="43" t="n">
        <v>176</v>
      </c>
      <c r="B176" s="53" t="n"/>
      <c r="C176" s="54">
        <f>IF(B176="","",TEXT(B176,"MMM-YYYY"))</f>
        <v/>
      </c>
      <c r="D176" s="55" t="n"/>
      <c r="E176" s="55" t="n"/>
      <c r="F176" s="55" t="n"/>
      <c r="G176" s="55" t="n"/>
      <c r="H176" s="55" t="n"/>
      <c r="I176" s="56" t="n"/>
      <c r="J176" s="55" t="n"/>
      <c r="K176" s="57" t="n"/>
      <c r="L176" s="58">
        <f>IF(OR(I176="",K176=""),"",I176*K176)</f>
        <v/>
      </c>
      <c r="M176" s="59" t="n"/>
      <c r="N176" s="59" t="n"/>
      <c r="O176" s="58">
        <f>IF(L176="","",IF(M176="",L176,L176*(1-M176)))</f>
        <v/>
      </c>
      <c r="P176" s="55" t="n"/>
      <c r="Q176" s="55" t="n"/>
    </row>
    <row r="177" ht="15.75" customHeight="1" s="99">
      <c r="A177" s="41" t="n">
        <v>177</v>
      </c>
      <c r="B177" s="45" t="n"/>
      <c r="C177" s="46">
        <f>IF(B177="","",TEXT(B177,"MMM-YYYY"))</f>
        <v/>
      </c>
      <c r="D177" s="47" t="n"/>
      <c r="E177" s="47" t="n"/>
      <c r="F177" s="47" t="n"/>
      <c r="G177" s="47" t="n"/>
      <c r="H177" s="47" t="n"/>
      <c r="I177" s="48" t="n"/>
      <c r="J177" s="47" t="n"/>
      <c r="K177" s="49" t="n"/>
      <c r="L177" s="50">
        <f>IF(OR(I177="",K177=""),"",I177*K177)</f>
        <v/>
      </c>
      <c r="M177" s="51" t="n"/>
      <c r="N177" s="51" t="n"/>
      <c r="O177" s="50">
        <f>IF(L177="","",IF(M177="",L177,L177*(1-M177)))</f>
        <v/>
      </c>
      <c r="P177" s="47" t="n"/>
      <c r="Q177" s="47" t="n"/>
    </row>
    <row r="178" ht="15.75" customHeight="1" s="99">
      <c r="A178" s="43" t="n">
        <v>178</v>
      </c>
      <c r="B178" s="53" t="n"/>
      <c r="C178" s="54">
        <f>IF(B178="","",TEXT(B178,"MMM-YYYY"))</f>
        <v/>
      </c>
      <c r="D178" s="55" t="n"/>
      <c r="E178" s="55" t="n"/>
      <c r="F178" s="55" t="n"/>
      <c r="G178" s="55" t="n"/>
      <c r="H178" s="55" t="n"/>
      <c r="I178" s="56" t="n"/>
      <c r="J178" s="55" t="n"/>
      <c r="K178" s="57" t="n"/>
      <c r="L178" s="58">
        <f>IF(OR(I178="",K178=""),"",I178*K178)</f>
        <v/>
      </c>
      <c r="M178" s="59" t="n"/>
      <c r="N178" s="59" t="n"/>
      <c r="O178" s="58">
        <f>IF(L178="","",IF(M178="",L178,L178*(1-M178)))</f>
        <v/>
      </c>
      <c r="P178" s="55" t="n"/>
      <c r="Q178" s="55" t="n"/>
    </row>
    <row r="179" ht="15.75" customHeight="1" s="99">
      <c r="A179" s="41" t="n">
        <v>179</v>
      </c>
      <c r="B179" s="45" t="n"/>
      <c r="C179" s="46">
        <f>IF(B179="","",TEXT(B179,"MMM-YYYY"))</f>
        <v/>
      </c>
      <c r="D179" s="47" t="n"/>
      <c r="E179" s="47" t="n"/>
      <c r="F179" s="47" t="n"/>
      <c r="G179" s="47" t="n"/>
      <c r="H179" s="47" t="n"/>
      <c r="I179" s="48" t="n"/>
      <c r="J179" s="47" t="n"/>
      <c r="K179" s="49" t="n"/>
      <c r="L179" s="50">
        <f>IF(OR(I179="",K179=""),"",I179*K179)</f>
        <v/>
      </c>
      <c r="M179" s="51" t="n"/>
      <c r="N179" s="51" t="n"/>
      <c r="O179" s="50">
        <f>IF(L179="","",IF(M179="",L179,L179*(1-M179)))</f>
        <v/>
      </c>
      <c r="P179" s="47" t="n"/>
      <c r="Q179" s="47" t="n"/>
    </row>
    <row r="180" ht="15.75" customHeight="1" s="99">
      <c r="A180" s="43" t="n">
        <v>180</v>
      </c>
      <c r="B180" s="53" t="n"/>
      <c r="C180" s="54">
        <f>IF(B180="","",TEXT(B180,"MMM-YYYY"))</f>
        <v/>
      </c>
      <c r="D180" s="55" t="n"/>
      <c r="E180" s="55" t="n"/>
      <c r="F180" s="55" t="n"/>
      <c r="G180" s="55" t="n"/>
      <c r="H180" s="55" t="n"/>
      <c r="I180" s="56" t="n"/>
      <c r="J180" s="55" t="n"/>
      <c r="K180" s="57" t="n"/>
      <c r="L180" s="58">
        <f>IF(OR(I180="",K180=""),"",I180*K180)</f>
        <v/>
      </c>
      <c r="M180" s="59" t="n"/>
      <c r="N180" s="59" t="n"/>
      <c r="O180" s="58">
        <f>IF(L180="","",IF(M180="",L180,L180*(1-M180)))</f>
        <v/>
      </c>
      <c r="P180" s="55" t="n"/>
      <c r="Q180" s="55" t="n"/>
    </row>
    <row r="181" ht="15.75" customHeight="1" s="99">
      <c r="A181" s="41" t="n">
        <v>181</v>
      </c>
      <c r="B181" s="45" t="n"/>
      <c r="C181" s="46">
        <f>IF(B181="","",TEXT(B181,"MMM-YYYY"))</f>
        <v/>
      </c>
      <c r="D181" s="47" t="n"/>
      <c r="E181" s="47" t="n"/>
      <c r="F181" s="47" t="n"/>
      <c r="G181" s="47" t="n"/>
      <c r="H181" s="47" t="n"/>
      <c r="I181" s="48" t="n"/>
      <c r="J181" s="47" t="n"/>
      <c r="K181" s="49" t="n"/>
      <c r="L181" s="50">
        <f>IF(OR(I181="",K181=""),"",I181*K181)</f>
        <v/>
      </c>
      <c r="M181" s="51" t="n"/>
      <c r="N181" s="51" t="n"/>
      <c r="O181" s="50">
        <f>IF(L181="","",IF(M181="",L181,L181*(1-M181)))</f>
        <v/>
      </c>
      <c r="P181" s="47" t="n"/>
      <c r="Q181" s="47" t="n"/>
    </row>
    <row r="182" ht="15.75" customHeight="1" s="99">
      <c r="A182" s="43" t="n">
        <v>182</v>
      </c>
      <c r="B182" s="53" t="n"/>
      <c r="C182" s="54">
        <f>IF(B182="","",TEXT(B182,"MMM-YYYY"))</f>
        <v/>
      </c>
      <c r="D182" s="55" t="n"/>
      <c r="E182" s="55" t="n"/>
      <c r="F182" s="55" t="n"/>
      <c r="G182" s="55" t="n"/>
      <c r="H182" s="55" t="n"/>
      <c r="I182" s="56" t="n"/>
      <c r="J182" s="55" t="n"/>
      <c r="K182" s="57" t="n"/>
      <c r="L182" s="58">
        <f>IF(OR(I182="",K182=""),"",I182*K182)</f>
        <v/>
      </c>
      <c r="M182" s="59" t="n"/>
      <c r="N182" s="59" t="n"/>
      <c r="O182" s="58">
        <f>IF(L182="","",IF(M182="",L182,L182*(1-M182)))</f>
        <v/>
      </c>
      <c r="P182" s="55" t="n"/>
      <c r="Q182" s="55" t="n"/>
    </row>
    <row r="183" ht="15.75" customHeight="1" s="99">
      <c r="A183" s="41" t="n">
        <v>183</v>
      </c>
      <c r="B183" s="45" t="n"/>
      <c r="C183" s="46">
        <f>IF(B183="","",TEXT(B183,"MMM-YYYY"))</f>
        <v/>
      </c>
      <c r="D183" s="47" t="n"/>
      <c r="E183" s="47" t="n"/>
      <c r="F183" s="47" t="n"/>
      <c r="G183" s="47" t="n"/>
      <c r="H183" s="47" t="n"/>
      <c r="I183" s="48" t="n"/>
      <c r="J183" s="47" t="n"/>
      <c r="K183" s="49" t="n"/>
      <c r="L183" s="50">
        <f>IF(OR(I183="",K183=""),"",I183*K183)</f>
        <v/>
      </c>
      <c r="M183" s="51" t="n"/>
      <c r="N183" s="51" t="n"/>
      <c r="O183" s="50">
        <f>IF(L183="","",IF(M183="",L183,L183*(1-M183)))</f>
        <v/>
      </c>
      <c r="P183" s="47" t="n"/>
      <c r="Q183" s="47" t="n"/>
    </row>
    <row r="184" ht="15.75" customHeight="1" s="99">
      <c r="A184" s="43" t="n">
        <v>184</v>
      </c>
      <c r="B184" s="53" t="n"/>
      <c r="C184" s="54">
        <f>IF(B184="","",TEXT(B184,"MMM-YYYY"))</f>
        <v/>
      </c>
      <c r="D184" s="55" t="n"/>
      <c r="E184" s="55" t="n"/>
      <c r="F184" s="55" t="n"/>
      <c r="G184" s="55" t="n"/>
      <c r="H184" s="55" t="n"/>
      <c r="I184" s="56" t="n"/>
      <c r="J184" s="55" t="n"/>
      <c r="K184" s="57" t="n"/>
      <c r="L184" s="58">
        <f>IF(OR(I184="",K184=""),"",I184*K184)</f>
        <v/>
      </c>
      <c r="M184" s="59" t="n"/>
      <c r="N184" s="59" t="n"/>
      <c r="O184" s="58">
        <f>IF(L184="","",IF(M184="",L184,L184*(1-M184)))</f>
        <v/>
      </c>
      <c r="P184" s="55" t="n"/>
      <c r="Q184" s="55" t="n"/>
    </row>
    <row r="185" ht="15.75" customHeight="1" s="99">
      <c r="A185" s="41" t="n">
        <v>185</v>
      </c>
      <c r="B185" s="45" t="n"/>
      <c r="C185" s="46">
        <f>IF(B185="","",TEXT(B185,"MMM-YYYY"))</f>
        <v/>
      </c>
      <c r="D185" s="47" t="n"/>
      <c r="E185" s="47" t="n"/>
      <c r="F185" s="47" t="n"/>
      <c r="G185" s="47" t="n"/>
      <c r="H185" s="47" t="n"/>
      <c r="I185" s="48" t="n"/>
      <c r="J185" s="47" t="n"/>
      <c r="K185" s="49" t="n"/>
      <c r="L185" s="50">
        <f>IF(OR(I185="",K185=""),"",I185*K185)</f>
        <v/>
      </c>
      <c r="M185" s="51" t="n"/>
      <c r="N185" s="51" t="n"/>
      <c r="O185" s="50">
        <f>IF(L185="","",IF(M185="",L185,L185*(1-M185)))</f>
        <v/>
      </c>
      <c r="P185" s="47" t="n"/>
      <c r="Q185" s="47" t="n"/>
    </row>
    <row r="186" ht="15.75" customHeight="1" s="99">
      <c r="A186" s="43" t="n">
        <v>186</v>
      </c>
      <c r="B186" s="53" t="n"/>
      <c r="C186" s="54">
        <f>IF(B186="","",TEXT(B186,"MMM-YYYY"))</f>
        <v/>
      </c>
      <c r="D186" s="55" t="n"/>
      <c r="E186" s="55" t="n"/>
      <c r="F186" s="55" t="n"/>
      <c r="G186" s="55" t="n"/>
      <c r="H186" s="55" t="n"/>
      <c r="I186" s="56" t="n"/>
      <c r="J186" s="55" t="n"/>
      <c r="K186" s="57" t="n"/>
      <c r="L186" s="58">
        <f>IF(OR(I186="",K186=""),"",I186*K186)</f>
        <v/>
      </c>
      <c r="M186" s="59" t="n"/>
      <c r="N186" s="59" t="n"/>
      <c r="O186" s="58">
        <f>IF(L186="","",IF(M186="",L186,L186*(1-M186)))</f>
        <v/>
      </c>
      <c r="P186" s="55" t="n"/>
      <c r="Q186" s="55" t="n"/>
    </row>
    <row r="187" ht="15.75" customHeight="1" s="99">
      <c r="A187" s="41" t="n">
        <v>187</v>
      </c>
      <c r="B187" s="45" t="n"/>
      <c r="C187" s="46">
        <f>IF(B187="","",TEXT(B187,"MMM-YYYY"))</f>
        <v/>
      </c>
      <c r="D187" s="47" t="n"/>
      <c r="E187" s="47" t="n"/>
      <c r="F187" s="47" t="n"/>
      <c r="G187" s="47" t="n"/>
      <c r="H187" s="47" t="n"/>
      <c r="I187" s="48" t="n"/>
      <c r="J187" s="47" t="n"/>
      <c r="K187" s="49" t="n"/>
      <c r="L187" s="50">
        <f>IF(OR(I187="",K187=""),"",I187*K187)</f>
        <v/>
      </c>
      <c r="M187" s="51" t="n"/>
      <c r="N187" s="51" t="n"/>
      <c r="O187" s="50">
        <f>IF(L187="","",IF(M187="",L187,L187*(1-M187)))</f>
        <v/>
      </c>
      <c r="P187" s="47" t="n"/>
      <c r="Q187" s="47" t="n"/>
    </row>
    <row r="188" ht="15.75" customHeight="1" s="99">
      <c r="A188" s="43" t="n">
        <v>188</v>
      </c>
      <c r="B188" s="53" t="n"/>
      <c r="C188" s="54">
        <f>IF(B188="","",TEXT(B188,"MMM-YYYY"))</f>
        <v/>
      </c>
      <c r="D188" s="55" t="n"/>
      <c r="E188" s="55" t="n"/>
      <c r="F188" s="55" t="n"/>
      <c r="G188" s="55" t="n"/>
      <c r="H188" s="55" t="n"/>
      <c r="I188" s="56" t="n"/>
      <c r="J188" s="55" t="n"/>
      <c r="K188" s="57" t="n"/>
      <c r="L188" s="58">
        <f>IF(OR(I188="",K188=""),"",I188*K188)</f>
        <v/>
      </c>
      <c r="M188" s="59" t="n"/>
      <c r="N188" s="59" t="n"/>
      <c r="O188" s="58">
        <f>IF(L188="","",IF(M188="",L188,L188*(1-M188)))</f>
        <v/>
      </c>
      <c r="P188" s="55" t="n"/>
      <c r="Q188" s="55" t="n"/>
    </row>
    <row r="189" ht="15.75" customHeight="1" s="99">
      <c r="A189" s="41" t="n">
        <v>189</v>
      </c>
      <c r="B189" s="45" t="n"/>
      <c r="C189" s="46">
        <f>IF(B189="","",TEXT(B189,"MMM-YYYY"))</f>
        <v/>
      </c>
      <c r="D189" s="47" t="n"/>
      <c r="E189" s="47" t="n"/>
      <c r="F189" s="47" t="n"/>
      <c r="G189" s="47" t="n"/>
      <c r="H189" s="47" t="n"/>
      <c r="I189" s="48" t="n"/>
      <c r="J189" s="47" t="n"/>
      <c r="K189" s="49" t="n"/>
      <c r="L189" s="50">
        <f>IF(OR(I189="",K189=""),"",I189*K189)</f>
        <v/>
      </c>
      <c r="M189" s="51" t="n"/>
      <c r="N189" s="51" t="n"/>
      <c r="O189" s="50">
        <f>IF(L189="","",IF(M189="",L189,L189*(1-M189)))</f>
        <v/>
      </c>
      <c r="P189" s="47" t="n"/>
      <c r="Q189" s="47" t="n"/>
    </row>
    <row r="190" ht="15.75" customHeight="1" s="99">
      <c r="A190" s="43" t="n">
        <v>190</v>
      </c>
      <c r="B190" s="53" t="n"/>
      <c r="C190" s="54">
        <f>IF(B190="","",TEXT(B190,"MMM-YYYY"))</f>
        <v/>
      </c>
      <c r="D190" s="55" t="n"/>
      <c r="E190" s="55" t="n"/>
      <c r="F190" s="55" t="n"/>
      <c r="G190" s="55" t="n"/>
      <c r="H190" s="55" t="n"/>
      <c r="I190" s="56" t="n"/>
      <c r="J190" s="55" t="n"/>
      <c r="K190" s="57" t="n"/>
      <c r="L190" s="58">
        <f>IF(OR(I190="",K190=""),"",I190*K190)</f>
        <v/>
      </c>
      <c r="M190" s="59" t="n"/>
      <c r="N190" s="59" t="n"/>
      <c r="O190" s="58">
        <f>IF(L190="","",IF(M190="",L190,L190*(1-M190)))</f>
        <v/>
      </c>
      <c r="P190" s="55" t="n"/>
      <c r="Q190" s="55" t="n"/>
    </row>
    <row r="191" ht="15.75" customHeight="1" s="99">
      <c r="A191" s="41" t="n">
        <v>191</v>
      </c>
      <c r="B191" s="45" t="n"/>
      <c r="C191" s="46">
        <f>IF(B191="","",TEXT(B191,"MMM-YYYY"))</f>
        <v/>
      </c>
      <c r="D191" s="47" t="n"/>
      <c r="E191" s="47" t="n"/>
      <c r="F191" s="47" t="n"/>
      <c r="G191" s="47" t="n"/>
      <c r="H191" s="47" t="n"/>
      <c r="I191" s="48" t="n"/>
      <c r="J191" s="47" t="n"/>
      <c r="K191" s="49" t="n"/>
      <c r="L191" s="50">
        <f>IF(OR(I191="",K191=""),"",I191*K191)</f>
        <v/>
      </c>
      <c r="M191" s="51" t="n"/>
      <c r="N191" s="51" t="n"/>
      <c r="O191" s="50">
        <f>IF(L191="","",IF(M191="",L191,L191*(1-M191)))</f>
        <v/>
      </c>
      <c r="P191" s="47" t="n"/>
      <c r="Q191" s="47" t="n"/>
    </row>
    <row r="192" ht="15.75" customHeight="1" s="99">
      <c r="A192" s="43" t="n">
        <v>192</v>
      </c>
      <c r="B192" s="53" t="n"/>
      <c r="C192" s="54">
        <f>IF(B192="","",TEXT(B192,"MMM-YYYY"))</f>
        <v/>
      </c>
      <c r="D192" s="55" t="n"/>
      <c r="E192" s="55" t="n"/>
      <c r="F192" s="55" t="n"/>
      <c r="G192" s="55" t="n"/>
      <c r="H192" s="55" t="n"/>
      <c r="I192" s="56" t="n"/>
      <c r="J192" s="55" t="n"/>
      <c r="K192" s="57" t="n"/>
      <c r="L192" s="58">
        <f>IF(OR(I192="",K192=""),"",I192*K192)</f>
        <v/>
      </c>
      <c r="M192" s="59" t="n"/>
      <c r="N192" s="59" t="n"/>
      <c r="O192" s="58">
        <f>IF(L192="","",IF(M192="",L192,L192*(1-M192)))</f>
        <v/>
      </c>
      <c r="P192" s="55" t="n"/>
      <c r="Q192" s="55" t="n"/>
    </row>
    <row r="193" ht="15.75" customHeight="1" s="99">
      <c r="A193" s="41" t="n">
        <v>193</v>
      </c>
      <c r="B193" s="45" t="n"/>
      <c r="C193" s="46">
        <f>IF(B193="","",TEXT(B193,"MMM-YYYY"))</f>
        <v/>
      </c>
      <c r="D193" s="47" t="n"/>
      <c r="E193" s="47" t="n"/>
      <c r="F193" s="47" t="n"/>
      <c r="G193" s="47" t="n"/>
      <c r="H193" s="47" t="n"/>
      <c r="I193" s="48" t="n"/>
      <c r="J193" s="47" t="n"/>
      <c r="K193" s="49" t="n"/>
      <c r="L193" s="50">
        <f>IF(OR(I193="",K193=""),"",I193*K193)</f>
        <v/>
      </c>
      <c r="M193" s="51" t="n"/>
      <c r="N193" s="51" t="n"/>
      <c r="O193" s="50">
        <f>IF(L193="","",IF(M193="",L193,L193*(1-M193)))</f>
        <v/>
      </c>
      <c r="P193" s="47" t="n"/>
      <c r="Q193" s="47" t="n"/>
    </row>
    <row r="194" ht="15.75" customHeight="1" s="99">
      <c r="A194" s="43" t="n">
        <v>194</v>
      </c>
      <c r="B194" s="53" t="n"/>
      <c r="C194" s="54">
        <f>IF(B194="","",TEXT(B194,"MMM-YYYY"))</f>
        <v/>
      </c>
      <c r="D194" s="55" t="n"/>
      <c r="E194" s="55" t="n"/>
      <c r="F194" s="55" t="n"/>
      <c r="G194" s="55" t="n"/>
      <c r="H194" s="55" t="n"/>
      <c r="I194" s="56" t="n"/>
      <c r="J194" s="55" t="n"/>
      <c r="K194" s="57" t="n"/>
      <c r="L194" s="58">
        <f>IF(OR(I194="",K194=""),"",I194*K194)</f>
        <v/>
      </c>
      <c r="M194" s="59" t="n"/>
      <c r="N194" s="59" t="n"/>
      <c r="O194" s="58">
        <f>IF(L194="","",IF(M194="",L194,L194*(1-M194)))</f>
        <v/>
      </c>
      <c r="P194" s="55" t="n"/>
      <c r="Q194" s="55" t="n"/>
    </row>
    <row r="195" ht="15.75" customHeight="1" s="99">
      <c r="A195" s="41" t="n">
        <v>195</v>
      </c>
      <c r="B195" s="45" t="n"/>
      <c r="C195" s="46">
        <f>IF(B195="","",TEXT(B195,"MMM-YYYY"))</f>
        <v/>
      </c>
      <c r="D195" s="47" t="n"/>
      <c r="E195" s="47" t="n"/>
      <c r="F195" s="47" t="n"/>
      <c r="G195" s="47" t="n"/>
      <c r="H195" s="47" t="n"/>
      <c r="I195" s="48" t="n"/>
      <c r="J195" s="47" t="n"/>
      <c r="K195" s="49" t="n"/>
      <c r="L195" s="50">
        <f>IF(OR(I195="",K195=""),"",I195*K195)</f>
        <v/>
      </c>
      <c r="M195" s="51" t="n"/>
      <c r="N195" s="51" t="n"/>
      <c r="O195" s="50">
        <f>IF(L195="","",IF(M195="",L195,L195*(1-M195)))</f>
        <v/>
      </c>
      <c r="P195" s="47" t="n"/>
      <c r="Q195" s="47" t="n"/>
    </row>
    <row r="196" ht="15.75" customHeight="1" s="99">
      <c r="A196" s="43" t="n">
        <v>196</v>
      </c>
      <c r="B196" s="53" t="n"/>
      <c r="C196" s="54">
        <f>IF(B196="","",TEXT(B196,"MMM-YYYY"))</f>
        <v/>
      </c>
      <c r="D196" s="55" t="n"/>
      <c r="E196" s="55" t="n"/>
      <c r="F196" s="55" t="n"/>
      <c r="G196" s="55" t="n"/>
      <c r="H196" s="55" t="n"/>
      <c r="I196" s="56" t="n"/>
      <c r="J196" s="55" t="n"/>
      <c r="K196" s="57" t="n"/>
      <c r="L196" s="58">
        <f>IF(OR(I196="",K196=""),"",I196*K196)</f>
        <v/>
      </c>
      <c r="M196" s="59" t="n"/>
      <c r="N196" s="59" t="n"/>
      <c r="O196" s="58">
        <f>IF(L196="","",IF(M196="",L196,L196*(1-M196)))</f>
        <v/>
      </c>
      <c r="P196" s="55" t="n"/>
      <c r="Q196" s="55" t="n"/>
    </row>
    <row r="197" ht="15.75" customHeight="1" s="99">
      <c r="A197" s="41" t="n">
        <v>197</v>
      </c>
      <c r="B197" s="45" t="n"/>
      <c r="C197" s="46">
        <f>IF(B197="","",TEXT(B197,"MMM-YYYY"))</f>
        <v/>
      </c>
      <c r="D197" s="47" t="n"/>
      <c r="E197" s="47" t="n"/>
      <c r="F197" s="47" t="n"/>
      <c r="G197" s="47" t="n"/>
      <c r="H197" s="47" t="n"/>
      <c r="I197" s="48" t="n"/>
      <c r="J197" s="47" t="n"/>
      <c r="K197" s="49" t="n"/>
      <c r="L197" s="50">
        <f>IF(OR(I197="",K197=""),"",I197*K197)</f>
        <v/>
      </c>
      <c r="M197" s="51" t="n"/>
      <c r="N197" s="51" t="n"/>
      <c r="O197" s="50">
        <f>IF(L197="","",IF(M197="",L197,L197*(1-M197)))</f>
        <v/>
      </c>
      <c r="P197" s="47" t="n"/>
      <c r="Q197" s="47" t="n"/>
    </row>
    <row r="198" ht="15.75" customHeight="1" s="99">
      <c r="A198" s="43" t="n">
        <v>198</v>
      </c>
      <c r="B198" s="53" t="n"/>
      <c r="C198" s="54">
        <f>IF(B198="","",TEXT(B198,"MMM-YYYY"))</f>
        <v/>
      </c>
      <c r="D198" s="55" t="n"/>
      <c r="E198" s="55" t="n"/>
      <c r="F198" s="55" t="n"/>
      <c r="G198" s="55" t="n"/>
      <c r="H198" s="55" t="n"/>
      <c r="I198" s="56" t="n"/>
      <c r="J198" s="55" t="n"/>
      <c r="K198" s="57" t="n"/>
      <c r="L198" s="58">
        <f>IF(OR(I198="",K198=""),"",I198*K198)</f>
        <v/>
      </c>
      <c r="M198" s="59" t="n"/>
      <c r="N198" s="59" t="n"/>
      <c r="O198" s="58">
        <f>IF(L198="","",IF(M198="",L198,L198*(1-M198)))</f>
        <v/>
      </c>
      <c r="P198" s="55" t="n"/>
      <c r="Q198" s="55" t="n"/>
    </row>
    <row r="199" ht="15.75" customHeight="1" s="99">
      <c r="A199" s="41" t="n">
        <v>199</v>
      </c>
      <c r="B199" s="45" t="n"/>
      <c r="C199" s="46">
        <f>IF(B199="","",TEXT(B199,"MMM-YYYY"))</f>
        <v/>
      </c>
      <c r="D199" s="47" t="n"/>
      <c r="E199" s="47" t="n"/>
      <c r="F199" s="47" t="n"/>
      <c r="G199" s="47" t="n"/>
      <c r="H199" s="47" t="n"/>
      <c r="I199" s="48" t="n"/>
      <c r="J199" s="47" t="n"/>
      <c r="K199" s="49" t="n"/>
      <c r="L199" s="50">
        <f>IF(OR(I199="",K199=""),"",I199*K199)</f>
        <v/>
      </c>
      <c r="M199" s="51" t="n"/>
      <c r="N199" s="51" t="n"/>
      <c r="O199" s="50">
        <f>IF(L199="","",IF(M199="",L199,L199*(1-M199)))</f>
        <v/>
      </c>
      <c r="P199" s="47" t="n"/>
      <c r="Q199" s="47" t="n"/>
    </row>
    <row r="200" ht="15.75" customHeight="1" s="99">
      <c r="A200" s="43" t="n">
        <v>200</v>
      </c>
      <c r="B200" s="53" t="n"/>
      <c r="C200" s="54">
        <f>IF(B200="","",TEXT(B200,"MMM-YYYY"))</f>
        <v/>
      </c>
      <c r="D200" s="55" t="n"/>
      <c r="E200" s="55" t="n"/>
      <c r="F200" s="55" t="n"/>
      <c r="G200" s="55" t="n"/>
      <c r="H200" s="55" t="n"/>
      <c r="I200" s="56" t="n"/>
      <c r="J200" s="55" t="n"/>
      <c r="K200" s="57" t="n"/>
      <c r="L200" s="58">
        <f>IF(OR(I200="",K200=""),"",I200*K200)</f>
        <v/>
      </c>
      <c r="M200" s="59" t="n"/>
      <c r="N200" s="59" t="n"/>
      <c r="O200" s="58">
        <f>IF(L200="","",IF(M200="",L200,L200*(1-M200)))</f>
        <v/>
      </c>
      <c r="P200" s="55" t="n"/>
      <c r="Q200" s="55" t="n"/>
    </row>
    <row r="201" ht="15.75" customHeight="1" s="99">
      <c r="A201" s="41" t="n">
        <v>201</v>
      </c>
      <c r="B201" s="45" t="n"/>
      <c r="C201" s="46">
        <f>IF(B201="","",TEXT(B201,"MMM-YYYY"))</f>
        <v/>
      </c>
      <c r="D201" s="47" t="n"/>
      <c r="E201" s="47" t="n"/>
      <c r="F201" s="47" t="n"/>
      <c r="G201" s="47" t="n"/>
      <c r="H201" s="47" t="n"/>
      <c r="I201" s="48" t="n"/>
      <c r="J201" s="47" t="n"/>
      <c r="K201" s="49" t="n"/>
      <c r="L201" s="50">
        <f>IF(OR(I201="",K201=""),"",I201*K201)</f>
        <v/>
      </c>
      <c r="M201" s="51" t="n"/>
      <c r="N201" s="51" t="n"/>
      <c r="O201" s="50">
        <f>IF(L201="","",IF(M201="",L201,L201*(1-M201)))</f>
        <v/>
      </c>
      <c r="P201" s="47" t="n"/>
      <c r="Q201" s="47" t="n"/>
    </row>
    <row r="202" ht="15.75" customHeight="1" s="99">
      <c r="A202" s="43" t="n">
        <v>202</v>
      </c>
      <c r="B202" s="53" t="n"/>
      <c r="C202" s="54">
        <f>IF(B202="","",TEXT(B202,"MMM-YYYY"))</f>
        <v/>
      </c>
      <c r="D202" s="55" t="n"/>
      <c r="E202" s="55" t="n"/>
      <c r="F202" s="55" t="n"/>
      <c r="G202" s="55" t="n"/>
      <c r="H202" s="55" t="n"/>
      <c r="I202" s="56" t="n"/>
      <c r="J202" s="55" t="n"/>
      <c r="K202" s="57" t="n"/>
      <c r="L202" s="58">
        <f>IF(OR(I202="",K202=""),"",I202*K202)</f>
        <v/>
      </c>
      <c r="M202" s="59" t="n"/>
      <c r="N202" s="59" t="n"/>
      <c r="O202" s="58">
        <f>IF(L202="","",IF(M202="",L202,L202*(1-M202)))</f>
        <v/>
      </c>
      <c r="P202" s="55" t="n"/>
      <c r="Q202" s="55" t="n"/>
    </row>
    <row r="203" ht="15.75" customHeight="1" s="99">
      <c r="A203" s="41" t="n">
        <v>203</v>
      </c>
      <c r="B203" s="45" t="n"/>
      <c r="C203" s="46">
        <f>IF(B203="","",TEXT(B203,"MMM-YYYY"))</f>
        <v/>
      </c>
      <c r="D203" s="47" t="n"/>
      <c r="E203" s="47" t="n"/>
      <c r="F203" s="47" t="n"/>
      <c r="G203" s="47" t="n"/>
      <c r="H203" s="47" t="n"/>
      <c r="I203" s="48" t="n"/>
      <c r="J203" s="47" t="n"/>
      <c r="K203" s="49" t="n"/>
      <c r="L203" s="50">
        <f>IF(OR(I203="",K203=""),"",I203*K203)</f>
        <v/>
      </c>
      <c r="M203" s="51" t="n"/>
      <c r="N203" s="51" t="n"/>
      <c r="O203" s="50">
        <f>IF(L203="","",IF(M203="",L203,L203*(1-M203)))</f>
        <v/>
      </c>
      <c r="P203" s="47" t="n"/>
      <c r="Q203" s="47" t="n"/>
    </row>
    <row r="204" ht="15.75" customHeight="1" s="99">
      <c r="A204" s="43" t="n">
        <v>204</v>
      </c>
      <c r="B204" s="53" t="n"/>
      <c r="C204" s="54">
        <f>IF(B204="","",TEXT(B204,"MMM-YYYY"))</f>
        <v/>
      </c>
      <c r="D204" s="55" t="n"/>
      <c r="E204" s="55" t="n"/>
      <c r="F204" s="55" t="n"/>
      <c r="G204" s="55" t="n"/>
      <c r="H204" s="55" t="n"/>
      <c r="I204" s="56" t="n"/>
      <c r="J204" s="55" t="n"/>
      <c r="K204" s="57" t="n"/>
      <c r="L204" s="58">
        <f>IF(OR(I204="",K204=""),"",I204*K204)</f>
        <v/>
      </c>
      <c r="M204" s="59" t="n"/>
      <c r="N204" s="59" t="n"/>
      <c r="O204" s="58">
        <f>IF(L204="","",IF(M204="",L204,L204*(1-M204)))</f>
        <v/>
      </c>
      <c r="P204" s="55" t="n"/>
      <c r="Q204" s="55" t="n"/>
    </row>
    <row r="205" ht="15.75" customHeight="1" s="99">
      <c r="A205" s="41" t="n">
        <v>205</v>
      </c>
      <c r="B205" s="45" t="n"/>
      <c r="C205" s="46">
        <f>IF(B205="","",TEXT(B205,"MMM-YYYY"))</f>
        <v/>
      </c>
      <c r="D205" s="47" t="n"/>
      <c r="E205" s="47" t="n"/>
      <c r="F205" s="47" t="n"/>
      <c r="G205" s="47" t="n"/>
      <c r="H205" s="47" t="n"/>
      <c r="I205" s="48" t="n"/>
      <c r="J205" s="47" t="n"/>
      <c r="K205" s="49" t="n"/>
      <c r="L205" s="50">
        <f>IF(OR(I205="",K205=""),"",I205*K205)</f>
        <v/>
      </c>
      <c r="M205" s="51" t="n"/>
      <c r="N205" s="51" t="n"/>
      <c r="O205" s="50">
        <f>IF(L205="","",IF(M205="",L205,L205*(1-M205)))</f>
        <v/>
      </c>
      <c r="P205" s="47" t="n"/>
      <c r="Q205" s="47" t="n"/>
    </row>
    <row r="206" ht="15.75" customHeight="1" s="99">
      <c r="A206" s="43" t="n">
        <v>206</v>
      </c>
      <c r="B206" s="53" t="n"/>
      <c r="C206" s="54">
        <f>IF(B206="","",TEXT(B206,"MMM-YYYY"))</f>
        <v/>
      </c>
      <c r="D206" s="55" t="n"/>
      <c r="E206" s="55" t="n"/>
      <c r="F206" s="55" t="n"/>
      <c r="G206" s="55" t="n"/>
      <c r="H206" s="55" t="n"/>
      <c r="I206" s="56" t="n"/>
      <c r="J206" s="55" t="n"/>
      <c r="K206" s="57" t="n"/>
      <c r="L206" s="58">
        <f>IF(OR(I206="",K206=""),"",I206*K206)</f>
        <v/>
      </c>
      <c r="M206" s="59" t="n"/>
      <c r="N206" s="59" t="n"/>
      <c r="O206" s="58">
        <f>IF(L206="","",IF(M206="",L206,L206*(1-M206)))</f>
        <v/>
      </c>
      <c r="P206" s="55" t="n"/>
      <c r="Q206" s="55" t="n"/>
    </row>
    <row r="207" ht="15.75" customHeight="1" s="99">
      <c r="A207" s="41" t="n">
        <v>207</v>
      </c>
      <c r="B207" s="45" t="n"/>
      <c r="C207" s="46">
        <f>IF(B207="","",TEXT(B207,"MMM-YYYY"))</f>
        <v/>
      </c>
      <c r="D207" s="47" t="n"/>
      <c r="E207" s="47" t="n"/>
      <c r="F207" s="47" t="n"/>
      <c r="G207" s="47" t="n"/>
      <c r="H207" s="47" t="n"/>
      <c r="I207" s="48" t="n"/>
      <c r="J207" s="47" t="n"/>
      <c r="K207" s="49" t="n"/>
      <c r="L207" s="50">
        <f>IF(OR(I207="",K207=""),"",I207*K207)</f>
        <v/>
      </c>
      <c r="M207" s="51" t="n"/>
      <c r="N207" s="51" t="n"/>
      <c r="O207" s="50">
        <f>IF(L207="","",IF(M207="",L207,L207*(1-M207)))</f>
        <v/>
      </c>
      <c r="P207" s="47" t="n"/>
      <c r="Q207" s="47" t="n"/>
    </row>
    <row r="208" ht="15.75" customHeight="1" s="99">
      <c r="A208" s="43" t="n">
        <v>208</v>
      </c>
      <c r="B208" s="53" t="n"/>
      <c r="C208" s="54">
        <f>IF(B208="","",TEXT(B208,"MMM-YYYY"))</f>
        <v/>
      </c>
      <c r="D208" s="55" t="n"/>
      <c r="E208" s="55" t="n"/>
      <c r="F208" s="55" t="n"/>
      <c r="G208" s="55" t="n"/>
      <c r="H208" s="55" t="n"/>
      <c r="I208" s="56" t="n"/>
      <c r="J208" s="55" t="n"/>
      <c r="K208" s="57" t="n"/>
      <c r="L208" s="58">
        <f>IF(OR(I208="",K208=""),"",I208*K208)</f>
        <v/>
      </c>
      <c r="M208" s="59" t="n"/>
      <c r="N208" s="59" t="n"/>
      <c r="O208" s="58">
        <f>IF(L208="","",IF(M208="",L208,L208*(1-M208)))</f>
        <v/>
      </c>
      <c r="P208" s="55" t="n"/>
      <c r="Q208" s="55" t="n"/>
    </row>
    <row r="209" ht="15.75" customHeight="1" s="99">
      <c r="A209" s="41" t="n">
        <v>209</v>
      </c>
      <c r="B209" s="45" t="n"/>
      <c r="C209" s="46">
        <f>IF(B209="","",TEXT(B209,"MMM-YYYY"))</f>
        <v/>
      </c>
      <c r="D209" s="47" t="n"/>
      <c r="E209" s="47" t="n"/>
      <c r="F209" s="47" t="n"/>
      <c r="G209" s="47" t="n"/>
      <c r="H209" s="47" t="n"/>
      <c r="I209" s="48" t="n"/>
      <c r="J209" s="47" t="n"/>
      <c r="K209" s="49" t="n"/>
      <c r="L209" s="50">
        <f>IF(OR(I209="",K209=""),"",I209*K209)</f>
        <v/>
      </c>
      <c r="M209" s="51" t="n"/>
      <c r="N209" s="51" t="n"/>
      <c r="O209" s="50">
        <f>IF(L209="","",IF(M209="",L209,L209*(1-M209)))</f>
        <v/>
      </c>
      <c r="P209" s="47" t="n"/>
      <c r="Q209" s="47" t="n"/>
    </row>
    <row r="210" ht="15.75" customHeight="1" s="99">
      <c r="A210" s="43" t="n">
        <v>210</v>
      </c>
      <c r="B210" s="53" t="n"/>
      <c r="C210" s="54">
        <f>IF(B210="","",TEXT(B210,"MMM-YYYY"))</f>
        <v/>
      </c>
      <c r="D210" s="55" t="n"/>
      <c r="E210" s="55" t="n"/>
      <c r="F210" s="55" t="n"/>
      <c r="G210" s="55" t="n"/>
      <c r="H210" s="55" t="n"/>
      <c r="I210" s="56" t="n"/>
      <c r="J210" s="55" t="n"/>
      <c r="K210" s="57" t="n"/>
      <c r="L210" s="58">
        <f>IF(OR(I210="",K210=""),"",I210*K210)</f>
        <v/>
      </c>
      <c r="M210" s="59" t="n"/>
      <c r="N210" s="59" t="n"/>
      <c r="O210" s="58">
        <f>IF(L210="","",IF(M210="",L210,L210*(1-M210)))</f>
        <v/>
      </c>
      <c r="P210" s="55" t="n"/>
      <c r="Q210" s="55" t="n"/>
    </row>
    <row r="211" ht="15.75" customHeight="1" s="99">
      <c r="A211" s="41" t="n">
        <v>211</v>
      </c>
      <c r="B211" s="45" t="n"/>
      <c r="C211" s="46">
        <f>IF(B211="","",TEXT(B211,"MMM-YYYY"))</f>
        <v/>
      </c>
      <c r="D211" s="47" t="n"/>
      <c r="E211" s="47" t="n"/>
      <c r="F211" s="47" t="n"/>
      <c r="G211" s="47" t="n"/>
      <c r="H211" s="47" t="n"/>
      <c r="I211" s="48" t="n"/>
      <c r="J211" s="47" t="n"/>
      <c r="K211" s="49" t="n"/>
      <c r="L211" s="50">
        <f>IF(OR(I211="",K211=""),"",I211*K211)</f>
        <v/>
      </c>
      <c r="M211" s="51" t="n"/>
      <c r="N211" s="51" t="n"/>
      <c r="O211" s="50">
        <f>IF(L211="","",IF(M211="",L211,L211*(1-M211)))</f>
        <v/>
      </c>
      <c r="P211" s="47" t="n"/>
      <c r="Q211" s="47" t="n"/>
    </row>
    <row r="212" ht="15.75" customHeight="1" s="99">
      <c r="A212" s="43" t="n">
        <v>212</v>
      </c>
      <c r="B212" s="53" t="n"/>
      <c r="C212" s="54">
        <f>IF(B212="","",TEXT(B212,"MMM-YYYY"))</f>
        <v/>
      </c>
      <c r="D212" s="55" t="n"/>
      <c r="E212" s="55" t="n"/>
      <c r="F212" s="55" t="n"/>
      <c r="G212" s="55" t="n"/>
      <c r="H212" s="55" t="n"/>
      <c r="I212" s="56" t="n"/>
      <c r="J212" s="55" t="n"/>
      <c r="K212" s="57" t="n"/>
      <c r="L212" s="58">
        <f>IF(OR(I212="",K212=""),"",I212*K212)</f>
        <v/>
      </c>
      <c r="M212" s="59" t="n"/>
      <c r="N212" s="59" t="n"/>
      <c r="O212" s="58">
        <f>IF(L212="","",IF(M212="",L212,L212*(1-M212)))</f>
        <v/>
      </c>
      <c r="P212" s="55" t="n"/>
      <c r="Q212" s="55" t="n"/>
    </row>
    <row r="213" ht="15.75" customHeight="1" s="99">
      <c r="A213" s="41" t="n">
        <v>213</v>
      </c>
      <c r="B213" s="45" t="n"/>
      <c r="C213" s="46">
        <f>IF(B213="","",TEXT(B213,"MMM-YYYY"))</f>
        <v/>
      </c>
      <c r="D213" s="47" t="n"/>
      <c r="E213" s="47" t="n"/>
      <c r="F213" s="47" t="n"/>
      <c r="G213" s="47" t="n"/>
      <c r="H213" s="47" t="n"/>
      <c r="I213" s="48" t="n"/>
      <c r="J213" s="47" t="n"/>
      <c r="K213" s="49" t="n"/>
      <c r="L213" s="50">
        <f>IF(OR(I213="",K213=""),"",I213*K213)</f>
        <v/>
      </c>
      <c r="M213" s="51" t="n"/>
      <c r="N213" s="51" t="n"/>
      <c r="O213" s="50">
        <f>IF(L213="","",IF(M213="",L213,L213*(1-M213)))</f>
        <v/>
      </c>
      <c r="P213" s="47" t="n"/>
      <c r="Q213" s="47" t="n"/>
    </row>
    <row r="214" ht="15.75" customHeight="1" s="99">
      <c r="A214" s="43" t="n">
        <v>214</v>
      </c>
      <c r="B214" s="53" t="n"/>
      <c r="C214" s="54">
        <f>IF(B214="","",TEXT(B214,"MMM-YYYY"))</f>
        <v/>
      </c>
      <c r="D214" s="55" t="n"/>
      <c r="E214" s="55" t="n"/>
      <c r="F214" s="55" t="n"/>
      <c r="G214" s="55" t="n"/>
      <c r="H214" s="55" t="n"/>
      <c r="I214" s="56" t="n"/>
      <c r="J214" s="55" t="n"/>
      <c r="K214" s="57" t="n"/>
      <c r="L214" s="58">
        <f>IF(OR(I214="",K214=""),"",I214*K214)</f>
        <v/>
      </c>
      <c r="M214" s="59" t="n"/>
      <c r="N214" s="59" t="n"/>
      <c r="O214" s="58">
        <f>IF(L214="","",IF(M214="",L214,L214*(1-M214)))</f>
        <v/>
      </c>
      <c r="P214" s="55" t="n"/>
      <c r="Q214" s="55" t="n"/>
    </row>
    <row r="215" ht="15.75" customHeight="1" s="99">
      <c r="A215" s="41" t="n">
        <v>215</v>
      </c>
      <c r="B215" s="45" t="n"/>
      <c r="C215" s="46">
        <f>IF(B215="","",TEXT(B215,"MMM-YYYY"))</f>
        <v/>
      </c>
      <c r="D215" s="47" t="n"/>
      <c r="E215" s="47" t="n"/>
      <c r="F215" s="47" t="n"/>
      <c r="G215" s="47" t="n"/>
      <c r="H215" s="47" t="n"/>
      <c r="I215" s="48" t="n"/>
      <c r="J215" s="47" t="n"/>
      <c r="K215" s="49" t="n"/>
      <c r="L215" s="50">
        <f>IF(OR(I215="",K215=""),"",I215*K215)</f>
        <v/>
      </c>
      <c r="M215" s="51" t="n"/>
      <c r="N215" s="51" t="n"/>
      <c r="O215" s="50">
        <f>IF(L215="","",IF(M215="",L215,L215*(1-M215)))</f>
        <v/>
      </c>
      <c r="P215" s="47" t="n"/>
      <c r="Q215" s="47" t="n"/>
    </row>
    <row r="216" ht="15.75" customHeight="1" s="99">
      <c r="A216" s="43" t="n">
        <v>216</v>
      </c>
      <c r="B216" s="53" t="n"/>
      <c r="C216" s="54">
        <f>IF(B216="","",TEXT(B216,"MMM-YYYY"))</f>
        <v/>
      </c>
      <c r="D216" s="55" t="n"/>
      <c r="E216" s="55" t="n"/>
      <c r="F216" s="55" t="n"/>
      <c r="G216" s="55" t="n"/>
      <c r="H216" s="55" t="n"/>
      <c r="I216" s="56" t="n"/>
      <c r="J216" s="55" t="n"/>
      <c r="K216" s="57" t="n"/>
      <c r="L216" s="58">
        <f>IF(OR(I216="",K216=""),"",I216*K216)</f>
        <v/>
      </c>
      <c r="M216" s="59" t="n"/>
      <c r="N216" s="59" t="n"/>
      <c r="O216" s="58">
        <f>IF(L216="","",IF(M216="",L216,L216*(1-M216)))</f>
        <v/>
      </c>
      <c r="P216" s="55" t="n"/>
      <c r="Q216" s="55" t="n"/>
    </row>
    <row r="217" ht="15.75" customHeight="1" s="99">
      <c r="A217" s="41" t="n">
        <v>217</v>
      </c>
      <c r="B217" s="45" t="n"/>
      <c r="C217" s="46">
        <f>IF(B217="","",TEXT(B217,"MMM-YYYY"))</f>
        <v/>
      </c>
      <c r="D217" s="47" t="n"/>
      <c r="E217" s="47" t="n"/>
      <c r="F217" s="47" t="n"/>
      <c r="G217" s="47" t="n"/>
      <c r="H217" s="47" t="n"/>
      <c r="I217" s="48" t="n"/>
      <c r="J217" s="47" t="n"/>
      <c r="K217" s="49" t="n"/>
      <c r="L217" s="50">
        <f>IF(OR(I217="",K217=""),"",I217*K217)</f>
        <v/>
      </c>
      <c r="M217" s="51" t="n"/>
      <c r="N217" s="51" t="n"/>
      <c r="O217" s="50">
        <f>IF(L217="","",IF(M217="",L217,L217*(1-M217)))</f>
        <v/>
      </c>
      <c r="P217" s="47" t="n"/>
      <c r="Q217" s="47" t="n"/>
    </row>
    <row r="218" ht="15.75" customHeight="1" s="99">
      <c r="A218" s="43" t="n">
        <v>218</v>
      </c>
      <c r="B218" s="53" t="n"/>
      <c r="C218" s="54">
        <f>IF(B218="","",TEXT(B218,"MMM-YYYY"))</f>
        <v/>
      </c>
      <c r="D218" s="55" t="n"/>
      <c r="E218" s="55" t="n"/>
      <c r="F218" s="55" t="n"/>
      <c r="G218" s="55" t="n"/>
      <c r="H218" s="55" t="n"/>
      <c r="I218" s="56" t="n"/>
      <c r="J218" s="55" t="n"/>
      <c r="K218" s="57" t="n"/>
      <c r="L218" s="58">
        <f>IF(OR(I218="",K218=""),"",I218*K218)</f>
        <v/>
      </c>
      <c r="M218" s="59" t="n"/>
      <c r="N218" s="59" t="n"/>
      <c r="O218" s="58">
        <f>IF(L218="","",IF(M218="",L218,L218*(1-M218)))</f>
        <v/>
      </c>
      <c r="P218" s="55" t="n"/>
      <c r="Q218" s="55" t="n"/>
    </row>
    <row r="219" ht="15.75" customHeight="1" s="99">
      <c r="A219" s="41" t="n">
        <v>219</v>
      </c>
      <c r="B219" s="45" t="n"/>
      <c r="C219" s="46">
        <f>IF(B219="","",TEXT(B219,"MMM-YYYY"))</f>
        <v/>
      </c>
      <c r="D219" s="47" t="n"/>
      <c r="E219" s="47" t="n"/>
      <c r="F219" s="47" t="n"/>
      <c r="G219" s="47" t="n"/>
      <c r="H219" s="47" t="n"/>
      <c r="I219" s="48" t="n"/>
      <c r="J219" s="47" t="n"/>
      <c r="K219" s="49" t="n"/>
      <c r="L219" s="50">
        <f>IF(OR(I219="",K219=""),"",I219*K219)</f>
        <v/>
      </c>
      <c r="M219" s="51" t="n"/>
      <c r="N219" s="51" t="n"/>
      <c r="O219" s="50">
        <f>IF(L219="","",IF(M219="",L219,L219*(1-M219)))</f>
        <v/>
      </c>
      <c r="P219" s="47" t="n"/>
      <c r="Q219" s="47" t="n"/>
    </row>
    <row r="220" ht="15.75" customHeight="1" s="99">
      <c r="A220" s="43" t="n">
        <v>220</v>
      </c>
      <c r="B220" s="53" t="n"/>
      <c r="C220" s="54">
        <f>IF(B220="","",TEXT(B220,"MMM-YYYY"))</f>
        <v/>
      </c>
      <c r="D220" s="55" t="n"/>
      <c r="E220" s="55" t="n"/>
      <c r="F220" s="55" t="n"/>
      <c r="G220" s="55" t="n"/>
      <c r="H220" s="55" t="n"/>
      <c r="I220" s="56" t="n"/>
      <c r="J220" s="55" t="n"/>
      <c r="K220" s="57" t="n"/>
      <c r="L220" s="58">
        <f>IF(OR(I220="",K220=""),"",I220*K220)</f>
        <v/>
      </c>
      <c r="M220" s="59" t="n"/>
      <c r="N220" s="59" t="n"/>
      <c r="O220" s="58">
        <f>IF(L220="","",IF(M220="",L220,L220*(1-M220)))</f>
        <v/>
      </c>
      <c r="P220" s="55" t="n"/>
      <c r="Q220" s="55" t="n"/>
    </row>
    <row r="221" ht="15.75" customHeight="1" s="99">
      <c r="A221" s="41" t="n">
        <v>221</v>
      </c>
      <c r="B221" s="45" t="n"/>
      <c r="C221" s="46">
        <f>IF(B221="","",TEXT(B221,"MMM-YYYY"))</f>
        <v/>
      </c>
      <c r="D221" s="47" t="n"/>
      <c r="E221" s="47" t="n"/>
      <c r="F221" s="47" t="n"/>
      <c r="G221" s="47" t="n"/>
      <c r="H221" s="47" t="n"/>
      <c r="I221" s="48" t="n"/>
      <c r="J221" s="47" t="n"/>
      <c r="K221" s="49" t="n"/>
      <c r="L221" s="50">
        <f>IF(OR(I221="",K221=""),"",I221*K221)</f>
        <v/>
      </c>
      <c r="M221" s="51" t="n"/>
      <c r="N221" s="51" t="n"/>
      <c r="O221" s="50">
        <f>IF(L221="","",IF(M221="",L221,L221*(1-M221)))</f>
        <v/>
      </c>
      <c r="P221" s="47" t="n"/>
      <c r="Q221" s="47" t="n"/>
    </row>
    <row r="222" ht="15.75" customHeight="1" s="99">
      <c r="A222" s="43" t="n">
        <v>222</v>
      </c>
      <c r="B222" s="53" t="n"/>
      <c r="C222" s="54">
        <f>IF(B222="","",TEXT(B222,"MMM-YYYY"))</f>
        <v/>
      </c>
      <c r="D222" s="55" t="n"/>
      <c r="E222" s="55" t="n"/>
      <c r="F222" s="55" t="n"/>
      <c r="G222" s="55" t="n"/>
      <c r="H222" s="55" t="n"/>
      <c r="I222" s="56" t="n"/>
      <c r="J222" s="55" t="n"/>
      <c r="K222" s="57" t="n"/>
      <c r="L222" s="58">
        <f>IF(OR(I222="",K222=""),"",I222*K222)</f>
        <v/>
      </c>
      <c r="M222" s="59" t="n"/>
      <c r="N222" s="59" t="n"/>
      <c r="O222" s="58">
        <f>IF(L222="","",IF(M222="",L222,L222*(1-M222)))</f>
        <v/>
      </c>
      <c r="P222" s="55" t="n"/>
      <c r="Q222" s="55" t="n"/>
    </row>
    <row r="223" ht="15.75" customHeight="1" s="99">
      <c r="A223" s="41" t="n">
        <v>223</v>
      </c>
      <c r="B223" s="45" t="n"/>
      <c r="C223" s="46">
        <f>IF(B223="","",TEXT(B223,"MMM-YYYY"))</f>
        <v/>
      </c>
      <c r="D223" s="47" t="n"/>
      <c r="E223" s="47" t="n"/>
      <c r="F223" s="47" t="n"/>
      <c r="G223" s="47" t="n"/>
      <c r="H223" s="47" t="n"/>
      <c r="I223" s="48" t="n"/>
      <c r="J223" s="47" t="n"/>
      <c r="K223" s="49" t="n"/>
      <c r="L223" s="50">
        <f>IF(OR(I223="",K223=""),"",I223*K223)</f>
        <v/>
      </c>
      <c r="M223" s="51" t="n"/>
      <c r="N223" s="51" t="n"/>
      <c r="O223" s="50">
        <f>IF(L223="","",IF(M223="",L223,L223*(1-M223)))</f>
        <v/>
      </c>
      <c r="P223" s="47" t="n"/>
      <c r="Q223" s="47" t="n"/>
    </row>
    <row r="224" ht="15.75" customHeight="1" s="99">
      <c r="A224" s="43" t="n">
        <v>224</v>
      </c>
      <c r="B224" s="53" t="n"/>
      <c r="C224" s="54">
        <f>IF(B224="","",TEXT(B224,"MMM-YYYY"))</f>
        <v/>
      </c>
      <c r="D224" s="55" t="n"/>
      <c r="E224" s="55" t="n"/>
      <c r="F224" s="55" t="n"/>
      <c r="G224" s="55" t="n"/>
      <c r="H224" s="55" t="n"/>
      <c r="I224" s="56" t="n"/>
      <c r="J224" s="55" t="n"/>
      <c r="K224" s="57" t="n"/>
      <c r="L224" s="58">
        <f>IF(OR(I224="",K224=""),"",I224*K224)</f>
        <v/>
      </c>
      <c r="M224" s="59" t="n"/>
      <c r="N224" s="59" t="n"/>
      <c r="O224" s="58">
        <f>IF(L224="","",IF(M224="",L224,L224*(1-M224)))</f>
        <v/>
      </c>
      <c r="P224" s="55" t="n"/>
      <c r="Q224" s="55" t="n"/>
    </row>
    <row r="225" ht="15.75" customHeight="1" s="99">
      <c r="A225" s="41" t="n">
        <v>225</v>
      </c>
      <c r="B225" s="45" t="n"/>
      <c r="C225" s="46">
        <f>IF(B225="","",TEXT(B225,"MMM-YYYY"))</f>
        <v/>
      </c>
      <c r="D225" s="47" t="n"/>
      <c r="E225" s="47" t="n"/>
      <c r="F225" s="47" t="n"/>
      <c r="G225" s="47" t="n"/>
      <c r="H225" s="47" t="n"/>
      <c r="I225" s="48" t="n"/>
      <c r="J225" s="47" t="n"/>
      <c r="K225" s="49" t="n"/>
      <c r="L225" s="50">
        <f>IF(OR(I225="",K225=""),"",I225*K225)</f>
        <v/>
      </c>
      <c r="M225" s="51" t="n"/>
      <c r="N225" s="51" t="n"/>
      <c r="O225" s="50">
        <f>IF(L225="","",IF(M225="",L225,L225*(1-M225)))</f>
        <v/>
      </c>
      <c r="P225" s="47" t="n"/>
      <c r="Q225" s="47" t="n"/>
    </row>
    <row r="226" ht="15.75" customHeight="1" s="99">
      <c r="A226" s="43" t="n">
        <v>226</v>
      </c>
      <c r="B226" s="53" t="n"/>
      <c r="C226" s="54">
        <f>IF(B226="","",TEXT(B226,"MMM-YYYY"))</f>
        <v/>
      </c>
      <c r="D226" s="55" t="n"/>
      <c r="E226" s="55" t="n"/>
      <c r="F226" s="55" t="n"/>
      <c r="G226" s="55" t="n"/>
      <c r="H226" s="55" t="n"/>
      <c r="I226" s="56" t="n"/>
      <c r="J226" s="55" t="n"/>
      <c r="K226" s="57" t="n"/>
      <c r="L226" s="58">
        <f>IF(OR(I226="",K226=""),"",I226*K226)</f>
        <v/>
      </c>
      <c r="M226" s="59" t="n"/>
      <c r="N226" s="59" t="n"/>
      <c r="O226" s="58">
        <f>IF(L226="","",IF(M226="",L226,L226*(1-M226)))</f>
        <v/>
      </c>
      <c r="P226" s="55" t="n"/>
      <c r="Q226" s="55" t="n"/>
    </row>
    <row r="227" ht="15.75" customHeight="1" s="99">
      <c r="A227" s="41" t="n">
        <v>227</v>
      </c>
      <c r="B227" s="45" t="n"/>
      <c r="C227" s="46">
        <f>IF(B227="","",TEXT(B227,"MMM-YYYY"))</f>
        <v/>
      </c>
      <c r="D227" s="47" t="n"/>
      <c r="E227" s="47" t="n"/>
      <c r="F227" s="47" t="n"/>
      <c r="G227" s="47" t="n"/>
      <c r="H227" s="47" t="n"/>
      <c r="I227" s="48" t="n"/>
      <c r="J227" s="47" t="n"/>
      <c r="K227" s="49" t="n"/>
      <c r="L227" s="50">
        <f>IF(OR(I227="",K227=""),"",I227*K227)</f>
        <v/>
      </c>
      <c r="M227" s="51" t="n"/>
      <c r="N227" s="51" t="n"/>
      <c r="O227" s="50">
        <f>IF(L227="","",IF(M227="",L227,L227*(1-M227)))</f>
        <v/>
      </c>
      <c r="P227" s="47" t="n"/>
      <c r="Q227" s="47" t="n"/>
    </row>
    <row r="228" ht="15.75" customHeight="1" s="99">
      <c r="A228" s="43" t="n">
        <v>228</v>
      </c>
      <c r="B228" s="53" t="n"/>
      <c r="C228" s="54">
        <f>IF(B228="","",TEXT(B228,"MMM-YYYY"))</f>
        <v/>
      </c>
      <c r="D228" s="55" t="n"/>
      <c r="E228" s="55" t="n"/>
      <c r="F228" s="55" t="n"/>
      <c r="G228" s="55" t="n"/>
      <c r="H228" s="55" t="n"/>
      <c r="I228" s="56" t="n"/>
      <c r="J228" s="55" t="n"/>
      <c r="K228" s="57" t="n"/>
      <c r="L228" s="58">
        <f>IF(OR(I228="",K228=""),"",I228*K228)</f>
        <v/>
      </c>
      <c r="M228" s="59" t="n"/>
      <c r="N228" s="59" t="n"/>
      <c r="O228" s="58">
        <f>IF(L228="","",IF(M228="",L228,L228*(1-M228)))</f>
        <v/>
      </c>
      <c r="P228" s="55" t="n"/>
      <c r="Q228" s="55" t="n"/>
    </row>
    <row r="229" ht="15.75" customHeight="1" s="99">
      <c r="A229" s="41" t="n">
        <v>229</v>
      </c>
      <c r="B229" s="45" t="n"/>
      <c r="C229" s="46">
        <f>IF(B229="","",TEXT(B229,"MMM-YYYY"))</f>
        <v/>
      </c>
      <c r="D229" s="47" t="n"/>
      <c r="E229" s="47" t="n"/>
      <c r="F229" s="47" t="n"/>
      <c r="G229" s="47" t="n"/>
      <c r="H229" s="47" t="n"/>
      <c r="I229" s="48" t="n"/>
      <c r="J229" s="47" t="n"/>
      <c r="K229" s="49" t="n"/>
      <c r="L229" s="50">
        <f>IF(OR(I229="",K229=""),"",I229*K229)</f>
        <v/>
      </c>
      <c r="M229" s="51" t="n"/>
      <c r="N229" s="51" t="n"/>
      <c r="O229" s="50">
        <f>IF(L229="","",IF(M229="",L229,L229*(1-M229)))</f>
        <v/>
      </c>
      <c r="P229" s="47" t="n"/>
      <c r="Q229" s="47" t="n"/>
    </row>
    <row r="230" ht="15.75" customHeight="1" s="99">
      <c r="A230" s="43" t="n">
        <v>230</v>
      </c>
      <c r="B230" s="53" t="n"/>
      <c r="C230" s="54">
        <f>IF(B230="","",TEXT(B230,"MMM-YYYY"))</f>
        <v/>
      </c>
      <c r="D230" s="55" t="n"/>
      <c r="E230" s="55" t="n"/>
      <c r="F230" s="55" t="n"/>
      <c r="G230" s="55" t="n"/>
      <c r="H230" s="55" t="n"/>
      <c r="I230" s="56" t="n"/>
      <c r="J230" s="55" t="n"/>
      <c r="K230" s="57" t="n"/>
      <c r="L230" s="58">
        <f>IF(OR(I230="",K230=""),"",I230*K230)</f>
        <v/>
      </c>
      <c r="M230" s="59" t="n"/>
      <c r="N230" s="59" t="n"/>
      <c r="O230" s="58">
        <f>IF(L230="","",IF(M230="",L230,L230*(1-M230)))</f>
        <v/>
      </c>
      <c r="P230" s="55" t="n"/>
      <c r="Q230" s="55" t="n"/>
    </row>
    <row r="231" ht="15.75" customHeight="1" s="99">
      <c r="A231" s="41" t="n">
        <v>231</v>
      </c>
      <c r="B231" s="45" t="n"/>
      <c r="C231" s="46">
        <f>IF(B231="","",TEXT(B231,"MMM-YYYY"))</f>
        <v/>
      </c>
      <c r="D231" s="47" t="n"/>
      <c r="E231" s="47" t="n"/>
      <c r="F231" s="47" t="n"/>
      <c r="G231" s="47" t="n"/>
      <c r="H231" s="47" t="n"/>
      <c r="I231" s="48" t="n"/>
      <c r="J231" s="47" t="n"/>
      <c r="K231" s="49" t="n"/>
      <c r="L231" s="50">
        <f>IF(OR(I231="",K231=""),"",I231*K231)</f>
        <v/>
      </c>
      <c r="M231" s="51" t="n"/>
      <c r="N231" s="51" t="n"/>
      <c r="O231" s="50">
        <f>IF(L231="","",IF(M231="",L231,L231*(1-M231)))</f>
        <v/>
      </c>
      <c r="P231" s="47" t="n"/>
      <c r="Q231" s="47" t="n"/>
    </row>
    <row r="232" ht="15.75" customHeight="1" s="99">
      <c r="A232" s="43" t="n">
        <v>232</v>
      </c>
      <c r="B232" s="53" t="n"/>
      <c r="C232" s="54">
        <f>IF(B232="","",TEXT(B232,"MMM-YYYY"))</f>
        <v/>
      </c>
      <c r="D232" s="55" t="n"/>
      <c r="E232" s="55" t="n"/>
      <c r="F232" s="55" t="n"/>
      <c r="G232" s="55" t="n"/>
      <c r="H232" s="55" t="n"/>
      <c r="I232" s="56" t="n"/>
      <c r="J232" s="55" t="n"/>
      <c r="K232" s="57" t="n"/>
      <c r="L232" s="58">
        <f>IF(OR(I232="",K232=""),"",I232*K232)</f>
        <v/>
      </c>
      <c r="M232" s="59" t="n"/>
      <c r="N232" s="59" t="n"/>
      <c r="O232" s="58">
        <f>IF(L232="","",IF(M232="",L232,L232*(1-M232)))</f>
        <v/>
      </c>
      <c r="P232" s="55" t="n"/>
      <c r="Q232" s="55" t="n"/>
    </row>
    <row r="233" ht="15.75" customHeight="1" s="99">
      <c r="A233" s="41" t="n">
        <v>233</v>
      </c>
      <c r="B233" s="45" t="n"/>
      <c r="C233" s="46">
        <f>IF(B233="","",TEXT(B233,"MMM-YYYY"))</f>
        <v/>
      </c>
      <c r="D233" s="47" t="n"/>
      <c r="E233" s="47" t="n"/>
      <c r="F233" s="47" t="n"/>
      <c r="G233" s="47" t="n"/>
      <c r="H233" s="47" t="n"/>
      <c r="I233" s="48" t="n"/>
      <c r="J233" s="47" t="n"/>
      <c r="K233" s="49" t="n"/>
      <c r="L233" s="50">
        <f>IF(OR(I233="",K233=""),"",I233*K233)</f>
        <v/>
      </c>
      <c r="M233" s="51" t="n"/>
      <c r="N233" s="51" t="n"/>
      <c r="O233" s="50">
        <f>IF(L233="","",IF(M233="",L233,L233*(1-M233)))</f>
        <v/>
      </c>
      <c r="P233" s="47" t="n"/>
      <c r="Q233" s="47" t="n"/>
    </row>
    <row r="234" ht="15.75" customHeight="1" s="99">
      <c r="A234" s="43" t="n">
        <v>234</v>
      </c>
      <c r="B234" s="53" t="n"/>
      <c r="C234" s="54">
        <f>IF(B234="","",TEXT(B234,"MMM-YYYY"))</f>
        <v/>
      </c>
      <c r="D234" s="55" t="n"/>
      <c r="E234" s="55" t="n"/>
      <c r="F234" s="55" t="n"/>
      <c r="G234" s="55" t="n"/>
      <c r="H234" s="55" t="n"/>
      <c r="I234" s="56" t="n"/>
      <c r="J234" s="55" t="n"/>
      <c r="K234" s="57" t="n"/>
      <c r="L234" s="58">
        <f>IF(OR(I234="",K234=""),"",I234*K234)</f>
        <v/>
      </c>
      <c r="M234" s="59" t="n"/>
      <c r="N234" s="59" t="n"/>
      <c r="O234" s="58">
        <f>IF(L234="","",IF(M234="",L234,L234*(1-M234)))</f>
        <v/>
      </c>
      <c r="P234" s="55" t="n"/>
      <c r="Q234" s="55" t="n"/>
    </row>
    <row r="235" ht="15.75" customHeight="1" s="99">
      <c r="A235" s="41" t="n">
        <v>235</v>
      </c>
      <c r="B235" s="45" t="n"/>
      <c r="C235" s="46">
        <f>IF(B235="","",TEXT(B235,"MMM-YYYY"))</f>
        <v/>
      </c>
      <c r="D235" s="47" t="n"/>
      <c r="E235" s="47" t="n"/>
      <c r="F235" s="47" t="n"/>
      <c r="G235" s="47" t="n"/>
      <c r="H235" s="47" t="n"/>
      <c r="I235" s="48" t="n"/>
      <c r="J235" s="47" t="n"/>
      <c r="K235" s="49" t="n"/>
      <c r="L235" s="50">
        <f>IF(OR(I235="",K235=""),"",I235*K235)</f>
        <v/>
      </c>
      <c r="M235" s="51" t="n"/>
      <c r="N235" s="51" t="n"/>
      <c r="O235" s="50">
        <f>IF(L235="","",IF(M235="",L235,L235*(1-M235)))</f>
        <v/>
      </c>
      <c r="P235" s="47" t="n"/>
      <c r="Q235" s="47" t="n"/>
    </row>
    <row r="236" ht="15.75" customHeight="1" s="99">
      <c r="A236" s="43" t="n">
        <v>236</v>
      </c>
      <c r="B236" s="53" t="n"/>
      <c r="C236" s="54">
        <f>IF(B236="","",TEXT(B236,"MMM-YYYY"))</f>
        <v/>
      </c>
      <c r="D236" s="55" t="n"/>
      <c r="E236" s="55" t="n"/>
      <c r="F236" s="55" t="n"/>
      <c r="G236" s="55" t="n"/>
      <c r="H236" s="55" t="n"/>
      <c r="I236" s="56" t="n"/>
      <c r="J236" s="55" t="n"/>
      <c r="K236" s="57" t="n"/>
      <c r="L236" s="58">
        <f>IF(OR(I236="",K236=""),"",I236*K236)</f>
        <v/>
      </c>
      <c r="M236" s="59" t="n"/>
      <c r="N236" s="59" t="n"/>
      <c r="O236" s="58">
        <f>IF(L236="","",IF(M236="",L236,L236*(1-M236)))</f>
        <v/>
      </c>
      <c r="P236" s="55" t="n"/>
      <c r="Q236" s="55" t="n"/>
    </row>
    <row r="237" ht="15.75" customHeight="1" s="99">
      <c r="A237" s="41" t="n">
        <v>237</v>
      </c>
      <c r="B237" s="45" t="n"/>
      <c r="C237" s="46">
        <f>IF(B237="","",TEXT(B237,"MMM-YYYY"))</f>
        <v/>
      </c>
      <c r="D237" s="47" t="n"/>
      <c r="E237" s="47" t="n"/>
      <c r="F237" s="47" t="n"/>
      <c r="G237" s="47" t="n"/>
      <c r="H237" s="47" t="n"/>
      <c r="I237" s="48" t="n"/>
      <c r="J237" s="47" t="n"/>
      <c r="K237" s="49" t="n"/>
      <c r="L237" s="50">
        <f>IF(OR(I237="",K237=""),"",I237*K237)</f>
        <v/>
      </c>
      <c r="M237" s="51" t="n"/>
      <c r="N237" s="51" t="n"/>
      <c r="O237" s="50">
        <f>IF(L237="","",IF(M237="",L237,L237*(1-M237)))</f>
        <v/>
      </c>
      <c r="P237" s="47" t="n"/>
      <c r="Q237" s="47" t="n"/>
    </row>
    <row r="238" ht="15.75" customHeight="1" s="99">
      <c r="A238" s="43" t="n">
        <v>238</v>
      </c>
      <c r="B238" s="53" t="n"/>
      <c r="C238" s="54">
        <f>IF(B238="","",TEXT(B238,"MMM-YYYY"))</f>
        <v/>
      </c>
      <c r="D238" s="55" t="n"/>
      <c r="E238" s="55" t="n"/>
      <c r="F238" s="55" t="n"/>
      <c r="G238" s="55" t="n"/>
      <c r="H238" s="55" t="n"/>
      <c r="I238" s="56" t="n"/>
      <c r="J238" s="55" t="n"/>
      <c r="K238" s="57" t="n"/>
      <c r="L238" s="58">
        <f>IF(OR(I238="",K238=""),"",I238*K238)</f>
        <v/>
      </c>
      <c r="M238" s="59" t="n"/>
      <c r="N238" s="59" t="n"/>
      <c r="O238" s="58">
        <f>IF(L238="","",IF(M238="",L238,L238*(1-M238)))</f>
        <v/>
      </c>
      <c r="P238" s="55" t="n"/>
      <c r="Q238" s="55" t="n"/>
    </row>
    <row r="239" ht="15.75" customHeight="1" s="99">
      <c r="A239" s="41" t="n">
        <v>239</v>
      </c>
      <c r="B239" s="45" t="n"/>
      <c r="C239" s="46">
        <f>IF(B239="","",TEXT(B239,"MMM-YYYY"))</f>
        <v/>
      </c>
      <c r="D239" s="47" t="n"/>
      <c r="E239" s="47" t="n"/>
      <c r="F239" s="47" t="n"/>
      <c r="G239" s="47" t="n"/>
      <c r="H239" s="47" t="n"/>
      <c r="I239" s="48" t="n"/>
      <c r="J239" s="47" t="n"/>
      <c r="K239" s="49" t="n"/>
      <c r="L239" s="50">
        <f>IF(OR(I239="",K239=""),"",I239*K239)</f>
        <v/>
      </c>
      <c r="M239" s="51" t="n"/>
      <c r="N239" s="51" t="n"/>
      <c r="O239" s="50">
        <f>IF(L239="","",IF(M239="",L239,L239*(1-M239)))</f>
        <v/>
      </c>
      <c r="P239" s="47" t="n"/>
      <c r="Q239" s="47" t="n"/>
    </row>
    <row r="240" ht="15.75" customHeight="1" s="99">
      <c r="A240" s="43" t="n">
        <v>240</v>
      </c>
      <c r="B240" s="53" t="n"/>
      <c r="C240" s="54">
        <f>IF(B240="","",TEXT(B240,"MMM-YYYY"))</f>
        <v/>
      </c>
      <c r="D240" s="55" t="n"/>
      <c r="E240" s="55" t="n"/>
      <c r="F240" s="55" t="n"/>
      <c r="G240" s="55" t="n"/>
      <c r="H240" s="55" t="n"/>
      <c r="I240" s="56" t="n"/>
      <c r="J240" s="55" t="n"/>
      <c r="K240" s="57" t="n"/>
      <c r="L240" s="58">
        <f>IF(OR(I240="",K240=""),"",I240*K240)</f>
        <v/>
      </c>
      <c r="M240" s="59" t="n"/>
      <c r="N240" s="59" t="n"/>
      <c r="O240" s="58">
        <f>IF(L240="","",IF(M240="",L240,L240*(1-M240)))</f>
        <v/>
      </c>
      <c r="P240" s="55" t="n"/>
      <c r="Q240" s="55" t="n"/>
    </row>
    <row r="241" ht="15.75" customHeight="1" s="99">
      <c r="A241" s="41" t="n">
        <v>241</v>
      </c>
      <c r="B241" s="45" t="n"/>
      <c r="C241" s="46">
        <f>IF(B241="","",TEXT(B241,"MMM-YYYY"))</f>
        <v/>
      </c>
      <c r="D241" s="47" t="n"/>
      <c r="E241" s="47" t="n"/>
      <c r="F241" s="47" t="n"/>
      <c r="G241" s="47" t="n"/>
      <c r="H241" s="47" t="n"/>
      <c r="I241" s="48" t="n"/>
      <c r="J241" s="47" t="n"/>
      <c r="K241" s="49" t="n"/>
      <c r="L241" s="50">
        <f>IF(OR(I241="",K241=""),"",I241*K241)</f>
        <v/>
      </c>
      <c r="M241" s="51" t="n"/>
      <c r="N241" s="51" t="n"/>
      <c r="O241" s="50">
        <f>IF(L241="","",IF(M241="",L241,L241*(1-M241)))</f>
        <v/>
      </c>
      <c r="P241" s="47" t="n"/>
      <c r="Q241" s="47" t="n"/>
    </row>
    <row r="242" ht="15.75" customHeight="1" s="99">
      <c r="A242" s="43" t="n">
        <v>242</v>
      </c>
      <c r="B242" s="53" t="n"/>
      <c r="C242" s="54">
        <f>IF(B242="","",TEXT(B242,"MMM-YYYY"))</f>
        <v/>
      </c>
      <c r="D242" s="55" t="n"/>
      <c r="E242" s="55" t="n"/>
      <c r="F242" s="55" t="n"/>
      <c r="G242" s="55" t="n"/>
      <c r="H242" s="55" t="n"/>
      <c r="I242" s="56" t="n"/>
      <c r="J242" s="55" t="n"/>
      <c r="K242" s="57" t="n"/>
      <c r="L242" s="58">
        <f>IF(OR(I242="",K242=""),"",I242*K242)</f>
        <v/>
      </c>
      <c r="M242" s="59" t="n"/>
      <c r="N242" s="59" t="n"/>
      <c r="O242" s="58">
        <f>IF(L242="","",IF(M242="",L242,L242*(1-M242)))</f>
        <v/>
      </c>
      <c r="P242" s="55" t="n"/>
      <c r="Q242" s="55" t="n"/>
    </row>
    <row r="243" ht="15.75" customHeight="1" s="99">
      <c r="A243" s="41" t="n">
        <v>243</v>
      </c>
      <c r="B243" s="45" t="n"/>
      <c r="C243" s="46">
        <f>IF(B243="","",TEXT(B243,"MMM-YYYY"))</f>
        <v/>
      </c>
      <c r="D243" s="47" t="n"/>
      <c r="E243" s="47" t="n"/>
      <c r="F243" s="47" t="n"/>
      <c r="G243" s="47" t="n"/>
      <c r="H243" s="47" t="n"/>
      <c r="I243" s="48" t="n"/>
      <c r="J243" s="47" t="n"/>
      <c r="K243" s="49" t="n"/>
      <c r="L243" s="50">
        <f>IF(OR(I243="",K243=""),"",I243*K243)</f>
        <v/>
      </c>
      <c r="M243" s="51" t="n"/>
      <c r="N243" s="51" t="n"/>
      <c r="O243" s="50">
        <f>IF(L243="","",IF(M243="",L243,L243*(1-M243)))</f>
        <v/>
      </c>
      <c r="P243" s="47" t="n"/>
      <c r="Q243" s="47" t="n"/>
    </row>
    <row r="244" ht="15.75" customHeight="1" s="99">
      <c r="A244" s="43" t="n">
        <v>244</v>
      </c>
      <c r="B244" s="53" t="n"/>
      <c r="C244" s="54">
        <f>IF(B244="","",TEXT(B244,"MMM-YYYY"))</f>
        <v/>
      </c>
      <c r="D244" s="55" t="n"/>
      <c r="E244" s="55" t="n"/>
      <c r="F244" s="55" t="n"/>
      <c r="G244" s="55" t="n"/>
      <c r="H244" s="55" t="n"/>
      <c r="I244" s="56" t="n"/>
      <c r="J244" s="55" t="n"/>
      <c r="K244" s="57" t="n"/>
      <c r="L244" s="58">
        <f>IF(OR(I244="",K244=""),"",I244*K244)</f>
        <v/>
      </c>
      <c r="M244" s="59" t="n"/>
      <c r="N244" s="59" t="n"/>
      <c r="O244" s="58">
        <f>IF(L244="","",IF(M244="",L244,L244*(1-M244)))</f>
        <v/>
      </c>
      <c r="P244" s="55" t="n"/>
      <c r="Q244" s="55" t="n"/>
    </row>
    <row r="245" ht="15.75" customHeight="1" s="99">
      <c r="A245" s="41" t="n">
        <v>245</v>
      </c>
      <c r="B245" s="45" t="n"/>
      <c r="C245" s="46">
        <f>IF(B245="","",TEXT(B245,"MMM-YYYY"))</f>
        <v/>
      </c>
      <c r="D245" s="47" t="n"/>
      <c r="E245" s="47" t="n"/>
      <c r="F245" s="47" t="n"/>
      <c r="G245" s="47" t="n"/>
      <c r="H245" s="47" t="n"/>
      <c r="I245" s="48" t="n"/>
      <c r="J245" s="47" t="n"/>
      <c r="K245" s="49" t="n"/>
      <c r="L245" s="50">
        <f>IF(OR(I245="",K245=""),"",I245*K245)</f>
        <v/>
      </c>
      <c r="M245" s="51" t="n"/>
      <c r="N245" s="51" t="n"/>
      <c r="O245" s="50">
        <f>IF(L245="","",IF(M245="",L245,L245*(1-M245)))</f>
        <v/>
      </c>
      <c r="P245" s="47" t="n"/>
      <c r="Q245" s="47" t="n"/>
    </row>
    <row r="246" ht="15.75" customHeight="1" s="99">
      <c r="A246" s="43" t="n">
        <v>246</v>
      </c>
      <c r="B246" s="53" t="n"/>
      <c r="C246" s="54">
        <f>IF(B246="","",TEXT(B246,"MMM-YYYY"))</f>
        <v/>
      </c>
      <c r="D246" s="55" t="n"/>
      <c r="E246" s="55" t="n"/>
      <c r="F246" s="55" t="n"/>
      <c r="G246" s="55" t="n"/>
      <c r="H246" s="55" t="n"/>
      <c r="I246" s="56" t="n"/>
      <c r="J246" s="55" t="n"/>
      <c r="K246" s="57" t="n"/>
      <c r="L246" s="58">
        <f>IF(OR(I246="",K246=""),"",I246*K246)</f>
        <v/>
      </c>
      <c r="M246" s="59" t="n"/>
      <c r="N246" s="59" t="n"/>
      <c r="O246" s="58">
        <f>IF(L246="","",IF(M246="",L246,L246*(1-M246)))</f>
        <v/>
      </c>
      <c r="P246" s="55" t="n"/>
      <c r="Q246" s="55" t="n"/>
    </row>
    <row r="247" ht="15.75" customHeight="1" s="99">
      <c r="A247" s="41" t="n">
        <v>247</v>
      </c>
      <c r="B247" s="45" t="n"/>
      <c r="C247" s="46">
        <f>IF(B247="","",TEXT(B247,"MMM-YYYY"))</f>
        <v/>
      </c>
      <c r="D247" s="47" t="n"/>
      <c r="E247" s="47" t="n"/>
      <c r="F247" s="47" t="n"/>
      <c r="G247" s="47" t="n"/>
      <c r="H247" s="47" t="n"/>
      <c r="I247" s="48" t="n"/>
      <c r="J247" s="47" t="n"/>
      <c r="K247" s="49" t="n"/>
      <c r="L247" s="50">
        <f>IF(OR(I247="",K247=""),"",I247*K247)</f>
        <v/>
      </c>
      <c r="M247" s="51" t="n"/>
      <c r="N247" s="51" t="n"/>
      <c r="O247" s="50">
        <f>IF(L247="","",IF(M247="",L247,L247*(1-M247)))</f>
        <v/>
      </c>
      <c r="P247" s="47" t="n"/>
      <c r="Q247" s="47" t="n"/>
    </row>
    <row r="248" ht="15.75" customHeight="1" s="99">
      <c r="A248" s="43" t="n">
        <v>248</v>
      </c>
      <c r="B248" s="53" t="n"/>
      <c r="C248" s="54">
        <f>IF(B248="","",TEXT(B248,"MMM-YYYY"))</f>
        <v/>
      </c>
      <c r="D248" s="55" t="n"/>
      <c r="E248" s="55" t="n"/>
      <c r="F248" s="55" t="n"/>
      <c r="G248" s="55" t="n"/>
      <c r="H248" s="55" t="n"/>
      <c r="I248" s="56" t="n"/>
      <c r="J248" s="55" t="n"/>
      <c r="K248" s="57" t="n"/>
      <c r="L248" s="58">
        <f>IF(OR(I248="",K248=""),"",I248*K248)</f>
        <v/>
      </c>
      <c r="M248" s="59" t="n"/>
      <c r="N248" s="59" t="n"/>
      <c r="O248" s="58">
        <f>IF(L248="","",IF(M248="",L248,L248*(1-M248)))</f>
        <v/>
      </c>
      <c r="P248" s="55" t="n"/>
      <c r="Q248" s="55" t="n"/>
    </row>
    <row r="249" ht="15.75" customHeight="1" s="99">
      <c r="A249" s="41" t="n">
        <v>249</v>
      </c>
      <c r="B249" s="45" t="n"/>
      <c r="C249" s="46">
        <f>IF(B249="","",TEXT(B249,"MMM-YYYY"))</f>
        <v/>
      </c>
      <c r="D249" s="47" t="n"/>
      <c r="E249" s="47" t="n"/>
      <c r="F249" s="47" t="n"/>
      <c r="G249" s="47" t="n"/>
      <c r="H249" s="47" t="n"/>
      <c r="I249" s="48" t="n"/>
      <c r="J249" s="47" t="n"/>
      <c r="K249" s="49" t="n"/>
      <c r="L249" s="50">
        <f>IF(OR(I249="",K249=""),"",I249*K249)</f>
        <v/>
      </c>
      <c r="M249" s="51" t="n"/>
      <c r="N249" s="51" t="n"/>
      <c r="O249" s="50">
        <f>IF(L249="","",IF(M249="",L249,L249*(1-M249)))</f>
        <v/>
      </c>
      <c r="P249" s="47" t="n"/>
      <c r="Q249" s="47" t="n"/>
    </row>
    <row r="250" ht="15.75" customHeight="1" s="99">
      <c r="A250" s="43" t="n">
        <v>250</v>
      </c>
      <c r="B250" s="53" t="n"/>
      <c r="C250" s="54">
        <f>IF(B250="","",TEXT(B250,"MMM-YYYY"))</f>
        <v/>
      </c>
      <c r="D250" s="55" t="n"/>
      <c r="E250" s="55" t="n"/>
      <c r="F250" s="55" t="n"/>
      <c r="G250" s="55" t="n"/>
      <c r="H250" s="55" t="n"/>
      <c r="I250" s="56" t="n"/>
      <c r="J250" s="55" t="n"/>
      <c r="K250" s="57" t="n"/>
      <c r="L250" s="58">
        <f>IF(OR(I250="",K250=""),"",I250*K250)</f>
        <v/>
      </c>
      <c r="M250" s="59" t="n"/>
      <c r="N250" s="59" t="n"/>
      <c r="O250" s="58">
        <f>IF(L250="","",IF(M250="",L250,L250*(1-M250)))</f>
        <v/>
      </c>
      <c r="P250" s="55" t="n"/>
      <c r="Q250" s="55" t="n"/>
    </row>
    <row r="251" ht="15.75" customHeight="1" s="99">
      <c r="A251" s="41" t="n">
        <v>251</v>
      </c>
      <c r="B251" s="45" t="n"/>
      <c r="C251" s="46">
        <f>IF(B251="","",TEXT(B251,"MMM-YYYY"))</f>
        <v/>
      </c>
      <c r="D251" s="47" t="n"/>
      <c r="E251" s="47" t="n"/>
      <c r="F251" s="47" t="n"/>
      <c r="G251" s="47" t="n"/>
      <c r="H251" s="47" t="n"/>
      <c r="I251" s="48" t="n"/>
      <c r="J251" s="47" t="n"/>
      <c r="K251" s="49" t="n"/>
      <c r="L251" s="50">
        <f>IF(OR(I251="",K251=""),"",I251*K251)</f>
        <v/>
      </c>
      <c r="M251" s="51" t="n"/>
      <c r="N251" s="51" t="n"/>
      <c r="O251" s="50">
        <f>IF(L251="","",IF(M251="",L251,L251*(1-M251)))</f>
        <v/>
      </c>
      <c r="P251" s="47" t="n"/>
      <c r="Q251" s="47" t="n"/>
    </row>
    <row r="252" ht="15.75" customHeight="1" s="99">
      <c r="A252" s="43" t="n">
        <v>252</v>
      </c>
      <c r="B252" s="53" t="n"/>
      <c r="C252" s="54">
        <f>IF(B252="","",TEXT(B252,"MMM-YYYY"))</f>
        <v/>
      </c>
      <c r="D252" s="55" t="n"/>
      <c r="E252" s="55" t="n"/>
      <c r="F252" s="55" t="n"/>
      <c r="G252" s="55" t="n"/>
      <c r="H252" s="55" t="n"/>
      <c r="I252" s="56" t="n"/>
      <c r="J252" s="55" t="n"/>
      <c r="K252" s="57" t="n"/>
      <c r="L252" s="58">
        <f>IF(OR(I252="",K252=""),"",I252*K252)</f>
        <v/>
      </c>
      <c r="M252" s="59" t="n"/>
      <c r="N252" s="59" t="n"/>
      <c r="O252" s="58">
        <f>IF(L252="","",IF(M252="",L252,L252*(1-M252)))</f>
        <v/>
      </c>
      <c r="P252" s="55" t="n"/>
      <c r="Q252" s="55" t="n"/>
    </row>
    <row r="253" ht="15.75" customHeight="1" s="99">
      <c r="A253" s="41" t="n">
        <v>253</v>
      </c>
      <c r="B253" s="45" t="n"/>
      <c r="C253" s="46">
        <f>IF(B253="","",TEXT(B253,"MMM-YYYY"))</f>
        <v/>
      </c>
      <c r="D253" s="47" t="n"/>
      <c r="E253" s="47" t="n"/>
      <c r="F253" s="47" t="n"/>
      <c r="G253" s="47" t="n"/>
      <c r="H253" s="47" t="n"/>
      <c r="I253" s="48" t="n"/>
      <c r="J253" s="47" t="n"/>
      <c r="K253" s="49" t="n"/>
      <c r="L253" s="50">
        <f>IF(OR(I253="",K253=""),"",I253*K253)</f>
        <v/>
      </c>
      <c r="M253" s="51" t="n"/>
      <c r="N253" s="51" t="n"/>
      <c r="O253" s="50">
        <f>IF(L253="","",IF(M253="",L253,L253*(1-M253)))</f>
        <v/>
      </c>
      <c r="P253" s="47" t="n"/>
      <c r="Q253" s="47" t="n"/>
    </row>
    <row r="254" ht="15.75" customHeight="1" s="99">
      <c r="A254" s="43" t="n">
        <v>254</v>
      </c>
      <c r="B254" s="53" t="n"/>
      <c r="C254" s="54">
        <f>IF(B254="","",TEXT(B254,"MMM-YYYY"))</f>
        <v/>
      </c>
      <c r="D254" s="55" t="n"/>
      <c r="E254" s="55" t="n"/>
      <c r="F254" s="55" t="n"/>
      <c r="G254" s="55" t="n"/>
      <c r="H254" s="55" t="n"/>
      <c r="I254" s="56" t="n"/>
      <c r="J254" s="55" t="n"/>
      <c r="K254" s="57" t="n"/>
      <c r="L254" s="58">
        <f>IF(OR(I254="",K254=""),"",I254*K254)</f>
        <v/>
      </c>
      <c r="M254" s="59" t="n"/>
      <c r="N254" s="59" t="n"/>
      <c r="O254" s="58">
        <f>IF(L254="","",IF(M254="",L254,L254*(1-M254)))</f>
        <v/>
      </c>
      <c r="P254" s="55" t="n"/>
      <c r="Q254" s="55" t="n"/>
    </row>
    <row r="255" ht="15.75" customHeight="1" s="99">
      <c r="A255" s="41" t="n">
        <v>255</v>
      </c>
      <c r="B255" s="45" t="n"/>
      <c r="C255" s="46">
        <f>IF(B255="","",TEXT(B255,"MMM-YYYY"))</f>
        <v/>
      </c>
      <c r="D255" s="47" t="n"/>
      <c r="E255" s="47" t="n"/>
      <c r="F255" s="47" t="n"/>
      <c r="G255" s="47" t="n"/>
      <c r="H255" s="47" t="n"/>
      <c r="I255" s="48" t="n"/>
      <c r="J255" s="47" t="n"/>
      <c r="K255" s="49" t="n"/>
      <c r="L255" s="50">
        <f>IF(OR(I255="",K255=""),"",I255*K255)</f>
        <v/>
      </c>
      <c r="M255" s="51" t="n"/>
      <c r="N255" s="51" t="n"/>
      <c r="O255" s="50">
        <f>IF(L255="","",IF(M255="",L255,L255*(1-M255)))</f>
        <v/>
      </c>
      <c r="P255" s="47" t="n"/>
      <c r="Q255" s="47" t="n"/>
    </row>
    <row r="256" ht="15.75" customHeight="1" s="99">
      <c r="A256" s="43" t="n">
        <v>256</v>
      </c>
      <c r="B256" s="53" t="n"/>
      <c r="C256" s="54">
        <f>IF(B256="","",TEXT(B256,"MMM-YYYY"))</f>
        <v/>
      </c>
      <c r="D256" s="55" t="n"/>
      <c r="E256" s="55" t="n"/>
      <c r="F256" s="55" t="n"/>
      <c r="G256" s="55" t="n"/>
      <c r="H256" s="55" t="n"/>
      <c r="I256" s="56" t="n"/>
      <c r="J256" s="55" t="n"/>
      <c r="K256" s="57" t="n"/>
      <c r="L256" s="58">
        <f>IF(OR(I256="",K256=""),"",I256*K256)</f>
        <v/>
      </c>
      <c r="M256" s="59" t="n"/>
      <c r="N256" s="59" t="n"/>
      <c r="O256" s="58">
        <f>IF(L256="","",IF(M256="",L256,L256*(1-M256)))</f>
        <v/>
      </c>
      <c r="P256" s="55" t="n"/>
      <c r="Q256" s="55" t="n"/>
    </row>
    <row r="257" ht="15.75" customHeight="1" s="99">
      <c r="A257" s="41" t="n">
        <v>257</v>
      </c>
      <c r="B257" s="45" t="n"/>
      <c r="C257" s="46">
        <f>IF(B257="","",TEXT(B257,"MMM-YYYY"))</f>
        <v/>
      </c>
      <c r="D257" s="47" t="n"/>
      <c r="E257" s="47" t="n"/>
      <c r="F257" s="47" t="n"/>
      <c r="G257" s="47" t="n"/>
      <c r="H257" s="47" t="n"/>
      <c r="I257" s="48" t="n"/>
      <c r="J257" s="47" t="n"/>
      <c r="K257" s="49" t="n"/>
      <c r="L257" s="50">
        <f>IF(OR(I257="",K257=""),"",I257*K257)</f>
        <v/>
      </c>
      <c r="M257" s="51" t="n"/>
      <c r="N257" s="51" t="n"/>
      <c r="O257" s="50">
        <f>IF(L257="","",IF(M257="",L257,L257*(1-M257)))</f>
        <v/>
      </c>
      <c r="P257" s="47" t="n"/>
      <c r="Q257" s="47" t="n"/>
    </row>
    <row r="258" ht="15.75" customHeight="1" s="99">
      <c r="A258" s="43" t="n">
        <v>258</v>
      </c>
      <c r="B258" s="53" t="n"/>
      <c r="C258" s="54">
        <f>IF(B258="","",TEXT(B258,"MMM-YYYY"))</f>
        <v/>
      </c>
      <c r="D258" s="55" t="n"/>
      <c r="E258" s="55" t="n"/>
      <c r="F258" s="55" t="n"/>
      <c r="G258" s="55" t="n"/>
      <c r="H258" s="55" t="n"/>
      <c r="I258" s="56" t="n"/>
      <c r="J258" s="55" t="n"/>
      <c r="K258" s="57" t="n"/>
      <c r="L258" s="58">
        <f>IF(OR(I258="",K258=""),"",I258*K258)</f>
        <v/>
      </c>
      <c r="M258" s="59" t="n"/>
      <c r="N258" s="59" t="n"/>
      <c r="O258" s="58">
        <f>IF(L258="","",IF(M258="",L258,L258*(1-M258)))</f>
        <v/>
      </c>
      <c r="P258" s="55" t="n"/>
      <c r="Q258" s="55" t="n"/>
    </row>
    <row r="259" ht="15.75" customHeight="1" s="99">
      <c r="A259" s="41" t="n">
        <v>259</v>
      </c>
      <c r="B259" s="45" t="n"/>
      <c r="C259" s="46">
        <f>IF(B259="","",TEXT(B259,"MMM-YYYY"))</f>
        <v/>
      </c>
      <c r="D259" s="47" t="n"/>
      <c r="E259" s="47" t="n"/>
      <c r="F259" s="47" t="n"/>
      <c r="G259" s="47" t="n"/>
      <c r="H259" s="47" t="n"/>
      <c r="I259" s="48" t="n"/>
      <c r="J259" s="47" t="n"/>
      <c r="K259" s="49" t="n"/>
      <c r="L259" s="50">
        <f>IF(OR(I259="",K259=""),"",I259*K259)</f>
        <v/>
      </c>
      <c r="M259" s="51" t="n"/>
      <c r="N259" s="51" t="n"/>
      <c r="O259" s="50">
        <f>IF(L259="","",IF(M259="",L259,L259*(1-M259)))</f>
        <v/>
      </c>
      <c r="P259" s="47" t="n"/>
      <c r="Q259" s="47" t="n"/>
    </row>
    <row r="260" ht="15.75" customHeight="1" s="99">
      <c r="A260" s="43" t="n">
        <v>260</v>
      </c>
      <c r="B260" s="53" t="n"/>
      <c r="C260" s="54">
        <f>IF(B260="","",TEXT(B260,"MMM-YYYY"))</f>
        <v/>
      </c>
      <c r="D260" s="55" t="n"/>
      <c r="E260" s="55" t="n"/>
      <c r="F260" s="55" t="n"/>
      <c r="G260" s="55" t="n"/>
      <c r="H260" s="55" t="n"/>
      <c r="I260" s="56" t="n"/>
      <c r="J260" s="55" t="n"/>
      <c r="K260" s="57" t="n"/>
      <c r="L260" s="58">
        <f>IF(OR(I260="",K260=""),"",I260*K260)</f>
        <v/>
      </c>
      <c r="M260" s="59" t="n"/>
      <c r="N260" s="59" t="n"/>
      <c r="O260" s="58">
        <f>IF(L260="","",IF(M260="",L260,L260*(1-M260)))</f>
        <v/>
      </c>
      <c r="P260" s="55" t="n"/>
      <c r="Q260" s="55" t="n"/>
    </row>
    <row r="261" ht="15.75" customHeight="1" s="99">
      <c r="A261" s="41" t="n">
        <v>261</v>
      </c>
      <c r="B261" s="45" t="n"/>
      <c r="C261" s="46">
        <f>IF(B261="","",TEXT(B261,"MMM-YYYY"))</f>
        <v/>
      </c>
      <c r="D261" s="47" t="n"/>
      <c r="E261" s="47" t="n"/>
      <c r="F261" s="47" t="n"/>
      <c r="G261" s="47" t="n"/>
      <c r="H261" s="47" t="n"/>
      <c r="I261" s="48" t="n"/>
      <c r="J261" s="47" t="n"/>
      <c r="K261" s="49" t="n"/>
      <c r="L261" s="50">
        <f>IF(OR(I261="",K261=""),"",I261*K261)</f>
        <v/>
      </c>
      <c r="M261" s="51" t="n"/>
      <c r="N261" s="51" t="n"/>
      <c r="O261" s="50">
        <f>IF(L261="","",IF(M261="",L261,L261*(1-M261)))</f>
        <v/>
      </c>
      <c r="P261" s="47" t="n"/>
      <c r="Q261" s="47" t="n"/>
    </row>
    <row r="262" ht="15.75" customHeight="1" s="99">
      <c r="A262" s="43" t="n">
        <v>262</v>
      </c>
      <c r="B262" s="53" t="n"/>
      <c r="C262" s="54">
        <f>IF(B262="","",TEXT(B262,"MMM-YYYY"))</f>
        <v/>
      </c>
      <c r="D262" s="55" t="n"/>
      <c r="E262" s="55" t="n"/>
      <c r="F262" s="55" t="n"/>
      <c r="G262" s="55" t="n"/>
      <c r="H262" s="55" t="n"/>
      <c r="I262" s="56" t="n"/>
      <c r="J262" s="55" t="n"/>
      <c r="K262" s="57" t="n"/>
      <c r="L262" s="58">
        <f>IF(OR(I262="",K262=""),"",I262*K262)</f>
        <v/>
      </c>
      <c r="M262" s="59" t="n"/>
      <c r="N262" s="59" t="n"/>
      <c r="O262" s="58">
        <f>IF(L262="","",IF(M262="",L262,L262*(1-M262)))</f>
        <v/>
      </c>
      <c r="P262" s="55" t="n"/>
      <c r="Q262" s="55" t="n"/>
    </row>
    <row r="263" ht="15.75" customHeight="1" s="99">
      <c r="A263" s="41" t="n">
        <v>263</v>
      </c>
      <c r="B263" s="45" t="n"/>
      <c r="C263" s="46">
        <f>IF(B263="","",TEXT(B263,"MMM-YYYY"))</f>
        <v/>
      </c>
      <c r="D263" s="47" t="n"/>
      <c r="E263" s="47" t="n"/>
      <c r="F263" s="47" t="n"/>
      <c r="G263" s="47" t="n"/>
      <c r="H263" s="47" t="n"/>
      <c r="I263" s="48" t="n"/>
      <c r="J263" s="47" t="n"/>
      <c r="K263" s="49" t="n"/>
      <c r="L263" s="50">
        <f>IF(OR(I263="",K263=""),"",I263*K263)</f>
        <v/>
      </c>
      <c r="M263" s="51" t="n"/>
      <c r="N263" s="51" t="n"/>
      <c r="O263" s="50">
        <f>IF(L263="","",IF(M263="",L263,L263*(1-M263)))</f>
        <v/>
      </c>
      <c r="P263" s="47" t="n"/>
      <c r="Q263" s="47" t="n"/>
    </row>
    <row r="264" ht="15.75" customHeight="1" s="99">
      <c r="A264" s="43" t="n">
        <v>264</v>
      </c>
      <c r="B264" s="53" t="n"/>
      <c r="C264" s="54">
        <f>IF(B264="","",TEXT(B264,"MMM-YYYY"))</f>
        <v/>
      </c>
      <c r="D264" s="55" t="n"/>
      <c r="E264" s="55" t="n"/>
      <c r="F264" s="55" t="n"/>
      <c r="G264" s="55" t="n"/>
      <c r="H264" s="55" t="n"/>
      <c r="I264" s="56" t="n"/>
      <c r="J264" s="55" t="n"/>
      <c r="K264" s="57" t="n"/>
      <c r="L264" s="58">
        <f>IF(OR(I264="",K264=""),"",I264*K264)</f>
        <v/>
      </c>
      <c r="M264" s="59" t="n"/>
      <c r="N264" s="59" t="n"/>
      <c r="O264" s="58">
        <f>IF(L264="","",IF(M264="",L264,L264*(1-M264)))</f>
        <v/>
      </c>
      <c r="P264" s="55" t="n"/>
      <c r="Q264" s="55" t="n"/>
    </row>
    <row r="265" ht="15.75" customHeight="1" s="99">
      <c r="A265" s="41" t="n">
        <v>265</v>
      </c>
      <c r="B265" s="45" t="n"/>
      <c r="C265" s="46">
        <f>IF(B265="","",TEXT(B265,"MMM-YYYY"))</f>
        <v/>
      </c>
      <c r="D265" s="47" t="n"/>
      <c r="E265" s="47" t="n"/>
      <c r="F265" s="47" t="n"/>
      <c r="G265" s="47" t="n"/>
      <c r="H265" s="47" t="n"/>
      <c r="I265" s="48" t="n"/>
      <c r="J265" s="47" t="n"/>
      <c r="K265" s="49" t="n"/>
      <c r="L265" s="50">
        <f>IF(OR(I265="",K265=""),"",I265*K265)</f>
        <v/>
      </c>
      <c r="M265" s="51" t="n"/>
      <c r="N265" s="51" t="n"/>
      <c r="O265" s="50">
        <f>IF(L265="","",IF(M265="",L265,L265*(1-M265)))</f>
        <v/>
      </c>
      <c r="P265" s="47" t="n"/>
      <c r="Q265" s="47" t="n"/>
    </row>
    <row r="266" ht="15.75" customHeight="1" s="99">
      <c r="A266" s="43" t="n">
        <v>266</v>
      </c>
      <c r="B266" s="53" t="n"/>
      <c r="C266" s="54">
        <f>IF(B266="","",TEXT(B266,"MMM-YYYY"))</f>
        <v/>
      </c>
      <c r="D266" s="55" t="n"/>
      <c r="E266" s="55" t="n"/>
      <c r="F266" s="55" t="n"/>
      <c r="G266" s="55" t="n"/>
      <c r="H266" s="55" t="n"/>
      <c r="I266" s="56" t="n"/>
      <c r="J266" s="55" t="n"/>
      <c r="K266" s="57" t="n"/>
      <c r="L266" s="58">
        <f>IF(OR(I266="",K266=""),"",I266*K266)</f>
        <v/>
      </c>
      <c r="M266" s="59" t="n"/>
      <c r="N266" s="59" t="n"/>
      <c r="O266" s="58">
        <f>IF(L266="","",IF(M266="",L266,L266*(1-M266)))</f>
        <v/>
      </c>
      <c r="P266" s="55" t="n"/>
      <c r="Q266" s="55" t="n"/>
    </row>
    <row r="267" ht="15.75" customHeight="1" s="99">
      <c r="A267" s="41" t="n">
        <v>267</v>
      </c>
      <c r="B267" s="45" t="n"/>
      <c r="C267" s="46">
        <f>IF(B267="","",TEXT(B267,"MMM-YYYY"))</f>
        <v/>
      </c>
      <c r="D267" s="47" t="n"/>
      <c r="E267" s="47" t="n"/>
      <c r="F267" s="47" t="n"/>
      <c r="G267" s="47" t="n"/>
      <c r="H267" s="47" t="n"/>
      <c r="I267" s="48" t="n"/>
      <c r="J267" s="47" t="n"/>
      <c r="K267" s="49" t="n"/>
      <c r="L267" s="50">
        <f>IF(OR(I267="",K267=""),"",I267*K267)</f>
        <v/>
      </c>
      <c r="M267" s="51" t="n"/>
      <c r="N267" s="51" t="n"/>
      <c r="O267" s="50">
        <f>IF(L267="","",IF(M267="",L267,L267*(1-M267)))</f>
        <v/>
      </c>
      <c r="P267" s="47" t="n"/>
      <c r="Q267" s="47" t="n"/>
    </row>
    <row r="268" ht="15.75" customHeight="1" s="99">
      <c r="A268" s="43" t="n">
        <v>268</v>
      </c>
      <c r="B268" s="53" t="n"/>
      <c r="C268" s="54">
        <f>IF(B268="","",TEXT(B268,"MMM-YYYY"))</f>
        <v/>
      </c>
      <c r="D268" s="55" t="n"/>
      <c r="E268" s="55" t="n"/>
      <c r="F268" s="55" t="n"/>
      <c r="G268" s="55" t="n"/>
      <c r="H268" s="55" t="n"/>
      <c r="I268" s="56" t="n"/>
      <c r="J268" s="55" t="n"/>
      <c r="K268" s="57" t="n"/>
      <c r="L268" s="58">
        <f>IF(OR(I268="",K268=""),"",I268*K268)</f>
        <v/>
      </c>
      <c r="M268" s="59" t="n"/>
      <c r="N268" s="59" t="n"/>
      <c r="O268" s="58">
        <f>IF(L268="","",IF(M268="",L268,L268*(1-M268)))</f>
        <v/>
      </c>
      <c r="P268" s="55" t="n"/>
      <c r="Q268" s="55" t="n"/>
    </row>
    <row r="269" ht="15.75" customHeight="1" s="99">
      <c r="A269" s="41" t="n">
        <v>269</v>
      </c>
      <c r="B269" s="45" t="n"/>
      <c r="C269" s="46">
        <f>IF(B269="","",TEXT(B269,"MMM-YYYY"))</f>
        <v/>
      </c>
      <c r="D269" s="47" t="n"/>
      <c r="E269" s="47" t="n"/>
      <c r="F269" s="47" t="n"/>
      <c r="G269" s="47" t="n"/>
      <c r="H269" s="47" t="n"/>
      <c r="I269" s="48" t="n"/>
      <c r="J269" s="47" t="n"/>
      <c r="K269" s="49" t="n"/>
      <c r="L269" s="50">
        <f>IF(OR(I269="",K269=""),"",I269*K269)</f>
        <v/>
      </c>
      <c r="M269" s="51" t="n"/>
      <c r="N269" s="51" t="n"/>
      <c r="O269" s="50">
        <f>IF(L269="","",IF(M269="",L269,L269*(1-M269)))</f>
        <v/>
      </c>
      <c r="P269" s="47" t="n"/>
      <c r="Q269" s="47" t="n"/>
    </row>
    <row r="270" ht="15.75" customHeight="1" s="99">
      <c r="A270" s="43" t="n">
        <v>270</v>
      </c>
      <c r="B270" s="53" t="n"/>
      <c r="C270" s="54">
        <f>IF(B270="","",TEXT(B270,"MMM-YYYY"))</f>
        <v/>
      </c>
      <c r="D270" s="55" t="n"/>
      <c r="E270" s="55" t="n"/>
      <c r="F270" s="55" t="n"/>
      <c r="G270" s="55" t="n"/>
      <c r="H270" s="55" t="n"/>
      <c r="I270" s="56" t="n"/>
      <c r="J270" s="55" t="n"/>
      <c r="K270" s="57" t="n"/>
      <c r="L270" s="58">
        <f>IF(OR(I270="",K270=""),"",I270*K270)</f>
        <v/>
      </c>
      <c r="M270" s="59" t="n"/>
      <c r="N270" s="59" t="n"/>
      <c r="O270" s="58">
        <f>IF(L270="","",IF(M270="",L270,L270*(1-M270)))</f>
        <v/>
      </c>
      <c r="P270" s="55" t="n"/>
      <c r="Q270" s="55" t="n"/>
    </row>
    <row r="271" ht="15.75" customHeight="1" s="99">
      <c r="A271" s="41" t="n">
        <v>271</v>
      </c>
      <c r="B271" s="45" t="n"/>
      <c r="C271" s="46">
        <f>IF(B271="","",TEXT(B271,"MMM-YYYY"))</f>
        <v/>
      </c>
      <c r="D271" s="47" t="n"/>
      <c r="E271" s="47" t="n"/>
      <c r="F271" s="47" t="n"/>
      <c r="G271" s="47" t="n"/>
      <c r="H271" s="47" t="n"/>
      <c r="I271" s="48" t="n"/>
      <c r="J271" s="47" t="n"/>
      <c r="K271" s="49" t="n"/>
      <c r="L271" s="50">
        <f>IF(OR(I271="",K271=""),"",I271*K271)</f>
        <v/>
      </c>
      <c r="M271" s="51" t="n"/>
      <c r="N271" s="51" t="n"/>
      <c r="O271" s="50">
        <f>IF(L271="","",IF(M271="",L271,L271*(1-M271)))</f>
        <v/>
      </c>
      <c r="P271" s="47" t="n"/>
      <c r="Q271" s="47" t="n"/>
    </row>
    <row r="272" ht="15.75" customHeight="1" s="99">
      <c r="A272" s="43" t="n">
        <v>272</v>
      </c>
      <c r="B272" s="53" t="n"/>
      <c r="C272" s="54">
        <f>IF(B272="","",TEXT(B272,"MMM-YYYY"))</f>
        <v/>
      </c>
      <c r="D272" s="55" t="n"/>
      <c r="E272" s="55" t="n"/>
      <c r="F272" s="55" t="n"/>
      <c r="G272" s="55" t="n"/>
      <c r="H272" s="55" t="n"/>
      <c r="I272" s="56" t="n"/>
      <c r="J272" s="55" t="n"/>
      <c r="K272" s="57" t="n"/>
      <c r="L272" s="58">
        <f>IF(OR(I272="",K272=""),"",I272*K272)</f>
        <v/>
      </c>
      <c r="M272" s="59" t="n"/>
      <c r="N272" s="59" t="n"/>
      <c r="O272" s="58">
        <f>IF(L272="","",IF(M272="",L272,L272*(1-M272)))</f>
        <v/>
      </c>
      <c r="P272" s="55" t="n"/>
      <c r="Q272" s="55" t="n"/>
    </row>
    <row r="273" ht="15.75" customHeight="1" s="99">
      <c r="A273" s="41" t="n">
        <v>273</v>
      </c>
      <c r="B273" s="45" t="n"/>
      <c r="C273" s="46">
        <f>IF(B273="","",TEXT(B273,"MMM-YYYY"))</f>
        <v/>
      </c>
      <c r="D273" s="47" t="n"/>
      <c r="E273" s="47" t="n"/>
      <c r="F273" s="47" t="n"/>
      <c r="G273" s="47" t="n"/>
      <c r="H273" s="47" t="n"/>
      <c r="I273" s="48" t="n"/>
      <c r="J273" s="47" t="n"/>
      <c r="K273" s="49" t="n"/>
      <c r="L273" s="50">
        <f>IF(OR(I273="",K273=""),"",I273*K273)</f>
        <v/>
      </c>
      <c r="M273" s="51" t="n"/>
      <c r="N273" s="51" t="n"/>
      <c r="O273" s="50">
        <f>IF(L273="","",IF(M273="",L273,L273*(1-M273)))</f>
        <v/>
      </c>
      <c r="P273" s="47" t="n"/>
      <c r="Q273" s="47" t="n"/>
    </row>
    <row r="274" ht="15.75" customHeight="1" s="99">
      <c r="A274" s="43" t="n">
        <v>274</v>
      </c>
      <c r="B274" s="53" t="n"/>
      <c r="C274" s="54">
        <f>IF(B274="","",TEXT(B274,"MMM-YYYY"))</f>
        <v/>
      </c>
      <c r="D274" s="55" t="n"/>
      <c r="E274" s="55" t="n"/>
      <c r="F274" s="55" t="n"/>
      <c r="G274" s="55" t="n"/>
      <c r="H274" s="55" t="n"/>
      <c r="I274" s="56" t="n"/>
      <c r="J274" s="55" t="n"/>
      <c r="K274" s="57" t="n"/>
      <c r="L274" s="58">
        <f>IF(OR(I274="",K274=""),"",I274*K274)</f>
        <v/>
      </c>
      <c r="M274" s="59" t="n"/>
      <c r="N274" s="59" t="n"/>
      <c r="O274" s="58">
        <f>IF(L274="","",IF(M274="",L274,L274*(1-M274)))</f>
        <v/>
      </c>
      <c r="P274" s="55" t="n"/>
      <c r="Q274" s="55" t="n"/>
    </row>
    <row r="275" ht="15.75" customHeight="1" s="99">
      <c r="A275" s="41" t="n">
        <v>275</v>
      </c>
      <c r="B275" s="45" t="n"/>
      <c r="C275" s="46">
        <f>IF(B275="","",TEXT(B275,"MMM-YYYY"))</f>
        <v/>
      </c>
      <c r="D275" s="47" t="n"/>
      <c r="E275" s="47" t="n"/>
      <c r="F275" s="47" t="n"/>
      <c r="G275" s="47" t="n"/>
      <c r="H275" s="47" t="n"/>
      <c r="I275" s="48" t="n"/>
      <c r="J275" s="47" t="n"/>
      <c r="K275" s="49" t="n"/>
      <c r="L275" s="50">
        <f>IF(OR(I275="",K275=""),"",I275*K275)</f>
        <v/>
      </c>
      <c r="M275" s="51" t="n"/>
      <c r="N275" s="51" t="n"/>
      <c r="O275" s="50">
        <f>IF(L275="","",IF(M275="",L275,L275*(1-M275)))</f>
        <v/>
      </c>
      <c r="P275" s="47" t="n"/>
      <c r="Q275" s="47" t="n"/>
    </row>
    <row r="276" ht="15.75" customHeight="1" s="99">
      <c r="A276" s="43" t="n">
        <v>276</v>
      </c>
      <c r="B276" s="53" t="n"/>
      <c r="C276" s="54">
        <f>IF(B276="","",TEXT(B276,"MMM-YYYY"))</f>
        <v/>
      </c>
      <c r="D276" s="55" t="n"/>
      <c r="E276" s="55" t="n"/>
      <c r="F276" s="55" t="n"/>
      <c r="G276" s="55" t="n"/>
      <c r="H276" s="55" t="n"/>
      <c r="I276" s="56" t="n"/>
      <c r="J276" s="55" t="n"/>
      <c r="K276" s="57" t="n"/>
      <c r="L276" s="58">
        <f>IF(OR(I276="",K276=""),"",I276*K276)</f>
        <v/>
      </c>
      <c r="M276" s="59" t="n"/>
      <c r="N276" s="59" t="n"/>
      <c r="O276" s="58">
        <f>IF(L276="","",IF(M276="",L276,L276*(1-M276)))</f>
        <v/>
      </c>
      <c r="P276" s="55" t="n"/>
      <c r="Q276" s="55" t="n"/>
    </row>
    <row r="277" ht="15.75" customHeight="1" s="99">
      <c r="A277" s="41" t="n">
        <v>277</v>
      </c>
      <c r="B277" s="45" t="n"/>
      <c r="C277" s="46">
        <f>IF(B277="","",TEXT(B277,"MMM-YYYY"))</f>
        <v/>
      </c>
      <c r="D277" s="47" t="n"/>
      <c r="E277" s="47" t="n"/>
      <c r="F277" s="47" t="n"/>
      <c r="G277" s="47" t="n"/>
      <c r="H277" s="47" t="n"/>
      <c r="I277" s="48" t="n"/>
      <c r="J277" s="47" t="n"/>
      <c r="K277" s="49" t="n"/>
      <c r="L277" s="50">
        <f>IF(OR(I277="",K277=""),"",I277*K277)</f>
        <v/>
      </c>
      <c r="M277" s="51" t="n"/>
      <c r="N277" s="51" t="n"/>
      <c r="O277" s="50">
        <f>IF(L277="","",IF(M277="",L277,L277*(1-M277)))</f>
        <v/>
      </c>
      <c r="P277" s="47" t="n"/>
      <c r="Q277" s="47" t="n"/>
    </row>
    <row r="278" ht="15.75" customHeight="1" s="99">
      <c r="A278" s="43" t="n">
        <v>278</v>
      </c>
      <c r="B278" s="53" t="n"/>
      <c r="C278" s="54">
        <f>IF(B278="","",TEXT(B278,"MMM-YYYY"))</f>
        <v/>
      </c>
      <c r="D278" s="55" t="n"/>
      <c r="E278" s="55" t="n"/>
      <c r="F278" s="55" t="n"/>
      <c r="G278" s="55" t="n"/>
      <c r="H278" s="55" t="n"/>
      <c r="I278" s="56" t="n"/>
      <c r="J278" s="55" t="n"/>
      <c r="K278" s="57" t="n"/>
      <c r="L278" s="58">
        <f>IF(OR(I278="",K278=""),"",I278*K278)</f>
        <v/>
      </c>
      <c r="M278" s="59" t="n"/>
      <c r="N278" s="59" t="n"/>
      <c r="O278" s="58">
        <f>IF(L278="","",IF(M278="",L278,L278*(1-M278)))</f>
        <v/>
      </c>
      <c r="P278" s="55" t="n"/>
      <c r="Q278" s="55" t="n"/>
    </row>
    <row r="279" ht="15.75" customHeight="1" s="99">
      <c r="A279" s="41" t="n">
        <v>279</v>
      </c>
      <c r="B279" s="45" t="n"/>
      <c r="C279" s="46">
        <f>IF(B279="","",TEXT(B279,"MMM-YYYY"))</f>
        <v/>
      </c>
      <c r="D279" s="47" t="n"/>
      <c r="E279" s="47" t="n"/>
      <c r="F279" s="47" t="n"/>
      <c r="G279" s="47" t="n"/>
      <c r="H279" s="47" t="n"/>
      <c r="I279" s="48" t="n"/>
      <c r="J279" s="47" t="n"/>
      <c r="K279" s="49" t="n"/>
      <c r="L279" s="50">
        <f>IF(OR(I279="",K279=""),"",I279*K279)</f>
        <v/>
      </c>
      <c r="M279" s="51" t="n"/>
      <c r="N279" s="51" t="n"/>
      <c r="O279" s="50">
        <f>IF(L279="","",IF(M279="",L279,L279*(1-M279)))</f>
        <v/>
      </c>
      <c r="P279" s="47" t="n"/>
      <c r="Q279" s="47" t="n"/>
    </row>
    <row r="280" ht="15.75" customHeight="1" s="99">
      <c r="A280" s="43" t="n">
        <v>280</v>
      </c>
      <c r="B280" s="53" t="n"/>
      <c r="C280" s="54">
        <f>IF(B280="","",TEXT(B280,"MMM-YYYY"))</f>
        <v/>
      </c>
      <c r="D280" s="55" t="n"/>
      <c r="E280" s="55" t="n"/>
      <c r="F280" s="55" t="n"/>
      <c r="G280" s="55" t="n"/>
      <c r="H280" s="55" t="n"/>
      <c r="I280" s="56" t="n"/>
      <c r="J280" s="55" t="n"/>
      <c r="K280" s="57" t="n"/>
      <c r="L280" s="58">
        <f>IF(OR(I280="",K280=""),"",I280*K280)</f>
        <v/>
      </c>
      <c r="M280" s="59" t="n"/>
      <c r="N280" s="59" t="n"/>
      <c r="O280" s="58">
        <f>IF(L280="","",IF(M280="",L280,L280*(1-M280)))</f>
        <v/>
      </c>
      <c r="P280" s="55" t="n"/>
      <c r="Q280" s="55" t="n"/>
    </row>
    <row r="281" ht="15.75" customHeight="1" s="99">
      <c r="A281" s="41" t="n">
        <v>281</v>
      </c>
      <c r="B281" s="45" t="n"/>
      <c r="C281" s="46">
        <f>IF(B281="","",TEXT(B281,"MMM-YYYY"))</f>
        <v/>
      </c>
      <c r="D281" s="47" t="n"/>
      <c r="E281" s="47" t="n"/>
      <c r="F281" s="47" t="n"/>
      <c r="G281" s="47" t="n"/>
      <c r="H281" s="47" t="n"/>
      <c r="I281" s="48" t="n"/>
      <c r="J281" s="47" t="n"/>
      <c r="K281" s="49" t="n"/>
      <c r="L281" s="50">
        <f>IF(OR(I281="",K281=""),"",I281*K281)</f>
        <v/>
      </c>
      <c r="M281" s="51" t="n"/>
      <c r="N281" s="51" t="n"/>
      <c r="O281" s="50">
        <f>IF(L281="","",IF(M281="",L281,L281*(1-M281)))</f>
        <v/>
      </c>
      <c r="P281" s="47" t="n"/>
      <c r="Q281" s="47" t="n"/>
    </row>
    <row r="282" ht="15.75" customHeight="1" s="99">
      <c r="A282" s="43" t="n">
        <v>282</v>
      </c>
      <c r="B282" s="53" t="n"/>
      <c r="C282" s="54">
        <f>IF(B282="","",TEXT(B282,"MMM-YYYY"))</f>
        <v/>
      </c>
      <c r="D282" s="55" t="n"/>
      <c r="E282" s="55" t="n"/>
      <c r="F282" s="55" t="n"/>
      <c r="G282" s="55" t="n"/>
      <c r="H282" s="55" t="n"/>
      <c r="I282" s="56" t="n"/>
      <c r="J282" s="55" t="n"/>
      <c r="K282" s="57" t="n"/>
      <c r="L282" s="58">
        <f>IF(OR(I282="",K282=""),"",I282*K282)</f>
        <v/>
      </c>
      <c r="M282" s="59" t="n"/>
      <c r="N282" s="59" t="n"/>
      <c r="O282" s="58">
        <f>IF(L282="","",IF(M282="",L282,L282*(1-M282)))</f>
        <v/>
      </c>
      <c r="P282" s="55" t="n"/>
      <c r="Q282" s="55" t="n"/>
    </row>
    <row r="283" ht="15.75" customHeight="1" s="99">
      <c r="A283" s="41" t="n">
        <v>283</v>
      </c>
      <c r="B283" s="45" t="n"/>
      <c r="C283" s="46">
        <f>IF(B283="","",TEXT(B283,"MMM-YYYY"))</f>
        <v/>
      </c>
      <c r="D283" s="47" t="n"/>
      <c r="E283" s="47" t="n"/>
      <c r="F283" s="47" t="n"/>
      <c r="G283" s="47" t="n"/>
      <c r="H283" s="47" t="n"/>
      <c r="I283" s="48" t="n"/>
      <c r="J283" s="47" t="n"/>
      <c r="K283" s="49" t="n"/>
      <c r="L283" s="50">
        <f>IF(OR(I283="",K283=""),"",I283*K283)</f>
        <v/>
      </c>
      <c r="M283" s="51" t="n"/>
      <c r="N283" s="51" t="n"/>
      <c r="O283" s="50">
        <f>IF(L283="","",IF(M283="",L283,L283*(1-M283)))</f>
        <v/>
      </c>
      <c r="P283" s="47" t="n"/>
      <c r="Q283" s="47" t="n"/>
    </row>
    <row r="284" ht="15.75" customHeight="1" s="99">
      <c r="A284" s="43" t="n">
        <v>284</v>
      </c>
      <c r="B284" s="53" t="n"/>
      <c r="C284" s="54">
        <f>IF(B284="","",TEXT(B284,"MMM-YYYY"))</f>
        <v/>
      </c>
      <c r="D284" s="55" t="n"/>
      <c r="E284" s="55" t="n"/>
      <c r="F284" s="55" t="n"/>
      <c r="G284" s="55" t="n"/>
      <c r="H284" s="55" t="n"/>
      <c r="I284" s="56" t="n"/>
      <c r="J284" s="55" t="n"/>
      <c r="K284" s="57" t="n"/>
      <c r="L284" s="58">
        <f>IF(OR(I284="",K284=""),"",I284*K284)</f>
        <v/>
      </c>
      <c r="M284" s="59" t="n"/>
      <c r="N284" s="59" t="n"/>
      <c r="O284" s="58">
        <f>IF(L284="","",IF(M284="",L284,L284*(1-M284)))</f>
        <v/>
      </c>
      <c r="P284" s="55" t="n"/>
      <c r="Q284" s="55" t="n"/>
    </row>
    <row r="285" ht="15.75" customHeight="1" s="99">
      <c r="A285" s="41" t="n">
        <v>285</v>
      </c>
      <c r="B285" s="45" t="n"/>
      <c r="C285" s="46">
        <f>IF(B285="","",TEXT(B285,"MMM-YYYY"))</f>
        <v/>
      </c>
      <c r="D285" s="47" t="n"/>
      <c r="E285" s="47" t="n"/>
      <c r="F285" s="47" t="n"/>
      <c r="G285" s="47" t="n"/>
      <c r="H285" s="47" t="n"/>
      <c r="I285" s="48" t="n"/>
      <c r="J285" s="47" t="n"/>
      <c r="K285" s="49" t="n"/>
      <c r="L285" s="50">
        <f>IF(OR(I285="",K285=""),"",I285*K285)</f>
        <v/>
      </c>
      <c r="M285" s="51" t="n"/>
      <c r="N285" s="51" t="n"/>
      <c r="O285" s="50">
        <f>IF(L285="","",IF(M285="",L285,L285*(1-M285)))</f>
        <v/>
      </c>
      <c r="P285" s="47" t="n"/>
      <c r="Q285" s="47" t="n"/>
    </row>
    <row r="286" ht="15.75" customHeight="1" s="99">
      <c r="A286" s="43" t="n">
        <v>286</v>
      </c>
      <c r="B286" s="53" t="n"/>
      <c r="C286" s="54">
        <f>IF(B286="","",TEXT(B286,"MMM-YYYY"))</f>
        <v/>
      </c>
      <c r="D286" s="55" t="n"/>
      <c r="E286" s="55" t="n"/>
      <c r="F286" s="55" t="n"/>
      <c r="G286" s="55" t="n"/>
      <c r="H286" s="55" t="n"/>
      <c r="I286" s="56" t="n"/>
      <c r="J286" s="55" t="n"/>
      <c r="K286" s="57" t="n"/>
      <c r="L286" s="58">
        <f>IF(OR(I286="",K286=""),"",I286*K286)</f>
        <v/>
      </c>
      <c r="M286" s="59" t="n"/>
      <c r="N286" s="59" t="n"/>
      <c r="O286" s="58">
        <f>IF(L286="","",IF(M286="",L286,L286*(1-M286)))</f>
        <v/>
      </c>
      <c r="P286" s="55" t="n"/>
      <c r="Q286" s="55" t="n"/>
    </row>
    <row r="287" ht="15.75" customHeight="1" s="99">
      <c r="A287" s="41" t="n">
        <v>287</v>
      </c>
      <c r="B287" s="45" t="n"/>
      <c r="C287" s="46">
        <f>IF(B287="","",TEXT(B287,"MMM-YYYY"))</f>
        <v/>
      </c>
      <c r="D287" s="47" t="n"/>
      <c r="E287" s="47" t="n"/>
      <c r="F287" s="47" t="n"/>
      <c r="G287" s="47" t="n"/>
      <c r="H287" s="47" t="n"/>
      <c r="I287" s="48" t="n"/>
      <c r="J287" s="47" t="n"/>
      <c r="K287" s="49" t="n"/>
      <c r="L287" s="50">
        <f>IF(OR(I287="",K287=""),"",I287*K287)</f>
        <v/>
      </c>
      <c r="M287" s="51" t="n"/>
      <c r="N287" s="51" t="n"/>
      <c r="O287" s="50">
        <f>IF(L287="","",IF(M287="",L287,L287*(1-M287)))</f>
        <v/>
      </c>
      <c r="P287" s="47" t="n"/>
      <c r="Q287" s="47" t="n"/>
    </row>
    <row r="288" ht="15.75" customHeight="1" s="99">
      <c r="A288" s="43" t="n">
        <v>288</v>
      </c>
      <c r="B288" s="53" t="n"/>
      <c r="C288" s="54">
        <f>IF(B288="","",TEXT(B288,"MMM-YYYY"))</f>
        <v/>
      </c>
      <c r="D288" s="55" t="n"/>
      <c r="E288" s="55" t="n"/>
      <c r="F288" s="55" t="n"/>
      <c r="G288" s="55" t="n"/>
      <c r="H288" s="55" t="n"/>
      <c r="I288" s="56" t="n"/>
      <c r="J288" s="55" t="n"/>
      <c r="K288" s="57" t="n"/>
      <c r="L288" s="58">
        <f>IF(OR(I288="",K288=""),"",I288*K288)</f>
        <v/>
      </c>
      <c r="M288" s="59" t="n"/>
      <c r="N288" s="59" t="n"/>
      <c r="O288" s="58">
        <f>IF(L288="","",IF(M288="",L288,L288*(1-M288)))</f>
        <v/>
      </c>
      <c r="P288" s="55" t="n"/>
      <c r="Q288" s="55" t="n"/>
    </row>
    <row r="289" ht="15.75" customHeight="1" s="99">
      <c r="A289" s="41" t="n">
        <v>289</v>
      </c>
      <c r="B289" s="45" t="n"/>
      <c r="C289" s="46">
        <f>IF(B289="","",TEXT(B289,"MMM-YYYY"))</f>
        <v/>
      </c>
      <c r="D289" s="47" t="n"/>
      <c r="E289" s="47" t="n"/>
      <c r="F289" s="47" t="n"/>
      <c r="G289" s="47" t="n"/>
      <c r="H289" s="47" t="n"/>
      <c r="I289" s="48" t="n"/>
      <c r="J289" s="47" t="n"/>
      <c r="K289" s="49" t="n"/>
      <c r="L289" s="50">
        <f>IF(OR(I289="",K289=""),"",I289*K289)</f>
        <v/>
      </c>
      <c r="M289" s="51" t="n"/>
      <c r="N289" s="51" t="n"/>
      <c r="O289" s="50">
        <f>IF(L289="","",IF(M289="",L289,L289*(1-M289)))</f>
        <v/>
      </c>
      <c r="P289" s="47" t="n"/>
      <c r="Q289" s="47" t="n"/>
    </row>
    <row r="290" ht="15.75" customHeight="1" s="99">
      <c r="A290" s="43" t="n">
        <v>290</v>
      </c>
      <c r="B290" s="53" t="n"/>
      <c r="C290" s="54">
        <f>IF(B290="","",TEXT(B290,"MMM-YYYY"))</f>
        <v/>
      </c>
      <c r="D290" s="55" t="n"/>
      <c r="E290" s="55" t="n"/>
      <c r="F290" s="55" t="n"/>
      <c r="G290" s="55" t="n"/>
      <c r="H290" s="55" t="n"/>
      <c r="I290" s="56" t="n"/>
      <c r="J290" s="55" t="n"/>
      <c r="K290" s="57" t="n"/>
      <c r="L290" s="58">
        <f>IF(OR(I290="",K290=""),"",I290*K290)</f>
        <v/>
      </c>
      <c r="M290" s="59" t="n"/>
      <c r="N290" s="59" t="n"/>
      <c r="O290" s="58">
        <f>IF(L290="","",IF(M290="",L290,L290*(1-M290)))</f>
        <v/>
      </c>
      <c r="P290" s="55" t="n"/>
      <c r="Q290" s="55" t="n"/>
    </row>
    <row r="291" ht="15.75" customHeight="1" s="99">
      <c r="A291" s="41" t="n">
        <v>291</v>
      </c>
      <c r="B291" s="45" t="n"/>
      <c r="C291" s="46">
        <f>IF(B291="","",TEXT(B291,"MMM-YYYY"))</f>
        <v/>
      </c>
      <c r="D291" s="47" t="n"/>
      <c r="E291" s="47" t="n"/>
      <c r="F291" s="47" t="n"/>
      <c r="G291" s="47" t="n"/>
      <c r="H291" s="47" t="n"/>
      <c r="I291" s="48" t="n"/>
      <c r="J291" s="47" t="n"/>
      <c r="K291" s="49" t="n"/>
      <c r="L291" s="50">
        <f>IF(OR(I291="",K291=""),"",I291*K291)</f>
        <v/>
      </c>
      <c r="M291" s="51" t="n"/>
      <c r="N291" s="51" t="n"/>
      <c r="O291" s="50">
        <f>IF(L291="","",IF(M291="",L291,L291*(1-M291)))</f>
        <v/>
      </c>
      <c r="P291" s="47" t="n"/>
      <c r="Q291" s="47" t="n"/>
    </row>
    <row r="292" ht="15.75" customHeight="1" s="99">
      <c r="A292" s="43" t="n">
        <v>292</v>
      </c>
      <c r="B292" s="53" t="n"/>
      <c r="C292" s="54">
        <f>IF(B292="","",TEXT(B292,"MMM-YYYY"))</f>
        <v/>
      </c>
      <c r="D292" s="55" t="n"/>
      <c r="E292" s="55" t="n"/>
      <c r="F292" s="55" t="n"/>
      <c r="G292" s="55" t="n"/>
      <c r="H292" s="55" t="n"/>
      <c r="I292" s="56" t="n"/>
      <c r="J292" s="55" t="n"/>
      <c r="K292" s="57" t="n"/>
      <c r="L292" s="58">
        <f>IF(OR(I292="",K292=""),"",I292*K292)</f>
        <v/>
      </c>
      <c r="M292" s="59" t="n"/>
      <c r="N292" s="59" t="n"/>
      <c r="O292" s="58">
        <f>IF(L292="","",IF(M292="",L292,L292*(1-M292)))</f>
        <v/>
      </c>
      <c r="P292" s="55" t="n"/>
      <c r="Q292" s="55" t="n"/>
    </row>
    <row r="293" ht="15.75" customHeight="1" s="99">
      <c r="A293" s="41" t="n">
        <v>293</v>
      </c>
      <c r="B293" s="45" t="n"/>
      <c r="C293" s="46">
        <f>IF(B293="","",TEXT(B293,"MMM-YYYY"))</f>
        <v/>
      </c>
      <c r="D293" s="47" t="n"/>
      <c r="E293" s="47" t="n"/>
      <c r="F293" s="47" t="n"/>
      <c r="G293" s="47" t="n"/>
      <c r="H293" s="47" t="n"/>
      <c r="I293" s="48" t="n"/>
      <c r="J293" s="47" t="n"/>
      <c r="K293" s="49" t="n"/>
      <c r="L293" s="50">
        <f>IF(OR(I293="",K293=""),"",I293*K293)</f>
        <v/>
      </c>
      <c r="M293" s="51" t="n"/>
      <c r="N293" s="51" t="n"/>
      <c r="O293" s="50">
        <f>IF(L293="","",IF(M293="",L293,L293*(1-M293)))</f>
        <v/>
      </c>
      <c r="P293" s="47" t="n"/>
      <c r="Q293" s="47" t="n"/>
    </row>
    <row r="294" ht="15.75" customHeight="1" s="99">
      <c r="A294" s="43" t="n">
        <v>294</v>
      </c>
      <c r="B294" s="53" t="n"/>
      <c r="C294" s="54">
        <f>IF(B294="","",TEXT(B294,"MMM-YYYY"))</f>
        <v/>
      </c>
      <c r="D294" s="55" t="n"/>
      <c r="E294" s="55" t="n"/>
      <c r="F294" s="55" t="n"/>
      <c r="G294" s="55" t="n"/>
      <c r="H294" s="55" t="n"/>
      <c r="I294" s="56" t="n"/>
      <c r="J294" s="55" t="n"/>
      <c r="K294" s="57" t="n"/>
      <c r="L294" s="58">
        <f>IF(OR(I294="",K294=""),"",I294*K294)</f>
        <v/>
      </c>
      <c r="M294" s="59" t="n"/>
      <c r="N294" s="59" t="n"/>
      <c r="O294" s="58">
        <f>IF(L294="","",IF(M294="",L294,L294*(1-M294)))</f>
        <v/>
      </c>
      <c r="P294" s="55" t="n"/>
      <c r="Q294" s="55" t="n"/>
    </row>
    <row r="295" ht="15.75" customHeight="1" s="99">
      <c r="A295" s="41" t="n">
        <v>295</v>
      </c>
      <c r="B295" s="45" t="n"/>
      <c r="C295" s="46">
        <f>IF(B295="","",TEXT(B295,"MMM-YYYY"))</f>
        <v/>
      </c>
      <c r="D295" s="47" t="n"/>
      <c r="E295" s="47" t="n"/>
      <c r="F295" s="47" t="n"/>
      <c r="G295" s="47" t="n"/>
      <c r="H295" s="47" t="n"/>
      <c r="I295" s="48" t="n"/>
      <c r="J295" s="47" t="n"/>
      <c r="K295" s="49" t="n"/>
      <c r="L295" s="50">
        <f>IF(OR(I295="",K295=""),"",I295*K295)</f>
        <v/>
      </c>
      <c r="M295" s="51" t="n"/>
      <c r="N295" s="51" t="n"/>
      <c r="O295" s="50">
        <f>IF(L295="","",IF(M295="",L295,L295*(1-M295)))</f>
        <v/>
      </c>
      <c r="P295" s="47" t="n"/>
      <c r="Q295" s="47" t="n"/>
    </row>
    <row r="296" ht="15.75" customHeight="1" s="99">
      <c r="A296" s="43" t="n">
        <v>296</v>
      </c>
      <c r="B296" s="53" t="n"/>
      <c r="C296" s="54">
        <f>IF(B296="","",TEXT(B296,"MMM-YYYY"))</f>
        <v/>
      </c>
      <c r="D296" s="55" t="n"/>
      <c r="E296" s="55" t="n"/>
      <c r="F296" s="55" t="n"/>
      <c r="G296" s="55" t="n"/>
      <c r="H296" s="55" t="n"/>
      <c r="I296" s="56" t="n"/>
      <c r="J296" s="55" t="n"/>
      <c r="K296" s="57" t="n"/>
      <c r="L296" s="58">
        <f>IF(OR(I296="",K296=""),"",I296*K296)</f>
        <v/>
      </c>
      <c r="M296" s="59" t="n"/>
      <c r="N296" s="59" t="n"/>
      <c r="O296" s="58">
        <f>IF(L296="","",IF(M296="",L296,L296*(1-M296)))</f>
        <v/>
      </c>
      <c r="P296" s="55" t="n"/>
      <c r="Q296" s="55" t="n"/>
    </row>
    <row r="297" ht="15.75" customHeight="1" s="99">
      <c r="A297" s="41" t="n">
        <v>297</v>
      </c>
      <c r="B297" s="45" t="n"/>
      <c r="C297" s="46">
        <f>IF(B297="","",TEXT(B297,"MMM-YYYY"))</f>
        <v/>
      </c>
      <c r="D297" s="47" t="n"/>
      <c r="E297" s="47" t="n"/>
      <c r="F297" s="47" t="n"/>
      <c r="G297" s="47" t="n"/>
      <c r="H297" s="47" t="n"/>
      <c r="I297" s="48" t="n"/>
      <c r="J297" s="47" t="n"/>
      <c r="K297" s="49" t="n"/>
      <c r="L297" s="50">
        <f>IF(OR(I297="",K297=""),"",I297*K297)</f>
        <v/>
      </c>
      <c r="M297" s="51" t="n"/>
      <c r="N297" s="51" t="n"/>
      <c r="O297" s="50">
        <f>IF(L297="","",IF(M297="",L297,L297*(1-M297)))</f>
        <v/>
      </c>
      <c r="P297" s="47" t="n"/>
      <c r="Q297" s="47" t="n"/>
    </row>
    <row r="298" ht="15.75" customHeight="1" s="99">
      <c r="A298" s="43" t="n">
        <v>298</v>
      </c>
      <c r="B298" s="53" t="n"/>
      <c r="C298" s="54">
        <f>IF(B298="","",TEXT(B298,"MMM-YYYY"))</f>
        <v/>
      </c>
      <c r="D298" s="55" t="n"/>
      <c r="E298" s="55" t="n"/>
      <c r="F298" s="55" t="n"/>
      <c r="G298" s="55" t="n"/>
      <c r="H298" s="55" t="n"/>
      <c r="I298" s="56" t="n"/>
      <c r="J298" s="55" t="n"/>
      <c r="K298" s="57" t="n"/>
      <c r="L298" s="58">
        <f>IF(OR(I298="",K298=""),"",I298*K298)</f>
        <v/>
      </c>
      <c r="M298" s="59" t="n"/>
      <c r="N298" s="59" t="n"/>
      <c r="O298" s="58">
        <f>IF(L298="","",IF(M298="",L298,L298*(1-M298)))</f>
        <v/>
      </c>
      <c r="P298" s="55" t="n"/>
      <c r="Q298" s="55" t="n"/>
    </row>
    <row r="299" ht="15.75" customHeight="1" s="99">
      <c r="A299" s="41" t="n">
        <v>299</v>
      </c>
      <c r="B299" s="45" t="n"/>
      <c r="C299" s="46">
        <f>IF(B299="","",TEXT(B299,"MMM-YYYY"))</f>
        <v/>
      </c>
      <c r="D299" s="47" t="n"/>
      <c r="E299" s="47" t="n"/>
      <c r="F299" s="47" t="n"/>
      <c r="G299" s="47" t="n"/>
      <c r="H299" s="47" t="n"/>
      <c r="I299" s="48" t="n"/>
      <c r="J299" s="47" t="n"/>
      <c r="K299" s="49" t="n"/>
      <c r="L299" s="50">
        <f>IF(OR(I299="",K299=""),"",I299*K299)</f>
        <v/>
      </c>
      <c r="M299" s="51" t="n"/>
      <c r="N299" s="51" t="n"/>
      <c r="O299" s="50">
        <f>IF(L299="","",IF(M299="",L299,L299*(1-M299)))</f>
        <v/>
      </c>
      <c r="P299" s="47" t="n"/>
      <c r="Q299" s="47" t="n"/>
    </row>
    <row r="300" ht="15.75" customHeight="1" s="99">
      <c r="A300" s="43" t="n">
        <v>300</v>
      </c>
      <c r="B300" s="53" t="n"/>
      <c r="C300" s="54">
        <f>IF(B300="","",TEXT(B300,"MMM-YYYY"))</f>
        <v/>
      </c>
      <c r="D300" s="55" t="n"/>
      <c r="E300" s="55" t="n"/>
      <c r="F300" s="55" t="n"/>
      <c r="G300" s="55" t="n"/>
      <c r="H300" s="55" t="n"/>
      <c r="I300" s="56" t="n"/>
      <c r="J300" s="55" t="n"/>
      <c r="K300" s="57" t="n"/>
      <c r="L300" s="58">
        <f>IF(OR(I300="",K300=""),"",I300*K300)</f>
        <v/>
      </c>
      <c r="M300" s="59" t="n"/>
      <c r="N300" s="59" t="n"/>
      <c r="O300" s="58">
        <f>IF(L300="","",IF(M300="",L300,L300*(1-M300)))</f>
        <v/>
      </c>
      <c r="P300" s="55" t="n"/>
      <c r="Q300" s="55" t="n"/>
    </row>
    <row r="301" ht="15.75" customHeight="1" s="99">
      <c r="A301" s="41" t="n">
        <v>301</v>
      </c>
      <c r="B301" s="45" t="n"/>
      <c r="C301" s="46">
        <f>IF(B301="","",TEXT(B301,"MMM-YYYY"))</f>
        <v/>
      </c>
      <c r="D301" s="47" t="n"/>
      <c r="E301" s="47" t="n"/>
      <c r="F301" s="47" t="n"/>
      <c r="G301" s="47" t="n"/>
      <c r="H301" s="47" t="n"/>
      <c r="I301" s="48" t="n"/>
      <c r="J301" s="47" t="n"/>
      <c r="K301" s="49" t="n"/>
      <c r="L301" s="50">
        <f>IF(OR(I301="",K301=""),"",I301*K301)</f>
        <v/>
      </c>
      <c r="M301" s="51" t="n"/>
      <c r="N301" s="51" t="n"/>
      <c r="O301" s="50">
        <f>IF(L301="","",IF(M301="",L301,L301*(1-M301)))</f>
        <v/>
      </c>
      <c r="P301" s="47" t="n"/>
      <c r="Q301" s="47" t="n"/>
    </row>
    <row r="302" ht="15.75" customHeight="1" s="99">
      <c r="A302" s="43" t="n">
        <v>302</v>
      </c>
      <c r="B302" s="53" t="n"/>
      <c r="C302" s="54">
        <f>IF(B302="","",TEXT(B302,"MMM-YYYY"))</f>
        <v/>
      </c>
      <c r="D302" s="55" t="n"/>
      <c r="E302" s="55" t="n"/>
      <c r="F302" s="55" t="n"/>
      <c r="G302" s="55" t="n"/>
      <c r="H302" s="55" t="n"/>
      <c r="I302" s="56" t="n"/>
      <c r="J302" s="55" t="n"/>
      <c r="K302" s="57" t="n"/>
      <c r="L302" s="58">
        <f>IF(OR(I302="",K302=""),"",I302*K302)</f>
        <v/>
      </c>
      <c r="M302" s="59" t="n"/>
      <c r="N302" s="59" t="n"/>
      <c r="O302" s="58">
        <f>IF(L302="","",IF(M302="",L302,L302*(1-M302)))</f>
        <v/>
      </c>
      <c r="P302" s="55" t="n"/>
      <c r="Q302" s="55" t="n"/>
    </row>
    <row r="303" ht="15.75" customHeight="1" s="99">
      <c r="A303" s="41" t="n">
        <v>303</v>
      </c>
      <c r="B303" s="45" t="n"/>
      <c r="C303" s="46">
        <f>IF(B303="","",TEXT(B303,"MMM-YYYY"))</f>
        <v/>
      </c>
      <c r="D303" s="47" t="n"/>
      <c r="E303" s="47" t="n"/>
      <c r="F303" s="47" t="n"/>
      <c r="G303" s="47" t="n"/>
      <c r="H303" s="47" t="n"/>
      <c r="I303" s="48" t="n"/>
      <c r="J303" s="47" t="n"/>
      <c r="K303" s="49" t="n"/>
      <c r="L303" s="50">
        <f>IF(OR(I303="",K303=""),"",I303*K303)</f>
        <v/>
      </c>
      <c r="M303" s="51" t="n"/>
      <c r="N303" s="51" t="n"/>
      <c r="O303" s="50">
        <f>IF(L303="","",IF(M303="",L303,L303*(1-M303)))</f>
        <v/>
      </c>
      <c r="P303" s="47" t="n"/>
      <c r="Q303" s="47" t="n"/>
    </row>
    <row r="304" ht="15.75" customHeight="1" s="99">
      <c r="A304" s="43" t="n">
        <v>304</v>
      </c>
      <c r="B304" s="53" t="n"/>
      <c r="C304" s="54">
        <f>IF(B304="","",TEXT(B304,"MMM-YYYY"))</f>
        <v/>
      </c>
      <c r="D304" s="55" t="n"/>
      <c r="E304" s="55" t="n"/>
      <c r="F304" s="55" t="n"/>
      <c r="G304" s="55" t="n"/>
      <c r="H304" s="55" t="n"/>
      <c r="I304" s="56" t="n"/>
      <c r="J304" s="55" t="n"/>
      <c r="K304" s="57" t="n"/>
      <c r="L304" s="58">
        <f>IF(OR(I304="",K304=""),"",I304*K304)</f>
        <v/>
      </c>
      <c r="M304" s="59" t="n"/>
      <c r="N304" s="59" t="n"/>
      <c r="O304" s="58">
        <f>IF(L304="","",IF(M304="",L304,L304*(1-M304)))</f>
        <v/>
      </c>
      <c r="P304" s="55" t="n"/>
      <c r="Q304" s="55" t="n"/>
    </row>
    <row r="305" ht="15.75" customHeight="1" s="99">
      <c r="A305" s="41" t="n">
        <v>305</v>
      </c>
      <c r="B305" s="45" t="n"/>
      <c r="C305" s="46">
        <f>IF(B305="","",TEXT(B305,"MMM-YYYY"))</f>
        <v/>
      </c>
      <c r="D305" s="47" t="n"/>
      <c r="E305" s="47" t="n"/>
      <c r="F305" s="47" t="n"/>
      <c r="G305" s="47" t="n"/>
      <c r="H305" s="47" t="n"/>
      <c r="I305" s="48" t="n"/>
      <c r="J305" s="47" t="n"/>
      <c r="K305" s="49" t="n"/>
      <c r="L305" s="50">
        <f>IF(OR(I305="",K305=""),"",I305*K305)</f>
        <v/>
      </c>
      <c r="M305" s="51" t="n"/>
      <c r="N305" s="51" t="n"/>
      <c r="O305" s="50">
        <f>IF(L305="","",IF(M305="",L305,L305*(1-M305)))</f>
        <v/>
      </c>
      <c r="P305" s="47" t="n"/>
      <c r="Q305" s="47" t="n"/>
    </row>
    <row r="306" ht="15.75" customHeight="1" s="99">
      <c r="A306" s="43" t="n">
        <v>306</v>
      </c>
      <c r="B306" s="53" t="n"/>
      <c r="C306" s="54">
        <f>IF(B306="","",TEXT(B306,"MMM-YYYY"))</f>
        <v/>
      </c>
      <c r="D306" s="55" t="n"/>
      <c r="E306" s="55" t="n"/>
      <c r="F306" s="55" t="n"/>
      <c r="G306" s="55" t="n"/>
      <c r="H306" s="55" t="n"/>
      <c r="I306" s="56" t="n"/>
      <c r="J306" s="55" t="n"/>
      <c r="K306" s="57" t="n"/>
      <c r="L306" s="58">
        <f>IF(OR(I306="",K306=""),"",I306*K306)</f>
        <v/>
      </c>
      <c r="M306" s="59" t="n"/>
      <c r="N306" s="59" t="n"/>
      <c r="O306" s="58">
        <f>IF(L306="","",IF(M306="",L306,L306*(1-M306)))</f>
        <v/>
      </c>
      <c r="P306" s="55" t="n"/>
      <c r="Q306" s="55" t="n"/>
    </row>
    <row r="307" ht="15.75" customHeight="1" s="99">
      <c r="A307" s="41" t="n">
        <v>307</v>
      </c>
      <c r="B307" s="45" t="n"/>
      <c r="C307" s="46">
        <f>IF(B307="","",TEXT(B307,"MMM-YYYY"))</f>
        <v/>
      </c>
      <c r="D307" s="47" t="n"/>
      <c r="E307" s="47" t="n"/>
      <c r="F307" s="47" t="n"/>
      <c r="G307" s="47" t="n"/>
      <c r="H307" s="47" t="n"/>
      <c r="I307" s="48" t="n"/>
      <c r="J307" s="47" t="n"/>
      <c r="K307" s="49" t="n"/>
      <c r="L307" s="50">
        <f>IF(OR(I307="",K307=""),"",I307*K307)</f>
        <v/>
      </c>
      <c r="M307" s="51" t="n"/>
      <c r="N307" s="51" t="n"/>
      <c r="O307" s="50">
        <f>IF(L307="","",IF(M307="",L307,L307*(1-M307)))</f>
        <v/>
      </c>
      <c r="P307" s="47" t="n"/>
      <c r="Q307" s="47" t="n"/>
    </row>
    <row r="308" ht="15.75" customHeight="1" s="99">
      <c r="A308" s="43" t="n">
        <v>308</v>
      </c>
      <c r="B308" s="53" t="n"/>
      <c r="C308" s="54">
        <f>IF(B308="","",TEXT(B308,"MMM-YYYY"))</f>
        <v/>
      </c>
      <c r="D308" s="55" t="n"/>
      <c r="E308" s="55" t="n"/>
      <c r="F308" s="55" t="n"/>
      <c r="G308" s="55" t="n"/>
      <c r="H308" s="55" t="n"/>
      <c r="I308" s="56" t="n"/>
      <c r="J308" s="55" t="n"/>
      <c r="K308" s="57" t="n"/>
      <c r="L308" s="58">
        <f>IF(OR(I308="",K308=""),"",I308*K308)</f>
        <v/>
      </c>
      <c r="M308" s="59" t="n"/>
      <c r="N308" s="59" t="n"/>
      <c r="O308" s="58">
        <f>IF(L308="","",IF(M308="",L308,L308*(1-M308)))</f>
        <v/>
      </c>
      <c r="P308" s="55" t="n"/>
      <c r="Q308" s="55" t="n"/>
    </row>
    <row r="309" ht="15.75" customHeight="1" s="99">
      <c r="A309" s="41" t="n">
        <v>309</v>
      </c>
      <c r="B309" s="45" t="n"/>
      <c r="C309" s="46">
        <f>IF(B309="","",TEXT(B309,"MMM-YYYY"))</f>
        <v/>
      </c>
      <c r="D309" s="47" t="n"/>
      <c r="E309" s="47" t="n"/>
      <c r="F309" s="47" t="n"/>
      <c r="G309" s="47" t="n"/>
      <c r="H309" s="47" t="n"/>
      <c r="I309" s="48" t="n"/>
      <c r="J309" s="47" t="n"/>
      <c r="K309" s="49" t="n"/>
      <c r="L309" s="50">
        <f>IF(OR(I309="",K309=""),"",I309*K309)</f>
        <v/>
      </c>
      <c r="M309" s="51" t="n"/>
      <c r="N309" s="51" t="n"/>
      <c r="O309" s="50">
        <f>IF(L309="","",IF(M309="",L309,L309*(1-M309)))</f>
        <v/>
      </c>
      <c r="P309" s="47" t="n"/>
      <c r="Q309" s="47" t="n"/>
    </row>
    <row r="310" ht="15.75" customHeight="1" s="99">
      <c r="A310" s="43" t="n">
        <v>310</v>
      </c>
      <c r="B310" s="53" t="n"/>
      <c r="C310" s="54">
        <f>IF(B310="","",TEXT(B310,"MMM-YYYY"))</f>
        <v/>
      </c>
      <c r="D310" s="55" t="n"/>
      <c r="E310" s="55" t="n"/>
      <c r="F310" s="55" t="n"/>
      <c r="G310" s="55" t="n"/>
      <c r="H310" s="55" t="n"/>
      <c r="I310" s="56" t="n"/>
      <c r="J310" s="55" t="n"/>
      <c r="K310" s="57" t="n"/>
      <c r="L310" s="58">
        <f>IF(OR(I310="",K310=""),"",I310*K310)</f>
        <v/>
      </c>
      <c r="M310" s="59" t="n"/>
      <c r="N310" s="59" t="n"/>
      <c r="O310" s="58">
        <f>IF(L310="","",IF(M310="",L310,L310*(1-M310)))</f>
        <v/>
      </c>
      <c r="P310" s="55" t="n"/>
      <c r="Q310" s="55" t="n"/>
    </row>
    <row r="311" ht="15.75" customHeight="1" s="99">
      <c r="A311" s="41" t="n">
        <v>311</v>
      </c>
      <c r="B311" s="45" t="n"/>
      <c r="C311" s="46">
        <f>IF(B311="","",TEXT(B311,"MMM-YYYY"))</f>
        <v/>
      </c>
      <c r="D311" s="47" t="n"/>
      <c r="E311" s="47" t="n"/>
      <c r="F311" s="47" t="n"/>
      <c r="G311" s="47" t="n"/>
      <c r="H311" s="47" t="n"/>
      <c r="I311" s="48" t="n"/>
      <c r="J311" s="47" t="n"/>
      <c r="K311" s="49" t="n"/>
      <c r="L311" s="50">
        <f>IF(OR(I311="",K311=""),"",I311*K311)</f>
        <v/>
      </c>
      <c r="M311" s="51" t="n"/>
      <c r="N311" s="51" t="n"/>
      <c r="O311" s="50">
        <f>IF(L311="","",IF(M311="",L311,L311*(1-M311)))</f>
        <v/>
      </c>
      <c r="P311" s="47" t="n"/>
      <c r="Q311" s="47" t="n"/>
    </row>
    <row r="312" ht="15.75" customHeight="1" s="99">
      <c r="A312" s="43" t="n">
        <v>312</v>
      </c>
      <c r="B312" s="53" t="n"/>
      <c r="C312" s="54">
        <f>IF(B312="","",TEXT(B312,"MMM-YYYY"))</f>
        <v/>
      </c>
      <c r="D312" s="55" t="n"/>
      <c r="E312" s="55" t="n"/>
      <c r="F312" s="55" t="n"/>
      <c r="G312" s="55" t="n"/>
      <c r="H312" s="55" t="n"/>
      <c r="I312" s="56" t="n"/>
      <c r="J312" s="55" t="n"/>
      <c r="K312" s="57" t="n"/>
      <c r="L312" s="58">
        <f>IF(OR(I312="",K312=""),"",I312*K312)</f>
        <v/>
      </c>
      <c r="M312" s="59" t="n"/>
      <c r="N312" s="59" t="n"/>
      <c r="O312" s="58">
        <f>IF(L312="","",IF(M312="",L312,L312*(1-M312)))</f>
        <v/>
      </c>
      <c r="P312" s="55" t="n"/>
      <c r="Q312" s="55" t="n"/>
    </row>
    <row r="313" ht="15.75" customHeight="1" s="99">
      <c r="A313" s="41" t="n">
        <v>313</v>
      </c>
      <c r="B313" s="45" t="n"/>
      <c r="C313" s="46">
        <f>IF(B313="","",TEXT(B313,"MMM-YYYY"))</f>
        <v/>
      </c>
      <c r="D313" s="47" t="n"/>
      <c r="E313" s="47" t="n"/>
      <c r="F313" s="47" t="n"/>
      <c r="G313" s="47" t="n"/>
      <c r="H313" s="47" t="n"/>
      <c r="I313" s="48" t="n"/>
      <c r="J313" s="47" t="n"/>
      <c r="K313" s="49" t="n"/>
      <c r="L313" s="50">
        <f>IF(OR(I313="",K313=""),"",I313*K313)</f>
        <v/>
      </c>
      <c r="M313" s="51" t="n"/>
      <c r="N313" s="51" t="n"/>
      <c r="O313" s="50">
        <f>IF(L313="","",IF(M313="",L313,L313*(1-M313)))</f>
        <v/>
      </c>
      <c r="P313" s="47" t="n"/>
      <c r="Q313" s="47" t="n"/>
    </row>
    <row r="314" ht="15.75" customHeight="1" s="99">
      <c r="A314" s="43" t="n">
        <v>314</v>
      </c>
      <c r="B314" s="53" t="n"/>
      <c r="C314" s="54">
        <f>IF(B314="","",TEXT(B314,"MMM-YYYY"))</f>
        <v/>
      </c>
      <c r="D314" s="55" t="n"/>
      <c r="E314" s="55" t="n"/>
      <c r="F314" s="55" t="n"/>
      <c r="G314" s="55" t="n"/>
      <c r="H314" s="55" t="n"/>
      <c r="I314" s="56" t="n"/>
      <c r="J314" s="55" t="n"/>
      <c r="K314" s="57" t="n"/>
      <c r="L314" s="58">
        <f>IF(OR(I314="",K314=""),"",I314*K314)</f>
        <v/>
      </c>
      <c r="M314" s="59" t="n"/>
      <c r="N314" s="59" t="n"/>
      <c r="O314" s="58">
        <f>IF(L314="","",IF(M314="",L314,L314*(1-M314)))</f>
        <v/>
      </c>
      <c r="P314" s="55" t="n"/>
      <c r="Q314" s="55" t="n"/>
    </row>
    <row r="315" ht="15.75" customHeight="1" s="99">
      <c r="A315" s="41" t="n">
        <v>315</v>
      </c>
      <c r="B315" s="45" t="n"/>
      <c r="C315" s="46">
        <f>IF(B315="","",TEXT(B315,"MMM-YYYY"))</f>
        <v/>
      </c>
      <c r="D315" s="47" t="n"/>
      <c r="E315" s="47" t="n"/>
      <c r="F315" s="47" t="n"/>
      <c r="G315" s="47" t="n"/>
      <c r="H315" s="47" t="n"/>
      <c r="I315" s="48" t="n"/>
      <c r="J315" s="47" t="n"/>
      <c r="K315" s="49" t="n"/>
      <c r="L315" s="50">
        <f>IF(OR(I315="",K315=""),"",I315*K315)</f>
        <v/>
      </c>
      <c r="M315" s="51" t="n"/>
      <c r="N315" s="51" t="n"/>
      <c r="O315" s="50">
        <f>IF(L315="","",IF(M315="",L315,L315*(1-M315)))</f>
        <v/>
      </c>
      <c r="P315" s="47" t="n"/>
      <c r="Q315" s="47" t="n"/>
    </row>
    <row r="316" ht="15.75" customHeight="1" s="99">
      <c r="A316" s="43" t="n">
        <v>316</v>
      </c>
      <c r="B316" s="53" t="n"/>
      <c r="C316" s="54">
        <f>IF(B316="","",TEXT(B316,"MMM-YYYY"))</f>
        <v/>
      </c>
      <c r="D316" s="55" t="n"/>
      <c r="E316" s="55" t="n"/>
      <c r="F316" s="55" t="n"/>
      <c r="G316" s="55" t="n"/>
      <c r="H316" s="55" t="n"/>
      <c r="I316" s="56" t="n"/>
      <c r="J316" s="55" t="n"/>
      <c r="K316" s="57" t="n"/>
      <c r="L316" s="58">
        <f>IF(OR(I316="",K316=""),"",I316*K316)</f>
        <v/>
      </c>
      <c r="M316" s="59" t="n"/>
      <c r="N316" s="59" t="n"/>
      <c r="O316" s="58">
        <f>IF(L316="","",IF(M316="",L316,L316*(1-M316)))</f>
        <v/>
      </c>
      <c r="P316" s="55" t="n"/>
      <c r="Q316" s="55" t="n"/>
    </row>
    <row r="317" ht="15.75" customHeight="1" s="99">
      <c r="A317" s="41" t="n">
        <v>317</v>
      </c>
      <c r="B317" s="45" t="n"/>
      <c r="C317" s="46">
        <f>IF(B317="","",TEXT(B317,"MMM-YYYY"))</f>
        <v/>
      </c>
      <c r="D317" s="47" t="n"/>
      <c r="E317" s="47" t="n"/>
      <c r="F317" s="47" t="n"/>
      <c r="G317" s="47" t="n"/>
      <c r="H317" s="47" t="n"/>
      <c r="I317" s="48" t="n"/>
      <c r="J317" s="47" t="n"/>
      <c r="K317" s="49" t="n"/>
      <c r="L317" s="50">
        <f>IF(OR(I317="",K317=""),"",I317*K317)</f>
        <v/>
      </c>
      <c r="M317" s="51" t="n"/>
      <c r="N317" s="51" t="n"/>
      <c r="O317" s="50">
        <f>IF(L317="","",IF(M317="",L317,L317*(1-M317)))</f>
        <v/>
      </c>
      <c r="P317" s="47" t="n"/>
      <c r="Q317" s="47" t="n"/>
    </row>
    <row r="318" ht="15.75" customHeight="1" s="99">
      <c r="A318" s="43" t="n">
        <v>318</v>
      </c>
      <c r="B318" s="53" t="n"/>
      <c r="C318" s="54">
        <f>IF(B318="","",TEXT(B318,"MMM-YYYY"))</f>
        <v/>
      </c>
      <c r="D318" s="55" t="n"/>
      <c r="E318" s="55" t="n"/>
      <c r="F318" s="55" t="n"/>
      <c r="G318" s="55" t="n"/>
      <c r="H318" s="55" t="n"/>
      <c r="I318" s="56" t="n"/>
      <c r="J318" s="55" t="n"/>
      <c r="K318" s="57" t="n"/>
      <c r="L318" s="58">
        <f>IF(OR(I318="",K318=""),"",I318*K318)</f>
        <v/>
      </c>
      <c r="M318" s="59" t="n"/>
      <c r="N318" s="59" t="n"/>
      <c r="O318" s="58">
        <f>IF(L318="","",IF(M318="",L318,L318*(1-M318)))</f>
        <v/>
      </c>
      <c r="P318" s="55" t="n"/>
      <c r="Q318" s="55" t="n"/>
    </row>
    <row r="319" ht="15.75" customHeight="1" s="99">
      <c r="A319" s="41" t="n">
        <v>319</v>
      </c>
      <c r="B319" s="45" t="n"/>
      <c r="C319" s="46">
        <f>IF(B319="","",TEXT(B319,"MMM-YYYY"))</f>
        <v/>
      </c>
      <c r="D319" s="47" t="n"/>
      <c r="E319" s="47" t="n"/>
      <c r="F319" s="47" t="n"/>
      <c r="G319" s="47" t="n"/>
      <c r="H319" s="47" t="n"/>
      <c r="I319" s="48" t="n"/>
      <c r="J319" s="47" t="n"/>
      <c r="K319" s="49" t="n"/>
      <c r="L319" s="50">
        <f>IF(OR(I319="",K319=""),"",I319*K319)</f>
        <v/>
      </c>
      <c r="M319" s="51" t="n"/>
      <c r="N319" s="51" t="n"/>
      <c r="O319" s="50">
        <f>IF(L319="","",IF(M319="",L319,L319*(1-M319)))</f>
        <v/>
      </c>
      <c r="P319" s="47" t="n"/>
      <c r="Q319" s="47" t="n"/>
    </row>
    <row r="320" ht="15.75" customHeight="1" s="99">
      <c r="A320" s="43" t="n">
        <v>320</v>
      </c>
      <c r="B320" s="53" t="n"/>
      <c r="C320" s="54">
        <f>IF(B320="","",TEXT(B320,"MMM-YYYY"))</f>
        <v/>
      </c>
      <c r="D320" s="55" t="n"/>
      <c r="E320" s="55" t="n"/>
      <c r="F320" s="55" t="n"/>
      <c r="G320" s="55" t="n"/>
      <c r="H320" s="55" t="n"/>
      <c r="I320" s="56" t="n"/>
      <c r="J320" s="55" t="n"/>
      <c r="K320" s="57" t="n"/>
      <c r="L320" s="58">
        <f>IF(OR(I320="",K320=""),"",I320*K320)</f>
        <v/>
      </c>
      <c r="M320" s="59" t="n"/>
      <c r="N320" s="59" t="n"/>
      <c r="O320" s="58">
        <f>IF(L320="","",IF(M320="",L320,L320*(1-M320)))</f>
        <v/>
      </c>
      <c r="P320" s="55" t="n"/>
      <c r="Q320" s="55" t="n"/>
    </row>
    <row r="321" ht="15.75" customHeight="1" s="99">
      <c r="A321" s="41" t="n">
        <v>321</v>
      </c>
      <c r="B321" s="45" t="n"/>
      <c r="C321" s="46">
        <f>IF(B321="","",TEXT(B321,"MMM-YYYY"))</f>
        <v/>
      </c>
      <c r="D321" s="47" t="n"/>
      <c r="E321" s="47" t="n"/>
      <c r="F321" s="47" t="n"/>
      <c r="G321" s="47" t="n"/>
      <c r="H321" s="47" t="n"/>
      <c r="I321" s="48" t="n"/>
      <c r="J321" s="47" t="n"/>
      <c r="K321" s="49" t="n"/>
      <c r="L321" s="50">
        <f>IF(OR(I321="",K321=""),"",I321*K321)</f>
        <v/>
      </c>
      <c r="M321" s="51" t="n"/>
      <c r="N321" s="51" t="n"/>
      <c r="O321" s="50">
        <f>IF(L321="","",IF(M321="",L321,L321*(1-M321)))</f>
        <v/>
      </c>
      <c r="P321" s="47" t="n"/>
      <c r="Q321" s="47" t="n"/>
    </row>
    <row r="322" ht="15.75" customHeight="1" s="99">
      <c r="A322" s="43" t="n">
        <v>322</v>
      </c>
      <c r="B322" s="53" t="n"/>
      <c r="C322" s="54">
        <f>IF(B322="","",TEXT(B322,"MMM-YYYY"))</f>
        <v/>
      </c>
      <c r="D322" s="55" t="n"/>
      <c r="E322" s="55" t="n"/>
      <c r="F322" s="55" t="n"/>
      <c r="G322" s="55" t="n"/>
      <c r="H322" s="55" t="n"/>
      <c r="I322" s="56" t="n"/>
      <c r="J322" s="55" t="n"/>
      <c r="K322" s="57" t="n"/>
      <c r="L322" s="58">
        <f>IF(OR(I322="",K322=""),"",I322*K322)</f>
        <v/>
      </c>
      <c r="M322" s="59" t="n"/>
      <c r="N322" s="59" t="n"/>
      <c r="O322" s="58">
        <f>IF(L322="","",IF(M322="",L322,L322*(1-M322)))</f>
        <v/>
      </c>
      <c r="P322" s="55" t="n"/>
      <c r="Q322" s="55" t="n"/>
    </row>
    <row r="323" ht="15.75" customHeight="1" s="99">
      <c r="A323" s="41" t="n">
        <v>323</v>
      </c>
      <c r="B323" s="45" t="n"/>
      <c r="C323" s="46">
        <f>IF(B323="","",TEXT(B323,"MMM-YYYY"))</f>
        <v/>
      </c>
      <c r="D323" s="47" t="n"/>
      <c r="E323" s="47" t="n"/>
      <c r="F323" s="47" t="n"/>
      <c r="G323" s="47" t="n"/>
      <c r="H323" s="47" t="n"/>
      <c r="I323" s="48" t="n"/>
      <c r="J323" s="47" t="n"/>
      <c r="K323" s="49" t="n"/>
      <c r="L323" s="50">
        <f>IF(OR(I323="",K323=""),"",I323*K323)</f>
        <v/>
      </c>
      <c r="M323" s="51" t="n"/>
      <c r="N323" s="51" t="n"/>
      <c r="O323" s="50">
        <f>IF(L323="","",IF(M323="",L323,L323*(1-M323)))</f>
        <v/>
      </c>
      <c r="P323" s="47" t="n"/>
      <c r="Q323" s="47" t="n"/>
    </row>
    <row r="324" ht="15.75" customHeight="1" s="99">
      <c r="A324" s="43" t="n">
        <v>324</v>
      </c>
      <c r="B324" s="53" t="n"/>
      <c r="C324" s="54">
        <f>IF(B324="","",TEXT(B324,"MMM-YYYY"))</f>
        <v/>
      </c>
      <c r="D324" s="55" t="n"/>
      <c r="E324" s="55" t="n"/>
      <c r="F324" s="55" t="n"/>
      <c r="G324" s="55" t="n"/>
      <c r="H324" s="55" t="n"/>
      <c r="I324" s="56" t="n"/>
      <c r="J324" s="55" t="n"/>
      <c r="K324" s="57" t="n"/>
      <c r="L324" s="58">
        <f>IF(OR(I324="",K324=""),"",I324*K324)</f>
        <v/>
      </c>
      <c r="M324" s="59" t="n"/>
      <c r="N324" s="59" t="n"/>
      <c r="O324" s="58">
        <f>IF(L324="","",IF(M324="",L324,L324*(1-M324)))</f>
        <v/>
      </c>
      <c r="P324" s="55" t="n"/>
      <c r="Q324" s="55" t="n"/>
    </row>
    <row r="325" ht="15.75" customHeight="1" s="99">
      <c r="A325" s="41" t="n">
        <v>325</v>
      </c>
      <c r="B325" s="45" t="n"/>
      <c r="C325" s="46">
        <f>IF(B325="","",TEXT(B325,"MMM-YYYY"))</f>
        <v/>
      </c>
      <c r="D325" s="47" t="n"/>
      <c r="E325" s="47" t="n"/>
      <c r="F325" s="47" t="n"/>
      <c r="G325" s="47" t="n"/>
      <c r="H325" s="47" t="n"/>
      <c r="I325" s="48" t="n"/>
      <c r="J325" s="47" t="n"/>
      <c r="K325" s="49" t="n"/>
      <c r="L325" s="50">
        <f>IF(OR(I325="",K325=""),"",I325*K325)</f>
        <v/>
      </c>
      <c r="M325" s="51" t="n"/>
      <c r="N325" s="51" t="n"/>
      <c r="O325" s="50">
        <f>IF(L325="","",IF(M325="",L325,L325*(1-M325)))</f>
        <v/>
      </c>
      <c r="P325" s="47" t="n"/>
      <c r="Q325" s="47" t="n"/>
    </row>
    <row r="326" ht="15.75" customHeight="1" s="99">
      <c r="A326" s="43" t="n">
        <v>326</v>
      </c>
      <c r="B326" s="53" t="n"/>
      <c r="C326" s="54">
        <f>IF(B326="","",TEXT(B326,"MMM-YYYY"))</f>
        <v/>
      </c>
      <c r="D326" s="55" t="n"/>
      <c r="E326" s="55" t="n"/>
      <c r="F326" s="55" t="n"/>
      <c r="G326" s="55" t="n"/>
      <c r="H326" s="55" t="n"/>
      <c r="I326" s="56" t="n"/>
      <c r="J326" s="55" t="n"/>
      <c r="K326" s="57" t="n"/>
      <c r="L326" s="58">
        <f>IF(OR(I326="",K326=""),"",I326*K326)</f>
        <v/>
      </c>
      <c r="M326" s="59" t="n"/>
      <c r="N326" s="59" t="n"/>
      <c r="O326" s="58">
        <f>IF(L326="","",IF(M326="",L326,L326*(1-M326)))</f>
        <v/>
      </c>
      <c r="P326" s="55" t="n"/>
      <c r="Q326" s="55" t="n"/>
    </row>
    <row r="327" ht="15.75" customHeight="1" s="99">
      <c r="A327" s="41" t="n">
        <v>327</v>
      </c>
      <c r="B327" s="45" t="n"/>
      <c r="C327" s="46">
        <f>IF(B327="","",TEXT(B327,"MMM-YYYY"))</f>
        <v/>
      </c>
      <c r="D327" s="47" t="n"/>
      <c r="E327" s="47" t="n"/>
      <c r="F327" s="47" t="n"/>
      <c r="G327" s="47" t="n"/>
      <c r="H327" s="47" t="n"/>
      <c r="I327" s="48" t="n"/>
      <c r="J327" s="47" t="n"/>
      <c r="K327" s="49" t="n"/>
      <c r="L327" s="50">
        <f>IF(OR(I327="",K327=""),"",I327*K327)</f>
        <v/>
      </c>
      <c r="M327" s="51" t="n"/>
      <c r="N327" s="51" t="n"/>
      <c r="O327" s="50">
        <f>IF(L327="","",IF(M327="",L327,L327*(1-M327)))</f>
        <v/>
      </c>
      <c r="P327" s="47" t="n"/>
      <c r="Q327" s="47" t="n"/>
    </row>
    <row r="328" ht="15.75" customHeight="1" s="99">
      <c r="A328" s="43" t="n">
        <v>328</v>
      </c>
      <c r="B328" s="53" t="n"/>
      <c r="C328" s="54">
        <f>IF(B328="","",TEXT(B328,"MMM-YYYY"))</f>
        <v/>
      </c>
      <c r="D328" s="55" t="n"/>
      <c r="E328" s="55" t="n"/>
      <c r="F328" s="55" t="n"/>
      <c r="G328" s="55" t="n"/>
      <c r="H328" s="55" t="n"/>
      <c r="I328" s="56" t="n"/>
      <c r="J328" s="55" t="n"/>
      <c r="K328" s="57" t="n"/>
      <c r="L328" s="58">
        <f>IF(OR(I328="",K328=""),"",I328*K328)</f>
        <v/>
      </c>
      <c r="M328" s="59" t="n"/>
      <c r="N328" s="59" t="n"/>
      <c r="O328" s="58">
        <f>IF(L328="","",IF(M328="",L328,L328*(1-M328)))</f>
        <v/>
      </c>
      <c r="P328" s="55" t="n"/>
      <c r="Q328" s="55" t="n"/>
    </row>
    <row r="329" ht="15.75" customHeight="1" s="99">
      <c r="A329" s="41" t="n">
        <v>329</v>
      </c>
      <c r="B329" s="45" t="n"/>
      <c r="C329" s="46">
        <f>IF(B329="","",TEXT(B329,"MMM-YYYY"))</f>
        <v/>
      </c>
      <c r="D329" s="47" t="n"/>
      <c r="E329" s="47" t="n"/>
      <c r="F329" s="47" t="n"/>
      <c r="G329" s="47" t="n"/>
      <c r="H329" s="47" t="n"/>
      <c r="I329" s="48" t="n"/>
      <c r="J329" s="47" t="n"/>
      <c r="K329" s="49" t="n"/>
      <c r="L329" s="50">
        <f>IF(OR(I329="",K329=""),"",I329*K329)</f>
        <v/>
      </c>
      <c r="M329" s="51" t="n"/>
      <c r="N329" s="51" t="n"/>
      <c r="O329" s="50">
        <f>IF(L329="","",IF(M329="",L329,L329*(1-M329)))</f>
        <v/>
      </c>
      <c r="P329" s="47" t="n"/>
      <c r="Q329" s="47" t="n"/>
    </row>
    <row r="330" ht="15.75" customHeight="1" s="99">
      <c r="A330" s="43" t="n">
        <v>330</v>
      </c>
      <c r="B330" s="53" t="n"/>
      <c r="C330" s="54">
        <f>IF(B330="","",TEXT(B330,"MMM-YYYY"))</f>
        <v/>
      </c>
      <c r="D330" s="55" t="n"/>
      <c r="E330" s="55" t="n"/>
      <c r="F330" s="55" t="n"/>
      <c r="G330" s="55" t="n"/>
      <c r="H330" s="55" t="n"/>
      <c r="I330" s="56" t="n"/>
      <c r="J330" s="55" t="n"/>
      <c r="K330" s="57" t="n"/>
      <c r="L330" s="58">
        <f>IF(OR(I330="",K330=""),"",I330*K330)</f>
        <v/>
      </c>
      <c r="M330" s="59" t="n"/>
      <c r="N330" s="59" t="n"/>
      <c r="O330" s="58">
        <f>IF(L330="","",IF(M330="",L330,L330*(1-M330)))</f>
        <v/>
      </c>
      <c r="P330" s="55" t="n"/>
      <c r="Q330" s="55" t="n"/>
    </row>
    <row r="331" ht="15.75" customHeight="1" s="99">
      <c r="A331" s="41" t="n">
        <v>331</v>
      </c>
      <c r="B331" s="45" t="n"/>
      <c r="C331" s="46">
        <f>IF(B331="","",TEXT(B331,"MMM-YYYY"))</f>
        <v/>
      </c>
      <c r="D331" s="47" t="n"/>
      <c r="E331" s="47" t="n"/>
      <c r="F331" s="47" t="n"/>
      <c r="G331" s="47" t="n"/>
      <c r="H331" s="47" t="n"/>
      <c r="I331" s="48" t="n"/>
      <c r="J331" s="47" t="n"/>
      <c r="K331" s="49" t="n"/>
      <c r="L331" s="50">
        <f>IF(OR(I331="",K331=""),"",I331*K331)</f>
        <v/>
      </c>
      <c r="M331" s="51" t="n"/>
      <c r="N331" s="51" t="n"/>
      <c r="O331" s="50">
        <f>IF(L331="","",IF(M331="",L331,L331*(1-M331)))</f>
        <v/>
      </c>
      <c r="P331" s="47" t="n"/>
      <c r="Q331" s="47" t="n"/>
    </row>
    <row r="332" ht="15.75" customHeight="1" s="99">
      <c r="A332" s="43" t="n">
        <v>332</v>
      </c>
      <c r="B332" s="53" t="n"/>
      <c r="C332" s="54">
        <f>IF(B332="","",TEXT(B332,"MMM-YYYY"))</f>
        <v/>
      </c>
      <c r="D332" s="55" t="n"/>
      <c r="E332" s="55" t="n"/>
      <c r="F332" s="55" t="n"/>
      <c r="G332" s="55" t="n"/>
      <c r="H332" s="55" t="n"/>
      <c r="I332" s="56" t="n"/>
      <c r="J332" s="55" t="n"/>
      <c r="K332" s="57" t="n"/>
      <c r="L332" s="58">
        <f>IF(OR(I332="",K332=""),"",I332*K332)</f>
        <v/>
      </c>
      <c r="M332" s="59" t="n"/>
      <c r="N332" s="59" t="n"/>
      <c r="O332" s="58">
        <f>IF(L332="","",IF(M332="",L332,L332*(1-M332)))</f>
        <v/>
      </c>
      <c r="P332" s="55" t="n"/>
      <c r="Q332" s="55" t="n"/>
    </row>
    <row r="333" ht="15.75" customHeight="1" s="99">
      <c r="A333" s="41" t="n">
        <v>333</v>
      </c>
      <c r="B333" s="45" t="n"/>
      <c r="C333" s="46">
        <f>IF(B333="","",TEXT(B333,"MMM-YYYY"))</f>
        <v/>
      </c>
      <c r="D333" s="47" t="n"/>
      <c r="E333" s="47" t="n"/>
      <c r="F333" s="47" t="n"/>
      <c r="G333" s="47" t="n"/>
      <c r="H333" s="47" t="n"/>
      <c r="I333" s="48" t="n"/>
      <c r="J333" s="47" t="n"/>
      <c r="K333" s="49" t="n"/>
      <c r="L333" s="50">
        <f>IF(OR(I333="",K333=""),"",I333*K333)</f>
        <v/>
      </c>
      <c r="M333" s="51" t="n"/>
      <c r="N333" s="51" t="n"/>
      <c r="O333" s="50">
        <f>IF(L333="","",IF(M333="",L333,L333*(1-M333)))</f>
        <v/>
      </c>
      <c r="P333" s="47" t="n"/>
      <c r="Q333" s="47" t="n"/>
    </row>
    <row r="334" ht="15.75" customHeight="1" s="99">
      <c r="A334" s="43" t="n">
        <v>334</v>
      </c>
      <c r="B334" s="53" t="n"/>
      <c r="C334" s="54">
        <f>IF(B334="","",TEXT(B334,"MMM-YYYY"))</f>
        <v/>
      </c>
      <c r="D334" s="55" t="n"/>
      <c r="E334" s="55" t="n"/>
      <c r="F334" s="55" t="n"/>
      <c r="G334" s="55" t="n"/>
      <c r="H334" s="55" t="n"/>
      <c r="I334" s="56" t="n"/>
      <c r="J334" s="55" t="n"/>
      <c r="K334" s="57" t="n"/>
      <c r="L334" s="58">
        <f>IF(OR(I334="",K334=""),"",I334*K334)</f>
        <v/>
      </c>
      <c r="M334" s="59" t="n"/>
      <c r="N334" s="59" t="n"/>
      <c r="O334" s="58">
        <f>IF(L334="","",IF(M334="",L334,L334*(1-M334)))</f>
        <v/>
      </c>
      <c r="P334" s="55" t="n"/>
      <c r="Q334" s="55" t="n"/>
    </row>
    <row r="335" ht="15.75" customHeight="1" s="99">
      <c r="A335" s="41" t="n">
        <v>335</v>
      </c>
      <c r="B335" s="45" t="n"/>
      <c r="C335" s="46">
        <f>IF(B335="","",TEXT(B335,"MMM-YYYY"))</f>
        <v/>
      </c>
      <c r="D335" s="47" t="n"/>
      <c r="E335" s="47" t="n"/>
      <c r="F335" s="47" t="n"/>
      <c r="G335" s="47" t="n"/>
      <c r="H335" s="47" t="n"/>
      <c r="I335" s="48" t="n"/>
      <c r="J335" s="47" t="n"/>
      <c r="K335" s="49" t="n"/>
      <c r="L335" s="50">
        <f>IF(OR(I335="",K335=""),"",I335*K335)</f>
        <v/>
      </c>
      <c r="M335" s="51" t="n"/>
      <c r="N335" s="51" t="n"/>
      <c r="O335" s="50">
        <f>IF(L335="","",IF(M335="",L335,L335*(1-M335)))</f>
        <v/>
      </c>
      <c r="P335" s="47" t="n"/>
      <c r="Q335" s="47" t="n"/>
    </row>
    <row r="336" ht="15.75" customHeight="1" s="99">
      <c r="A336" s="43" t="n">
        <v>336</v>
      </c>
      <c r="B336" s="53" t="n"/>
      <c r="C336" s="54">
        <f>IF(B336="","",TEXT(B336,"MMM-YYYY"))</f>
        <v/>
      </c>
      <c r="D336" s="55" t="n"/>
      <c r="E336" s="55" t="n"/>
      <c r="F336" s="55" t="n"/>
      <c r="G336" s="55" t="n"/>
      <c r="H336" s="55" t="n"/>
      <c r="I336" s="56" t="n"/>
      <c r="J336" s="55" t="n"/>
      <c r="K336" s="57" t="n"/>
      <c r="L336" s="58">
        <f>IF(OR(I336="",K336=""),"",I336*K336)</f>
        <v/>
      </c>
      <c r="M336" s="59" t="n"/>
      <c r="N336" s="59" t="n"/>
      <c r="O336" s="58">
        <f>IF(L336="","",IF(M336="",L336,L336*(1-M336)))</f>
        <v/>
      </c>
      <c r="P336" s="55" t="n"/>
      <c r="Q336" s="55" t="n"/>
    </row>
    <row r="337" ht="15.75" customHeight="1" s="99">
      <c r="A337" s="41" t="n">
        <v>337</v>
      </c>
      <c r="B337" s="45" t="n"/>
      <c r="C337" s="46">
        <f>IF(B337="","",TEXT(B337,"MMM-YYYY"))</f>
        <v/>
      </c>
      <c r="D337" s="47" t="n"/>
      <c r="E337" s="47" t="n"/>
      <c r="F337" s="47" t="n"/>
      <c r="G337" s="47" t="n"/>
      <c r="H337" s="47" t="n"/>
      <c r="I337" s="48" t="n"/>
      <c r="J337" s="47" t="n"/>
      <c r="K337" s="49" t="n"/>
      <c r="L337" s="50">
        <f>IF(OR(I337="",K337=""),"",I337*K337)</f>
        <v/>
      </c>
      <c r="M337" s="51" t="n"/>
      <c r="N337" s="51" t="n"/>
      <c r="O337" s="50">
        <f>IF(L337="","",IF(M337="",L337,L337*(1-M337)))</f>
        <v/>
      </c>
      <c r="P337" s="47" t="n"/>
      <c r="Q337" s="47" t="n"/>
    </row>
    <row r="338" ht="15.75" customHeight="1" s="99">
      <c r="A338" s="43" t="n">
        <v>338</v>
      </c>
      <c r="B338" s="53" t="n"/>
      <c r="C338" s="54">
        <f>IF(B338="","",TEXT(B338,"MMM-YYYY"))</f>
        <v/>
      </c>
      <c r="D338" s="55" t="n"/>
      <c r="E338" s="55" t="n"/>
      <c r="F338" s="55" t="n"/>
      <c r="G338" s="55" t="n"/>
      <c r="H338" s="55" t="n"/>
      <c r="I338" s="56" t="n"/>
      <c r="J338" s="55" t="n"/>
      <c r="K338" s="57" t="n"/>
      <c r="L338" s="58">
        <f>IF(OR(I338="",K338=""),"",I338*K338)</f>
        <v/>
      </c>
      <c r="M338" s="59" t="n"/>
      <c r="N338" s="59" t="n"/>
      <c r="O338" s="58">
        <f>IF(L338="","",IF(M338="",L338,L338*(1-M338)))</f>
        <v/>
      </c>
      <c r="P338" s="55" t="n"/>
      <c r="Q338" s="55" t="n"/>
    </row>
    <row r="339" ht="15.75" customHeight="1" s="99">
      <c r="A339" s="41" t="n">
        <v>339</v>
      </c>
      <c r="B339" s="45" t="n"/>
      <c r="C339" s="46">
        <f>IF(B339="","",TEXT(B339,"MMM-YYYY"))</f>
        <v/>
      </c>
      <c r="D339" s="47" t="n"/>
      <c r="E339" s="47" t="n"/>
      <c r="F339" s="47" t="n"/>
      <c r="G339" s="47" t="n"/>
      <c r="H339" s="47" t="n"/>
      <c r="I339" s="48" t="n"/>
      <c r="J339" s="47" t="n"/>
      <c r="K339" s="49" t="n"/>
      <c r="L339" s="50">
        <f>IF(OR(I339="",K339=""),"",I339*K339)</f>
        <v/>
      </c>
      <c r="M339" s="51" t="n"/>
      <c r="N339" s="51" t="n"/>
      <c r="O339" s="50">
        <f>IF(L339="","",IF(M339="",L339,L339*(1-M339)))</f>
        <v/>
      </c>
      <c r="P339" s="47" t="n"/>
      <c r="Q339" s="47" t="n"/>
    </row>
    <row r="340" ht="15.75" customHeight="1" s="99">
      <c r="A340" s="43" t="n">
        <v>340</v>
      </c>
      <c r="B340" s="53" t="n"/>
      <c r="C340" s="54">
        <f>IF(B340="","",TEXT(B340,"MMM-YYYY"))</f>
        <v/>
      </c>
      <c r="D340" s="55" t="n"/>
      <c r="E340" s="55" t="n"/>
      <c r="F340" s="55" t="n"/>
      <c r="G340" s="55" t="n"/>
      <c r="H340" s="55" t="n"/>
      <c r="I340" s="56" t="n"/>
      <c r="J340" s="55" t="n"/>
      <c r="K340" s="57" t="n"/>
      <c r="L340" s="58">
        <f>IF(OR(I340="",K340=""),"",I340*K340)</f>
        <v/>
      </c>
      <c r="M340" s="59" t="n"/>
      <c r="N340" s="59" t="n"/>
      <c r="O340" s="58">
        <f>IF(L340="","",IF(M340="",L340,L340*(1-M340)))</f>
        <v/>
      </c>
      <c r="P340" s="55" t="n"/>
      <c r="Q340" s="55" t="n"/>
    </row>
    <row r="341" ht="15.75" customHeight="1" s="99">
      <c r="A341" s="41" t="n">
        <v>341</v>
      </c>
      <c r="B341" s="45" t="n"/>
      <c r="C341" s="46">
        <f>IF(B341="","",TEXT(B341,"MMM-YYYY"))</f>
        <v/>
      </c>
      <c r="D341" s="47" t="n"/>
      <c r="E341" s="47" t="n"/>
      <c r="F341" s="47" t="n"/>
      <c r="G341" s="47" t="n"/>
      <c r="H341" s="47" t="n"/>
      <c r="I341" s="48" t="n"/>
      <c r="J341" s="47" t="n"/>
      <c r="K341" s="49" t="n"/>
      <c r="L341" s="50">
        <f>IF(OR(I341="",K341=""),"",I341*K341)</f>
        <v/>
      </c>
      <c r="M341" s="51" t="n"/>
      <c r="N341" s="51" t="n"/>
      <c r="O341" s="50">
        <f>IF(L341="","",IF(M341="",L341,L341*(1-M341)))</f>
        <v/>
      </c>
      <c r="P341" s="47" t="n"/>
      <c r="Q341" s="47" t="n"/>
    </row>
    <row r="342" ht="15.75" customHeight="1" s="99">
      <c r="A342" s="43" t="n">
        <v>342</v>
      </c>
      <c r="B342" s="53" t="n"/>
      <c r="C342" s="54">
        <f>IF(B342="","",TEXT(B342,"MMM-YYYY"))</f>
        <v/>
      </c>
      <c r="D342" s="55" t="n"/>
      <c r="E342" s="55" t="n"/>
      <c r="F342" s="55" t="n"/>
      <c r="G342" s="55" t="n"/>
      <c r="H342" s="55" t="n"/>
      <c r="I342" s="56" t="n"/>
      <c r="J342" s="55" t="n"/>
      <c r="K342" s="57" t="n"/>
      <c r="L342" s="58">
        <f>IF(OR(I342="",K342=""),"",I342*K342)</f>
        <v/>
      </c>
      <c r="M342" s="59" t="n"/>
      <c r="N342" s="59" t="n"/>
      <c r="O342" s="58">
        <f>IF(L342="","",IF(M342="",L342,L342*(1-M342)))</f>
        <v/>
      </c>
      <c r="P342" s="55" t="n"/>
      <c r="Q342" s="55" t="n"/>
    </row>
    <row r="343" ht="15.75" customHeight="1" s="99">
      <c r="A343" s="41" t="n">
        <v>343</v>
      </c>
      <c r="B343" s="45" t="n"/>
      <c r="C343" s="46">
        <f>IF(B343="","",TEXT(B343,"MMM-YYYY"))</f>
        <v/>
      </c>
      <c r="D343" s="47" t="n"/>
      <c r="E343" s="47" t="n"/>
      <c r="F343" s="47" t="n"/>
      <c r="G343" s="47" t="n"/>
      <c r="H343" s="47" t="n"/>
      <c r="I343" s="48" t="n"/>
      <c r="J343" s="47" t="n"/>
      <c r="K343" s="49" t="n"/>
      <c r="L343" s="50">
        <f>IF(OR(I343="",K343=""),"",I343*K343)</f>
        <v/>
      </c>
      <c r="M343" s="51" t="n"/>
      <c r="N343" s="51" t="n"/>
      <c r="O343" s="50">
        <f>IF(L343="","",IF(M343="",L343,L343*(1-M343)))</f>
        <v/>
      </c>
      <c r="P343" s="47" t="n"/>
      <c r="Q343" s="47" t="n"/>
    </row>
    <row r="344" ht="15.75" customHeight="1" s="99">
      <c r="A344" s="43" t="n">
        <v>344</v>
      </c>
      <c r="B344" s="53" t="n"/>
      <c r="C344" s="54">
        <f>IF(B344="","",TEXT(B344,"MMM-YYYY"))</f>
        <v/>
      </c>
      <c r="D344" s="55" t="n"/>
      <c r="E344" s="55" t="n"/>
      <c r="F344" s="55" t="n"/>
      <c r="G344" s="55" t="n"/>
      <c r="H344" s="55" t="n"/>
      <c r="I344" s="56" t="n"/>
      <c r="J344" s="55" t="n"/>
      <c r="K344" s="57" t="n"/>
      <c r="L344" s="58">
        <f>IF(OR(I344="",K344=""),"",I344*K344)</f>
        <v/>
      </c>
      <c r="M344" s="59" t="n"/>
      <c r="N344" s="59" t="n"/>
      <c r="O344" s="58">
        <f>IF(L344="","",IF(M344="",L344,L344*(1-M344)))</f>
        <v/>
      </c>
      <c r="P344" s="55" t="n"/>
      <c r="Q344" s="55" t="n"/>
    </row>
    <row r="345" ht="15.75" customHeight="1" s="99">
      <c r="A345" s="41" t="n">
        <v>345</v>
      </c>
      <c r="B345" s="45" t="n"/>
      <c r="C345" s="46">
        <f>IF(B345="","",TEXT(B345,"MMM-YYYY"))</f>
        <v/>
      </c>
      <c r="D345" s="47" t="n"/>
      <c r="E345" s="47" t="n"/>
      <c r="F345" s="47" t="n"/>
      <c r="G345" s="47" t="n"/>
      <c r="H345" s="47" t="n"/>
      <c r="I345" s="48" t="n"/>
      <c r="J345" s="47" t="n"/>
      <c r="K345" s="49" t="n"/>
      <c r="L345" s="50">
        <f>IF(OR(I345="",K345=""),"",I345*K345)</f>
        <v/>
      </c>
      <c r="M345" s="51" t="n"/>
      <c r="N345" s="51" t="n"/>
      <c r="O345" s="50">
        <f>IF(L345="","",IF(M345="",L345,L345*(1-M345)))</f>
        <v/>
      </c>
      <c r="P345" s="47" t="n"/>
      <c r="Q345" s="47" t="n"/>
    </row>
    <row r="346" ht="15.75" customHeight="1" s="99">
      <c r="A346" s="43" t="n">
        <v>346</v>
      </c>
      <c r="B346" s="53" t="n"/>
      <c r="C346" s="54">
        <f>IF(B346="","",TEXT(B346,"MMM-YYYY"))</f>
        <v/>
      </c>
      <c r="D346" s="55" t="n"/>
      <c r="E346" s="55" t="n"/>
      <c r="F346" s="55" t="n"/>
      <c r="G346" s="55" t="n"/>
      <c r="H346" s="55" t="n"/>
      <c r="I346" s="56" t="n"/>
      <c r="J346" s="55" t="n"/>
      <c r="K346" s="57" t="n"/>
      <c r="L346" s="58">
        <f>IF(OR(I346="",K346=""),"",I346*K346)</f>
        <v/>
      </c>
      <c r="M346" s="59" t="n"/>
      <c r="N346" s="59" t="n"/>
      <c r="O346" s="58">
        <f>IF(L346="","",IF(M346="",L346,L346*(1-M346)))</f>
        <v/>
      </c>
      <c r="P346" s="55" t="n"/>
      <c r="Q346" s="55" t="n"/>
    </row>
    <row r="347" ht="15.75" customHeight="1" s="99">
      <c r="A347" s="41" t="n">
        <v>347</v>
      </c>
      <c r="B347" s="45" t="n"/>
      <c r="C347" s="46">
        <f>IF(B347="","",TEXT(B347,"MMM-YYYY"))</f>
        <v/>
      </c>
      <c r="D347" s="47" t="n"/>
      <c r="E347" s="47" t="n"/>
      <c r="F347" s="47" t="n"/>
      <c r="G347" s="47" t="n"/>
      <c r="H347" s="47" t="n"/>
      <c r="I347" s="48" t="n"/>
      <c r="J347" s="47" t="n"/>
      <c r="K347" s="49" t="n"/>
      <c r="L347" s="50">
        <f>IF(OR(I347="",K347=""),"",I347*K347)</f>
        <v/>
      </c>
      <c r="M347" s="51" t="n"/>
      <c r="N347" s="51" t="n"/>
      <c r="O347" s="50">
        <f>IF(L347="","",IF(M347="",L347,L347*(1-M347)))</f>
        <v/>
      </c>
      <c r="P347" s="47" t="n"/>
      <c r="Q347" s="47" t="n"/>
    </row>
    <row r="348" ht="15.75" customHeight="1" s="99">
      <c r="A348" s="43" t="n">
        <v>348</v>
      </c>
      <c r="B348" s="53" t="n"/>
      <c r="C348" s="54">
        <f>IF(B348="","",TEXT(B348,"MMM-YYYY"))</f>
        <v/>
      </c>
      <c r="D348" s="55" t="n"/>
      <c r="E348" s="55" t="n"/>
      <c r="F348" s="55" t="n"/>
      <c r="G348" s="55" t="n"/>
      <c r="H348" s="55" t="n"/>
      <c r="I348" s="56" t="n"/>
      <c r="J348" s="55" t="n"/>
      <c r="K348" s="57" t="n"/>
      <c r="L348" s="58">
        <f>IF(OR(I348="",K348=""),"",I348*K348)</f>
        <v/>
      </c>
      <c r="M348" s="59" t="n"/>
      <c r="N348" s="59" t="n"/>
      <c r="O348" s="58">
        <f>IF(L348="","",IF(M348="",L348,L348*(1-M348)))</f>
        <v/>
      </c>
      <c r="P348" s="55" t="n"/>
      <c r="Q348" s="55" t="n"/>
    </row>
    <row r="349" ht="15.75" customHeight="1" s="99">
      <c r="A349" s="41" t="n">
        <v>349</v>
      </c>
      <c r="B349" s="45" t="n"/>
      <c r="C349" s="46">
        <f>IF(B349="","",TEXT(B349,"MMM-YYYY"))</f>
        <v/>
      </c>
      <c r="D349" s="47" t="n"/>
      <c r="E349" s="47" t="n"/>
      <c r="F349" s="47" t="n"/>
      <c r="G349" s="47" t="n"/>
      <c r="H349" s="47" t="n"/>
      <c r="I349" s="48" t="n"/>
      <c r="J349" s="47" t="n"/>
      <c r="K349" s="49" t="n"/>
      <c r="L349" s="50">
        <f>IF(OR(I349="",K349=""),"",I349*K349)</f>
        <v/>
      </c>
      <c r="M349" s="51" t="n"/>
      <c r="N349" s="51" t="n"/>
      <c r="O349" s="50">
        <f>IF(L349="","",IF(M349="",L349,L349*(1-M349)))</f>
        <v/>
      </c>
      <c r="P349" s="47" t="n"/>
      <c r="Q349" s="47" t="n"/>
    </row>
    <row r="350" ht="15.75" customHeight="1" s="99">
      <c r="A350" s="43" t="n">
        <v>350</v>
      </c>
      <c r="B350" s="53" t="n"/>
      <c r="C350" s="54">
        <f>IF(B350="","",TEXT(B350,"MMM-YYYY"))</f>
        <v/>
      </c>
      <c r="D350" s="55" t="n"/>
      <c r="E350" s="55" t="n"/>
      <c r="F350" s="55" t="n"/>
      <c r="G350" s="55" t="n"/>
      <c r="H350" s="55" t="n"/>
      <c r="I350" s="56" t="n"/>
      <c r="J350" s="55" t="n"/>
      <c r="K350" s="57" t="n"/>
      <c r="L350" s="58">
        <f>IF(OR(I350="",K350=""),"",I350*K350)</f>
        <v/>
      </c>
      <c r="M350" s="59" t="n"/>
      <c r="N350" s="59" t="n"/>
      <c r="O350" s="58">
        <f>IF(L350="","",IF(M350="",L350,L350*(1-M350)))</f>
        <v/>
      </c>
      <c r="P350" s="55" t="n"/>
      <c r="Q350" s="55" t="n"/>
    </row>
    <row r="351" ht="15.75" customHeight="1" s="99">
      <c r="A351" s="41" t="n">
        <v>351</v>
      </c>
      <c r="B351" s="45" t="n"/>
      <c r="C351" s="46">
        <f>IF(B351="","",TEXT(B351,"MMM-YYYY"))</f>
        <v/>
      </c>
      <c r="D351" s="47" t="n"/>
      <c r="E351" s="47" t="n"/>
      <c r="F351" s="47" t="n"/>
      <c r="G351" s="47" t="n"/>
      <c r="H351" s="47" t="n"/>
      <c r="I351" s="48" t="n"/>
      <c r="J351" s="47" t="n"/>
      <c r="K351" s="49" t="n"/>
      <c r="L351" s="50">
        <f>IF(OR(I351="",K351=""),"",I351*K351)</f>
        <v/>
      </c>
      <c r="M351" s="51" t="n"/>
      <c r="N351" s="51" t="n"/>
      <c r="O351" s="50">
        <f>IF(L351="","",IF(M351="",L351,L351*(1-M351)))</f>
        <v/>
      </c>
      <c r="P351" s="47" t="n"/>
      <c r="Q351" s="47" t="n"/>
    </row>
    <row r="352" ht="15.75" customHeight="1" s="99">
      <c r="A352" s="43" t="n">
        <v>352</v>
      </c>
      <c r="B352" s="53" t="n"/>
      <c r="C352" s="54">
        <f>IF(B352="","",TEXT(B352,"MMM-YYYY"))</f>
        <v/>
      </c>
      <c r="D352" s="55" t="n"/>
      <c r="E352" s="55" t="n"/>
      <c r="F352" s="55" t="n"/>
      <c r="G352" s="55" t="n"/>
      <c r="H352" s="55" t="n"/>
      <c r="I352" s="56" t="n"/>
      <c r="J352" s="55" t="n"/>
      <c r="K352" s="57" t="n"/>
      <c r="L352" s="58">
        <f>IF(OR(I352="",K352=""),"",I352*K352)</f>
        <v/>
      </c>
      <c r="M352" s="59" t="n"/>
      <c r="N352" s="59" t="n"/>
      <c r="O352" s="58">
        <f>IF(L352="","",IF(M352="",L352,L352*(1-M352)))</f>
        <v/>
      </c>
      <c r="P352" s="55" t="n"/>
      <c r="Q352" s="55" t="n"/>
    </row>
    <row r="353" ht="15.75" customHeight="1" s="99">
      <c r="A353" s="41" t="n">
        <v>353</v>
      </c>
      <c r="B353" s="45" t="n"/>
      <c r="C353" s="46">
        <f>IF(B353="","",TEXT(B353,"MMM-YYYY"))</f>
        <v/>
      </c>
      <c r="D353" s="47" t="n"/>
      <c r="E353" s="47" t="n"/>
      <c r="F353" s="47" t="n"/>
      <c r="G353" s="47" t="n"/>
      <c r="H353" s="47" t="n"/>
      <c r="I353" s="48" t="n"/>
      <c r="J353" s="47" t="n"/>
      <c r="K353" s="49" t="n"/>
      <c r="L353" s="50">
        <f>IF(OR(I353="",K353=""),"",I353*K353)</f>
        <v/>
      </c>
      <c r="M353" s="51" t="n"/>
      <c r="N353" s="51" t="n"/>
      <c r="O353" s="50">
        <f>IF(L353="","",IF(M353="",L353,L353*(1-M353)))</f>
        <v/>
      </c>
      <c r="P353" s="47" t="n"/>
      <c r="Q353" s="47" t="n"/>
    </row>
    <row r="354" ht="15.75" customHeight="1" s="99">
      <c r="A354" s="43" t="n">
        <v>354</v>
      </c>
      <c r="B354" s="53" t="n"/>
      <c r="C354" s="54">
        <f>IF(B354="","",TEXT(B354,"MMM-YYYY"))</f>
        <v/>
      </c>
      <c r="D354" s="55" t="n"/>
      <c r="E354" s="55" t="n"/>
      <c r="F354" s="55" t="n"/>
      <c r="G354" s="55" t="n"/>
      <c r="H354" s="55" t="n"/>
      <c r="I354" s="56" t="n"/>
      <c r="J354" s="55" t="n"/>
      <c r="K354" s="57" t="n"/>
      <c r="L354" s="58">
        <f>IF(OR(I354="",K354=""),"",I354*K354)</f>
        <v/>
      </c>
      <c r="M354" s="59" t="n"/>
      <c r="N354" s="59" t="n"/>
      <c r="O354" s="58">
        <f>IF(L354="","",IF(M354="",L354,L354*(1-M354)))</f>
        <v/>
      </c>
      <c r="P354" s="55" t="n"/>
      <c r="Q354" s="55" t="n"/>
    </row>
    <row r="355" ht="15.75" customHeight="1" s="99">
      <c r="A355" s="41" t="n">
        <v>355</v>
      </c>
      <c r="B355" s="45" t="n"/>
      <c r="C355" s="46">
        <f>IF(B355="","",TEXT(B355,"MMM-YYYY"))</f>
        <v/>
      </c>
      <c r="D355" s="47" t="n"/>
      <c r="E355" s="47" t="n"/>
      <c r="F355" s="47" t="n"/>
      <c r="G355" s="47" t="n"/>
      <c r="H355" s="47" t="n"/>
      <c r="I355" s="48" t="n"/>
      <c r="J355" s="47" t="n"/>
      <c r="K355" s="49" t="n"/>
      <c r="L355" s="50">
        <f>IF(OR(I355="",K355=""),"",I355*K355)</f>
        <v/>
      </c>
      <c r="M355" s="51" t="n"/>
      <c r="N355" s="51" t="n"/>
      <c r="O355" s="50">
        <f>IF(L355="","",IF(M355="",L355,L355*(1-M355)))</f>
        <v/>
      </c>
      <c r="P355" s="47" t="n"/>
      <c r="Q355" s="47" t="n"/>
    </row>
    <row r="356" ht="15.75" customHeight="1" s="99">
      <c r="A356" s="43" t="n">
        <v>356</v>
      </c>
      <c r="B356" s="53" t="n"/>
      <c r="C356" s="54">
        <f>IF(B356="","",TEXT(B356,"MMM-YYYY"))</f>
        <v/>
      </c>
      <c r="D356" s="55" t="n"/>
      <c r="E356" s="55" t="n"/>
      <c r="F356" s="55" t="n"/>
      <c r="G356" s="55" t="n"/>
      <c r="H356" s="55" t="n"/>
      <c r="I356" s="56" t="n"/>
      <c r="J356" s="55" t="n"/>
      <c r="K356" s="57" t="n"/>
      <c r="L356" s="58">
        <f>IF(OR(I356="",K356=""),"",I356*K356)</f>
        <v/>
      </c>
      <c r="M356" s="59" t="n"/>
      <c r="N356" s="59" t="n"/>
      <c r="O356" s="58">
        <f>IF(L356="","",IF(M356="",L356,L356*(1-M356)))</f>
        <v/>
      </c>
      <c r="P356" s="55" t="n"/>
      <c r="Q356" s="55" t="n"/>
    </row>
    <row r="357" ht="15.75" customHeight="1" s="99">
      <c r="A357" s="41" t="n">
        <v>357</v>
      </c>
      <c r="B357" s="45" t="n"/>
      <c r="C357" s="46">
        <f>IF(B357="","",TEXT(B357,"MMM-YYYY"))</f>
        <v/>
      </c>
      <c r="D357" s="47" t="n"/>
      <c r="E357" s="47" t="n"/>
      <c r="F357" s="47" t="n"/>
      <c r="G357" s="47" t="n"/>
      <c r="H357" s="47" t="n"/>
      <c r="I357" s="48" t="n"/>
      <c r="J357" s="47" t="n"/>
      <c r="K357" s="49" t="n"/>
      <c r="L357" s="50">
        <f>IF(OR(I357="",K357=""),"",I357*K357)</f>
        <v/>
      </c>
      <c r="M357" s="51" t="n"/>
      <c r="N357" s="51" t="n"/>
      <c r="O357" s="50">
        <f>IF(L357="","",IF(M357="",L357,L357*(1-M357)))</f>
        <v/>
      </c>
      <c r="P357" s="47" t="n"/>
      <c r="Q357" s="47" t="n"/>
    </row>
    <row r="358" ht="15.75" customHeight="1" s="99">
      <c r="A358" s="43" t="n">
        <v>358</v>
      </c>
      <c r="B358" s="53" t="n"/>
      <c r="C358" s="54">
        <f>IF(B358="","",TEXT(B358,"MMM-YYYY"))</f>
        <v/>
      </c>
      <c r="D358" s="55" t="n"/>
      <c r="E358" s="55" t="n"/>
      <c r="F358" s="55" t="n"/>
      <c r="G358" s="55" t="n"/>
      <c r="H358" s="55" t="n"/>
      <c r="I358" s="56" t="n"/>
      <c r="J358" s="55" t="n"/>
      <c r="K358" s="57" t="n"/>
      <c r="L358" s="58">
        <f>IF(OR(I358="",K358=""),"",I358*K358)</f>
        <v/>
      </c>
      <c r="M358" s="59" t="n"/>
      <c r="N358" s="59" t="n"/>
      <c r="O358" s="58">
        <f>IF(L358="","",IF(M358="",L358,L358*(1-M358)))</f>
        <v/>
      </c>
      <c r="P358" s="55" t="n"/>
      <c r="Q358" s="55" t="n"/>
    </row>
    <row r="359" ht="15.75" customHeight="1" s="99">
      <c r="A359" s="41" t="n">
        <v>359</v>
      </c>
      <c r="B359" s="45" t="n"/>
      <c r="C359" s="46">
        <f>IF(B359="","",TEXT(B359,"MMM-YYYY"))</f>
        <v/>
      </c>
      <c r="D359" s="47" t="n"/>
      <c r="E359" s="47" t="n"/>
      <c r="F359" s="47" t="n"/>
      <c r="G359" s="47" t="n"/>
      <c r="H359" s="47" t="n"/>
      <c r="I359" s="48" t="n"/>
      <c r="J359" s="47" t="n"/>
      <c r="K359" s="49" t="n"/>
      <c r="L359" s="50">
        <f>IF(OR(I359="",K359=""),"",I359*K359)</f>
        <v/>
      </c>
      <c r="M359" s="51" t="n"/>
      <c r="N359" s="51" t="n"/>
      <c r="O359" s="50">
        <f>IF(L359="","",IF(M359="",L359,L359*(1-M359)))</f>
        <v/>
      </c>
      <c r="P359" s="47" t="n"/>
      <c r="Q359" s="47" t="n"/>
    </row>
    <row r="360" ht="15.75" customHeight="1" s="99">
      <c r="A360" s="43" t="n">
        <v>360</v>
      </c>
      <c r="B360" s="53" t="n"/>
      <c r="C360" s="54">
        <f>IF(B360="","",TEXT(B360,"MMM-YYYY"))</f>
        <v/>
      </c>
      <c r="D360" s="55" t="n"/>
      <c r="E360" s="55" t="n"/>
      <c r="F360" s="55" t="n"/>
      <c r="G360" s="55" t="n"/>
      <c r="H360" s="55" t="n"/>
      <c r="I360" s="56" t="n"/>
      <c r="J360" s="55" t="n"/>
      <c r="K360" s="57" t="n"/>
      <c r="L360" s="58">
        <f>IF(OR(I360="",K360=""),"",I360*K360)</f>
        <v/>
      </c>
      <c r="M360" s="59" t="n"/>
      <c r="N360" s="59" t="n"/>
      <c r="O360" s="58">
        <f>IF(L360="","",IF(M360="",L360,L360*(1-M360)))</f>
        <v/>
      </c>
      <c r="P360" s="55" t="n"/>
      <c r="Q360" s="55" t="n"/>
    </row>
    <row r="361" ht="15.75" customHeight="1" s="99">
      <c r="A361" s="41" t="n">
        <v>361</v>
      </c>
      <c r="B361" s="45" t="n"/>
      <c r="C361" s="46">
        <f>IF(B361="","",TEXT(B361,"MMM-YYYY"))</f>
        <v/>
      </c>
      <c r="D361" s="47" t="n"/>
      <c r="E361" s="47" t="n"/>
      <c r="F361" s="47" t="n"/>
      <c r="G361" s="47" t="n"/>
      <c r="H361" s="47" t="n"/>
      <c r="I361" s="48" t="n"/>
      <c r="J361" s="47" t="n"/>
      <c r="K361" s="49" t="n"/>
      <c r="L361" s="50">
        <f>IF(OR(I361="",K361=""),"",I361*K361)</f>
        <v/>
      </c>
      <c r="M361" s="51" t="n"/>
      <c r="N361" s="51" t="n"/>
      <c r="O361" s="50">
        <f>IF(L361="","",IF(M361="",L361,L361*(1-M361)))</f>
        <v/>
      </c>
      <c r="P361" s="47" t="n"/>
      <c r="Q361" s="47" t="n"/>
    </row>
    <row r="362" ht="15.75" customHeight="1" s="99">
      <c r="A362" s="43" t="n">
        <v>362</v>
      </c>
      <c r="B362" s="53" t="n"/>
      <c r="C362" s="54">
        <f>IF(B362="","",TEXT(B362,"MMM-YYYY"))</f>
        <v/>
      </c>
      <c r="D362" s="55" t="n"/>
      <c r="E362" s="55" t="n"/>
      <c r="F362" s="55" t="n"/>
      <c r="G362" s="55" t="n"/>
      <c r="H362" s="55" t="n"/>
      <c r="I362" s="56" t="n"/>
      <c r="J362" s="55" t="n"/>
      <c r="K362" s="57" t="n"/>
      <c r="L362" s="58">
        <f>IF(OR(I362="",K362=""),"",I362*K362)</f>
        <v/>
      </c>
      <c r="M362" s="59" t="n"/>
      <c r="N362" s="59" t="n"/>
      <c r="O362" s="58">
        <f>IF(L362="","",IF(M362="",L362,L362*(1-M362)))</f>
        <v/>
      </c>
      <c r="P362" s="55" t="n"/>
      <c r="Q362" s="55" t="n"/>
    </row>
    <row r="363" ht="15.75" customHeight="1" s="99">
      <c r="A363" s="41" t="n">
        <v>363</v>
      </c>
      <c r="B363" s="45" t="n"/>
      <c r="C363" s="46">
        <f>IF(B363="","",TEXT(B363,"MMM-YYYY"))</f>
        <v/>
      </c>
      <c r="D363" s="47" t="n"/>
      <c r="E363" s="47" t="n"/>
      <c r="F363" s="47" t="n"/>
      <c r="G363" s="47" t="n"/>
      <c r="H363" s="47" t="n"/>
      <c r="I363" s="48" t="n"/>
      <c r="J363" s="47" t="n"/>
      <c r="K363" s="49" t="n"/>
      <c r="L363" s="50">
        <f>IF(OR(I363="",K363=""),"",I363*K363)</f>
        <v/>
      </c>
      <c r="M363" s="51" t="n"/>
      <c r="N363" s="51" t="n"/>
      <c r="O363" s="50">
        <f>IF(L363="","",IF(M363="",L363,L363*(1-M363)))</f>
        <v/>
      </c>
      <c r="P363" s="47" t="n"/>
      <c r="Q363" s="47" t="n"/>
    </row>
    <row r="364" ht="15.75" customHeight="1" s="99">
      <c r="A364" s="43" t="n">
        <v>364</v>
      </c>
      <c r="B364" s="53" t="n"/>
      <c r="C364" s="54">
        <f>IF(B364="","",TEXT(B364,"MMM-YYYY"))</f>
        <v/>
      </c>
      <c r="D364" s="55" t="n"/>
      <c r="E364" s="55" t="n"/>
      <c r="F364" s="55" t="n"/>
      <c r="G364" s="55" t="n"/>
      <c r="H364" s="55" t="n"/>
      <c r="I364" s="56" t="n"/>
      <c r="J364" s="55" t="n"/>
      <c r="K364" s="57" t="n"/>
      <c r="L364" s="58">
        <f>IF(OR(I364="",K364=""),"",I364*K364)</f>
        <v/>
      </c>
      <c r="M364" s="59" t="n"/>
      <c r="N364" s="59" t="n"/>
      <c r="O364" s="58">
        <f>IF(L364="","",IF(M364="",L364,L364*(1-M364)))</f>
        <v/>
      </c>
      <c r="P364" s="55" t="n"/>
      <c r="Q364" s="55" t="n"/>
    </row>
    <row r="365" ht="15.75" customHeight="1" s="99">
      <c r="A365" s="41" t="n">
        <v>365</v>
      </c>
      <c r="B365" s="45" t="n"/>
      <c r="C365" s="46">
        <f>IF(B365="","",TEXT(B365,"MMM-YYYY"))</f>
        <v/>
      </c>
      <c r="D365" s="47" t="n"/>
      <c r="E365" s="47" t="n"/>
      <c r="F365" s="47" t="n"/>
      <c r="G365" s="47" t="n"/>
      <c r="H365" s="47" t="n"/>
      <c r="I365" s="48" t="n"/>
      <c r="J365" s="47" t="n"/>
      <c r="K365" s="49" t="n"/>
      <c r="L365" s="50">
        <f>IF(OR(I365="",K365=""),"",I365*K365)</f>
        <v/>
      </c>
      <c r="M365" s="51" t="n"/>
      <c r="N365" s="51" t="n"/>
      <c r="O365" s="50">
        <f>IF(L365="","",IF(M365="",L365,L365*(1-M365)))</f>
        <v/>
      </c>
      <c r="P365" s="47" t="n"/>
      <c r="Q365" s="47" t="n"/>
    </row>
    <row r="366" ht="15.75" customHeight="1" s="99">
      <c r="A366" s="43" t="n">
        <v>366</v>
      </c>
      <c r="B366" s="53" t="n"/>
      <c r="C366" s="54">
        <f>IF(B366="","",TEXT(B366,"MMM-YYYY"))</f>
        <v/>
      </c>
      <c r="D366" s="55" t="n"/>
      <c r="E366" s="55" t="n"/>
      <c r="F366" s="55" t="n"/>
      <c r="G366" s="55" t="n"/>
      <c r="H366" s="55" t="n"/>
      <c r="I366" s="56" t="n"/>
      <c r="J366" s="55" t="n"/>
      <c r="K366" s="57" t="n"/>
      <c r="L366" s="58">
        <f>IF(OR(I366="",K366=""),"",I366*K366)</f>
        <v/>
      </c>
      <c r="M366" s="59" t="n"/>
      <c r="N366" s="59" t="n"/>
      <c r="O366" s="58">
        <f>IF(L366="","",IF(M366="",L366,L366*(1-M366)))</f>
        <v/>
      </c>
      <c r="P366" s="55" t="n"/>
      <c r="Q366" s="55" t="n"/>
    </row>
    <row r="367" ht="15.75" customHeight="1" s="99">
      <c r="A367" s="41" t="n">
        <v>367</v>
      </c>
      <c r="B367" s="45" t="n"/>
      <c r="C367" s="46">
        <f>IF(B367="","",TEXT(B367,"MMM-YYYY"))</f>
        <v/>
      </c>
      <c r="D367" s="47" t="n"/>
      <c r="E367" s="47" t="n"/>
      <c r="F367" s="47" t="n"/>
      <c r="G367" s="47" t="n"/>
      <c r="H367" s="47" t="n"/>
      <c r="I367" s="48" t="n"/>
      <c r="J367" s="47" t="n"/>
      <c r="K367" s="49" t="n"/>
      <c r="L367" s="50">
        <f>IF(OR(I367="",K367=""),"",I367*K367)</f>
        <v/>
      </c>
      <c r="M367" s="51" t="n"/>
      <c r="N367" s="51" t="n"/>
      <c r="O367" s="50">
        <f>IF(L367="","",IF(M367="",L367,L367*(1-M367)))</f>
        <v/>
      </c>
      <c r="P367" s="47" t="n"/>
      <c r="Q367" s="47" t="n"/>
    </row>
    <row r="368" ht="15.75" customHeight="1" s="99">
      <c r="A368" s="43" t="n">
        <v>368</v>
      </c>
      <c r="B368" s="53" t="n"/>
      <c r="C368" s="54">
        <f>IF(B368="","",TEXT(B368,"MMM-YYYY"))</f>
        <v/>
      </c>
      <c r="D368" s="55" t="n"/>
      <c r="E368" s="55" t="n"/>
      <c r="F368" s="55" t="n"/>
      <c r="G368" s="55" t="n"/>
      <c r="H368" s="55" t="n"/>
      <c r="I368" s="56" t="n"/>
      <c r="J368" s="55" t="n"/>
      <c r="K368" s="57" t="n"/>
      <c r="L368" s="58">
        <f>IF(OR(I368="",K368=""),"",I368*K368)</f>
        <v/>
      </c>
      <c r="M368" s="59" t="n"/>
      <c r="N368" s="59" t="n"/>
      <c r="O368" s="58">
        <f>IF(L368="","",IF(M368="",L368,L368*(1-M368)))</f>
        <v/>
      </c>
      <c r="P368" s="55" t="n"/>
      <c r="Q368" s="55" t="n"/>
    </row>
    <row r="369" ht="15.75" customHeight="1" s="99">
      <c r="A369" s="41" t="n">
        <v>369</v>
      </c>
      <c r="B369" s="45" t="n"/>
      <c r="C369" s="46">
        <f>IF(B369="","",TEXT(B369,"MMM-YYYY"))</f>
        <v/>
      </c>
      <c r="D369" s="47" t="n"/>
      <c r="E369" s="47" t="n"/>
      <c r="F369" s="47" t="n"/>
      <c r="G369" s="47" t="n"/>
      <c r="H369" s="47" t="n"/>
      <c r="I369" s="48" t="n"/>
      <c r="J369" s="47" t="n"/>
      <c r="K369" s="49" t="n"/>
      <c r="L369" s="50">
        <f>IF(OR(I369="",K369=""),"",I369*K369)</f>
        <v/>
      </c>
      <c r="M369" s="51" t="n"/>
      <c r="N369" s="51" t="n"/>
      <c r="O369" s="50">
        <f>IF(L369="","",IF(M369="",L369,L369*(1-M369)))</f>
        <v/>
      </c>
      <c r="P369" s="47" t="n"/>
      <c r="Q369" s="47" t="n"/>
    </row>
    <row r="370" ht="15.75" customHeight="1" s="99">
      <c r="A370" s="43" t="n">
        <v>370</v>
      </c>
      <c r="B370" s="53" t="n"/>
      <c r="C370" s="54">
        <f>IF(B370="","",TEXT(B370,"MMM-YYYY"))</f>
        <v/>
      </c>
      <c r="D370" s="55" t="n"/>
      <c r="E370" s="55" t="n"/>
      <c r="F370" s="55" t="n"/>
      <c r="G370" s="55" t="n"/>
      <c r="H370" s="55" t="n"/>
      <c r="I370" s="56" t="n"/>
      <c r="J370" s="55" t="n"/>
      <c r="K370" s="57" t="n"/>
      <c r="L370" s="58">
        <f>IF(OR(I370="",K370=""),"",I370*K370)</f>
        <v/>
      </c>
      <c r="M370" s="59" t="n"/>
      <c r="N370" s="59" t="n"/>
      <c r="O370" s="58">
        <f>IF(L370="","",IF(M370="",L370,L370*(1-M370)))</f>
        <v/>
      </c>
      <c r="P370" s="55" t="n"/>
      <c r="Q370" s="55" t="n"/>
    </row>
    <row r="371" ht="15.75" customHeight="1" s="99">
      <c r="A371" s="41" t="n">
        <v>371</v>
      </c>
      <c r="B371" s="45" t="n"/>
      <c r="C371" s="46">
        <f>IF(B371="","",TEXT(B371,"MMM-YYYY"))</f>
        <v/>
      </c>
      <c r="D371" s="47" t="n"/>
      <c r="E371" s="47" t="n"/>
      <c r="F371" s="47" t="n"/>
      <c r="G371" s="47" t="n"/>
      <c r="H371" s="47" t="n"/>
      <c r="I371" s="48" t="n"/>
      <c r="J371" s="47" t="n"/>
      <c r="K371" s="49" t="n"/>
      <c r="L371" s="50">
        <f>IF(OR(I371="",K371=""),"",I371*K371)</f>
        <v/>
      </c>
      <c r="M371" s="51" t="n"/>
      <c r="N371" s="51" t="n"/>
      <c r="O371" s="50">
        <f>IF(L371="","",IF(M371="",L371,L371*(1-M371)))</f>
        <v/>
      </c>
      <c r="P371" s="47" t="n"/>
      <c r="Q371" s="47" t="n"/>
    </row>
    <row r="372" ht="15.75" customHeight="1" s="99">
      <c r="A372" s="43" t="n">
        <v>372</v>
      </c>
      <c r="B372" s="53" t="n"/>
      <c r="C372" s="54">
        <f>IF(B372="","",TEXT(B372,"MMM-YYYY"))</f>
        <v/>
      </c>
      <c r="D372" s="55" t="n"/>
      <c r="E372" s="55" t="n"/>
      <c r="F372" s="55" t="n"/>
      <c r="G372" s="55" t="n"/>
      <c r="H372" s="55" t="n"/>
      <c r="I372" s="56" t="n"/>
      <c r="J372" s="55" t="n"/>
      <c r="K372" s="57" t="n"/>
      <c r="L372" s="58">
        <f>IF(OR(I372="",K372=""),"",I372*K372)</f>
        <v/>
      </c>
      <c r="M372" s="59" t="n"/>
      <c r="N372" s="59" t="n"/>
      <c r="O372" s="58">
        <f>IF(L372="","",IF(M372="",L372,L372*(1-M372)))</f>
        <v/>
      </c>
      <c r="P372" s="55" t="n"/>
      <c r="Q372" s="55" t="n"/>
    </row>
    <row r="373" ht="15.75" customHeight="1" s="99">
      <c r="A373" s="41" t="n">
        <v>373</v>
      </c>
      <c r="B373" s="45" t="n"/>
      <c r="C373" s="46">
        <f>IF(B373="","",TEXT(B373,"MMM-YYYY"))</f>
        <v/>
      </c>
      <c r="D373" s="47" t="n"/>
      <c r="E373" s="47" t="n"/>
      <c r="F373" s="47" t="n"/>
      <c r="G373" s="47" t="n"/>
      <c r="H373" s="47" t="n"/>
      <c r="I373" s="48" t="n"/>
      <c r="J373" s="47" t="n"/>
      <c r="K373" s="49" t="n"/>
      <c r="L373" s="50">
        <f>IF(OR(I373="",K373=""),"",I373*K373)</f>
        <v/>
      </c>
      <c r="M373" s="51" t="n"/>
      <c r="N373" s="51" t="n"/>
      <c r="O373" s="50">
        <f>IF(L373="","",IF(M373="",L373,L373*(1-M373)))</f>
        <v/>
      </c>
      <c r="P373" s="47" t="n"/>
      <c r="Q373" s="47" t="n"/>
    </row>
    <row r="374" ht="15.75" customHeight="1" s="99">
      <c r="A374" s="43" t="n">
        <v>374</v>
      </c>
      <c r="B374" s="53" t="n"/>
      <c r="C374" s="54">
        <f>IF(B374="","",TEXT(B374,"MMM-YYYY"))</f>
        <v/>
      </c>
      <c r="D374" s="55" t="n"/>
      <c r="E374" s="55" t="n"/>
      <c r="F374" s="55" t="n"/>
      <c r="G374" s="55" t="n"/>
      <c r="H374" s="55" t="n"/>
      <c r="I374" s="56" t="n"/>
      <c r="J374" s="55" t="n"/>
      <c r="K374" s="57" t="n"/>
      <c r="L374" s="58">
        <f>IF(OR(I374="",K374=""),"",I374*K374)</f>
        <v/>
      </c>
      <c r="M374" s="59" t="n"/>
      <c r="N374" s="59" t="n"/>
      <c r="O374" s="58">
        <f>IF(L374="","",IF(M374="",L374,L374*(1-M374)))</f>
        <v/>
      </c>
      <c r="P374" s="55" t="n"/>
      <c r="Q374" s="55" t="n"/>
    </row>
    <row r="375" ht="15.75" customHeight="1" s="99">
      <c r="A375" s="41" t="n">
        <v>375</v>
      </c>
      <c r="B375" s="45" t="n"/>
      <c r="C375" s="46">
        <f>IF(B375="","",TEXT(B375,"MMM-YYYY"))</f>
        <v/>
      </c>
      <c r="D375" s="47" t="n"/>
      <c r="E375" s="47" t="n"/>
      <c r="F375" s="47" t="n"/>
      <c r="G375" s="47" t="n"/>
      <c r="H375" s="47" t="n"/>
      <c r="I375" s="48" t="n"/>
      <c r="J375" s="47" t="n"/>
      <c r="K375" s="49" t="n"/>
      <c r="L375" s="50">
        <f>IF(OR(I375="",K375=""),"",I375*K375)</f>
        <v/>
      </c>
      <c r="M375" s="51" t="n"/>
      <c r="N375" s="51" t="n"/>
      <c r="O375" s="50">
        <f>IF(L375="","",IF(M375="",L375,L375*(1-M375)))</f>
        <v/>
      </c>
      <c r="P375" s="47" t="n"/>
      <c r="Q375" s="47" t="n"/>
    </row>
    <row r="376" ht="15.75" customHeight="1" s="99">
      <c r="A376" s="43" t="n">
        <v>376</v>
      </c>
      <c r="B376" s="53" t="n"/>
      <c r="C376" s="54">
        <f>IF(B376="","",TEXT(B376,"MMM-YYYY"))</f>
        <v/>
      </c>
      <c r="D376" s="55" t="n"/>
      <c r="E376" s="55" t="n"/>
      <c r="F376" s="55" t="n"/>
      <c r="G376" s="55" t="n"/>
      <c r="H376" s="55" t="n"/>
      <c r="I376" s="56" t="n"/>
      <c r="J376" s="55" t="n"/>
      <c r="K376" s="57" t="n"/>
      <c r="L376" s="58">
        <f>IF(OR(I376="",K376=""),"",I376*K376)</f>
        <v/>
      </c>
      <c r="M376" s="59" t="n"/>
      <c r="N376" s="59" t="n"/>
      <c r="O376" s="58">
        <f>IF(L376="","",IF(M376="",L376,L376*(1-M376)))</f>
        <v/>
      </c>
      <c r="P376" s="55" t="n"/>
      <c r="Q376" s="55" t="n"/>
    </row>
    <row r="377" ht="15.75" customHeight="1" s="99">
      <c r="A377" s="41" t="n">
        <v>377</v>
      </c>
      <c r="B377" s="45" t="n"/>
      <c r="C377" s="46">
        <f>IF(B377="","",TEXT(B377,"MMM-YYYY"))</f>
        <v/>
      </c>
      <c r="D377" s="47" t="n"/>
      <c r="E377" s="47" t="n"/>
      <c r="F377" s="47" t="n"/>
      <c r="G377" s="47" t="n"/>
      <c r="H377" s="47" t="n"/>
      <c r="I377" s="48" t="n"/>
      <c r="J377" s="47" t="n"/>
      <c r="K377" s="49" t="n"/>
      <c r="L377" s="50">
        <f>IF(OR(I377="",K377=""),"",I377*K377)</f>
        <v/>
      </c>
      <c r="M377" s="51" t="n"/>
      <c r="N377" s="51" t="n"/>
      <c r="O377" s="50">
        <f>IF(L377="","",IF(M377="",L377,L377*(1-M377)))</f>
        <v/>
      </c>
      <c r="P377" s="47" t="n"/>
      <c r="Q377" s="47" t="n"/>
    </row>
    <row r="378" ht="15.75" customHeight="1" s="99">
      <c r="A378" s="43" t="n">
        <v>378</v>
      </c>
      <c r="B378" s="53" t="n"/>
      <c r="C378" s="54">
        <f>IF(B378="","",TEXT(B378,"MMM-YYYY"))</f>
        <v/>
      </c>
      <c r="D378" s="55" t="n"/>
      <c r="E378" s="55" t="n"/>
      <c r="F378" s="55" t="n"/>
      <c r="G378" s="55" t="n"/>
      <c r="H378" s="55" t="n"/>
      <c r="I378" s="56" t="n"/>
      <c r="J378" s="55" t="n"/>
      <c r="K378" s="57" t="n"/>
      <c r="L378" s="58">
        <f>IF(OR(I378="",K378=""),"",I378*K378)</f>
        <v/>
      </c>
      <c r="M378" s="59" t="n"/>
      <c r="N378" s="59" t="n"/>
      <c r="O378" s="58">
        <f>IF(L378="","",IF(M378="",L378,L378*(1-M378)))</f>
        <v/>
      </c>
      <c r="P378" s="55" t="n"/>
      <c r="Q378" s="55" t="n"/>
    </row>
    <row r="379" ht="15.75" customHeight="1" s="99">
      <c r="A379" s="41" t="n">
        <v>379</v>
      </c>
      <c r="B379" s="45" t="n"/>
      <c r="C379" s="46">
        <f>IF(B379="","",TEXT(B379,"MMM-YYYY"))</f>
        <v/>
      </c>
      <c r="D379" s="47" t="n"/>
      <c r="E379" s="47" t="n"/>
      <c r="F379" s="47" t="n"/>
      <c r="G379" s="47" t="n"/>
      <c r="H379" s="47" t="n"/>
      <c r="I379" s="48" t="n"/>
      <c r="J379" s="47" t="n"/>
      <c r="K379" s="49" t="n"/>
      <c r="L379" s="50">
        <f>IF(OR(I379="",K379=""),"",I379*K379)</f>
        <v/>
      </c>
      <c r="M379" s="51" t="n"/>
      <c r="N379" s="51" t="n"/>
      <c r="O379" s="50">
        <f>IF(L379="","",IF(M379="",L379,L379*(1-M379)))</f>
        <v/>
      </c>
      <c r="P379" s="47" t="n"/>
      <c r="Q379" s="47" t="n"/>
    </row>
    <row r="380" ht="15.75" customHeight="1" s="99">
      <c r="A380" s="43" t="n">
        <v>380</v>
      </c>
      <c r="B380" s="53" t="n"/>
      <c r="C380" s="54">
        <f>IF(B380="","",TEXT(B380,"MMM-YYYY"))</f>
        <v/>
      </c>
      <c r="D380" s="55" t="n"/>
      <c r="E380" s="55" t="n"/>
      <c r="F380" s="55" t="n"/>
      <c r="G380" s="55" t="n"/>
      <c r="H380" s="55" t="n"/>
      <c r="I380" s="56" t="n"/>
      <c r="J380" s="55" t="n"/>
      <c r="K380" s="57" t="n"/>
      <c r="L380" s="58">
        <f>IF(OR(I380="",K380=""),"",I380*K380)</f>
        <v/>
      </c>
      <c r="M380" s="59" t="n"/>
      <c r="N380" s="59" t="n"/>
      <c r="O380" s="58">
        <f>IF(L380="","",IF(M380="",L380,L380*(1-M380)))</f>
        <v/>
      </c>
      <c r="P380" s="55" t="n"/>
      <c r="Q380" s="55" t="n"/>
    </row>
    <row r="381" ht="15.75" customHeight="1" s="99">
      <c r="A381" s="41" t="n">
        <v>381</v>
      </c>
      <c r="B381" s="45" t="n"/>
      <c r="C381" s="46">
        <f>IF(B381="","",TEXT(B381,"MMM-YYYY"))</f>
        <v/>
      </c>
      <c r="D381" s="47" t="n"/>
      <c r="E381" s="47" t="n"/>
      <c r="F381" s="47" t="n"/>
      <c r="G381" s="47" t="n"/>
      <c r="H381" s="47" t="n"/>
      <c r="I381" s="48" t="n"/>
      <c r="J381" s="47" t="n"/>
      <c r="K381" s="49" t="n"/>
      <c r="L381" s="50">
        <f>IF(OR(I381="",K381=""),"",I381*K381)</f>
        <v/>
      </c>
      <c r="M381" s="51" t="n"/>
      <c r="N381" s="51" t="n"/>
      <c r="O381" s="50">
        <f>IF(L381="","",IF(M381="",L381,L381*(1-M381)))</f>
        <v/>
      </c>
      <c r="P381" s="47" t="n"/>
      <c r="Q381" s="47" t="n"/>
    </row>
    <row r="382" ht="15.75" customHeight="1" s="99">
      <c r="A382" s="43" t="n">
        <v>382</v>
      </c>
      <c r="B382" s="53" t="n"/>
      <c r="C382" s="54">
        <f>IF(B382="","",TEXT(B382,"MMM-YYYY"))</f>
        <v/>
      </c>
      <c r="D382" s="55" t="n"/>
      <c r="E382" s="55" t="n"/>
      <c r="F382" s="55" t="n"/>
      <c r="G382" s="55" t="n"/>
      <c r="H382" s="55" t="n"/>
      <c r="I382" s="56" t="n"/>
      <c r="J382" s="55" t="n"/>
      <c r="K382" s="57" t="n"/>
      <c r="L382" s="58">
        <f>IF(OR(I382="",K382=""),"",I382*K382)</f>
        <v/>
      </c>
      <c r="M382" s="59" t="n"/>
      <c r="N382" s="59" t="n"/>
      <c r="O382" s="58">
        <f>IF(L382="","",IF(M382="",L382,L382*(1-M382)))</f>
        <v/>
      </c>
      <c r="P382" s="55" t="n"/>
      <c r="Q382" s="55" t="n"/>
    </row>
    <row r="383" ht="15.75" customHeight="1" s="99">
      <c r="A383" s="41" t="n">
        <v>383</v>
      </c>
      <c r="B383" s="45" t="n"/>
      <c r="C383" s="46">
        <f>IF(B383="","",TEXT(B383,"MMM-YYYY"))</f>
        <v/>
      </c>
      <c r="D383" s="47" t="n"/>
      <c r="E383" s="47" t="n"/>
      <c r="F383" s="47" t="n"/>
      <c r="G383" s="47" t="n"/>
      <c r="H383" s="47" t="n"/>
      <c r="I383" s="48" t="n"/>
      <c r="J383" s="47" t="n"/>
      <c r="K383" s="49" t="n"/>
      <c r="L383" s="50">
        <f>IF(OR(I383="",K383=""),"",I383*K383)</f>
        <v/>
      </c>
      <c r="M383" s="51" t="n"/>
      <c r="N383" s="51" t="n"/>
      <c r="O383" s="50">
        <f>IF(L383="","",IF(M383="",L383,L383*(1-M383)))</f>
        <v/>
      </c>
      <c r="P383" s="47" t="n"/>
      <c r="Q383" s="47" t="n"/>
    </row>
    <row r="384" ht="15.75" customHeight="1" s="99">
      <c r="A384" s="43" t="n">
        <v>384</v>
      </c>
      <c r="B384" s="53" t="n"/>
      <c r="C384" s="54">
        <f>IF(B384="","",TEXT(B384,"MMM-YYYY"))</f>
        <v/>
      </c>
      <c r="D384" s="55" t="n"/>
      <c r="E384" s="55" t="n"/>
      <c r="F384" s="55" t="n"/>
      <c r="G384" s="55" t="n"/>
      <c r="H384" s="55" t="n"/>
      <c r="I384" s="56" t="n"/>
      <c r="J384" s="55" t="n"/>
      <c r="K384" s="57" t="n"/>
      <c r="L384" s="58">
        <f>IF(OR(I384="",K384=""),"",I384*K384)</f>
        <v/>
      </c>
      <c r="M384" s="59" t="n"/>
      <c r="N384" s="59" t="n"/>
      <c r="O384" s="58">
        <f>IF(L384="","",IF(M384="",L384,L384*(1-M384)))</f>
        <v/>
      </c>
      <c r="P384" s="55" t="n"/>
      <c r="Q384" s="55" t="n"/>
    </row>
    <row r="385" ht="15.75" customHeight="1" s="99">
      <c r="A385" s="41" t="n">
        <v>385</v>
      </c>
      <c r="B385" s="45" t="n"/>
      <c r="C385" s="46">
        <f>IF(B385="","",TEXT(B385,"MMM-YYYY"))</f>
        <v/>
      </c>
      <c r="D385" s="47" t="n"/>
      <c r="E385" s="47" t="n"/>
      <c r="F385" s="47" t="n"/>
      <c r="G385" s="47" t="n"/>
      <c r="H385" s="47" t="n"/>
      <c r="I385" s="48" t="n"/>
      <c r="J385" s="47" t="n"/>
      <c r="K385" s="49" t="n"/>
      <c r="L385" s="50">
        <f>IF(OR(I385="",K385=""),"",I385*K385)</f>
        <v/>
      </c>
      <c r="M385" s="51" t="n"/>
      <c r="N385" s="51" t="n"/>
      <c r="O385" s="50">
        <f>IF(L385="","",IF(M385="",L385,L385*(1-M385)))</f>
        <v/>
      </c>
      <c r="P385" s="47" t="n"/>
      <c r="Q385" s="47" t="n"/>
    </row>
    <row r="386" ht="15.75" customHeight="1" s="99">
      <c r="A386" s="43" t="n">
        <v>386</v>
      </c>
      <c r="B386" s="53" t="n"/>
      <c r="C386" s="54">
        <f>IF(B386="","",TEXT(B386,"MMM-YYYY"))</f>
        <v/>
      </c>
      <c r="D386" s="55" t="n"/>
      <c r="E386" s="55" t="n"/>
      <c r="F386" s="55" t="n"/>
      <c r="G386" s="55" t="n"/>
      <c r="H386" s="55" t="n"/>
      <c r="I386" s="56" t="n"/>
      <c r="J386" s="55" t="n"/>
      <c r="K386" s="57" t="n"/>
      <c r="L386" s="58">
        <f>IF(OR(I386="",K386=""),"",I386*K386)</f>
        <v/>
      </c>
      <c r="M386" s="59" t="n"/>
      <c r="N386" s="59" t="n"/>
      <c r="O386" s="58">
        <f>IF(L386="","",IF(M386="",L386,L386*(1-M386)))</f>
        <v/>
      </c>
      <c r="P386" s="55" t="n"/>
      <c r="Q386" s="55" t="n"/>
    </row>
    <row r="387" ht="15.75" customHeight="1" s="99">
      <c r="A387" s="41" t="n">
        <v>387</v>
      </c>
      <c r="B387" s="45" t="n"/>
      <c r="C387" s="46">
        <f>IF(B387="","",TEXT(B387,"MMM-YYYY"))</f>
        <v/>
      </c>
      <c r="D387" s="47" t="n"/>
      <c r="E387" s="47" t="n"/>
      <c r="F387" s="47" t="n"/>
      <c r="G387" s="47" t="n"/>
      <c r="H387" s="47" t="n"/>
      <c r="I387" s="48" t="n"/>
      <c r="J387" s="47" t="n"/>
      <c r="K387" s="49" t="n"/>
      <c r="L387" s="50">
        <f>IF(OR(I387="",K387=""),"",I387*K387)</f>
        <v/>
      </c>
      <c r="M387" s="51" t="n"/>
      <c r="N387" s="51" t="n"/>
      <c r="O387" s="50">
        <f>IF(L387="","",IF(M387="",L387,L387*(1-M387)))</f>
        <v/>
      </c>
      <c r="P387" s="47" t="n"/>
      <c r="Q387" s="47" t="n"/>
    </row>
    <row r="388" ht="15.75" customHeight="1" s="99">
      <c r="A388" s="43" t="n">
        <v>388</v>
      </c>
      <c r="B388" s="53" t="n"/>
      <c r="C388" s="54">
        <f>IF(B388="","",TEXT(B388,"MMM-YYYY"))</f>
        <v/>
      </c>
      <c r="D388" s="55" t="n"/>
      <c r="E388" s="55" t="n"/>
      <c r="F388" s="55" t="n"/>
      <c r="G388" s="55" t="n"/>
      <c r="H388" s="55" t="n"/>
      <c r="I388" s="56" t="n"/>
      <c r="J388" s="55" t="n"/>
      <c r="K388" s="57" t="n"/>
      <c r="L388" s="58">
        <f>IF(OR(I388="",K388=""),"",I388*K388)</f>
        <v/>
      </c>
      <c r="M388" s="59" t="n"/>
      <c r="N388" s="59" t="n"/>
      <c r="O388" s="58">
        <f>IF(L388="","",IF(M388="",L388,L388*(1-M388)))</f>
        <v/>
      </c>
      <c r="P388" s="55" t="n"/>
      <c r="Q388" s="55" t="n"/>
    </row>
    <row r="389" ht="15.75" customHeight="1" s="99">
      <c r="A389" s="41" t="n">
        <v>389</v>
      </c>
      <c r="B389" s="45" t="n"/>
      <c r="C389" s="46">
        <f>IF(B389="","",TEXT(B389,"MMM-YYYY"))</f>
        <v/>
      </c>
      <c r="D389" s="47" t="n"/>
      <c r="E389" s="47" t="n"/>
      <c r="F389" s="47" t="n"/>
      <c r="G389" s="47" t="n"/>
      <c r="H389" s="47" t="n"/>
      <c r="I389" s="48" t="n"/>
      <c r="J389" s="47" t="n"/>
      <c r="K389" s="49" t="n"/>
      <c r="L389" s="50">
        <f>IF(OR(I389="",K389=""),"",I389*K389)</f>
        <v/>
      </c>
      <c r="M389" s="51" t="n"/>
      <c r="N389" s="51" t="n"/>
      <c r="O389" s="50">
        <f>IF(L389="","",IF(M389="",L389,L389*(1-M389)))</f>
        <v/>
      </c>
      <c r="P389" s="47" t="n"/>
      <c r="Q389" s="47" t="n"/>
    </row>
    <row r="390" ht="15.75" customHeight="1" s="99">
      <c r="A390" s="43" t="n">
        <v>390</v>
      </c>
      <c r="B390" s="53" t="n"/>
      <c r="C390" s="54">
        <f>IF(B390="","",TEXT(B390,"MMM-YYYY"))</f>
        <v/>
      </c>
      <c r="D390" s="55" t="n"/>
      <c r="E390" s="55" t="n"/>
      <c r="F390" s="55" t="n"/>
      <c r="G390" s="55" t="n"/>
      <c r="H390" s="55" t="n"/>
      <c r="I390" s="56" t="n"/>
      <c r="J390" s="55" t="n"/>
      <c r="K390" s="57" t="n"/>
      <c r="L390" s="58">
        <f>IF(OR(I390="",K390=""),"",I390*K390)</f>
        <v/>
      </c>
      <c r="M390" s="59" t="n"/>
      <c r="N390" s="59" t="n"/>
      <c r="O390" s="58">
        <f>IF(L390="","",IF(M390="",L390,L390*(1-M390)))</f>
        <v/>
      </c>
      <c r="P390" s="55" t="n"/>
      <c r="Q390" s="55" t="n"/>
    </row>
    <row r="391" ht="15.75" customHeight="1" s="99">
      <c r="A391" s="41" t="n">
        <v>391</v>
      </c>
      <c r="B391" s="45" t="n"/>
      <c r="C391" s="46">
        <f>IF(B391="","",TEXT(B391,"MMM-YYYY"))</f>
        <v/>
      </c>
      <c r="D391" s="47" t="n"/>
      <c r="E391" s="47" t="n"/>
      <c r="F391" s="47" t="n"/>
      <c r="G391" s="47" t="n"/>
      <c r="H391" s="47" t="n"/>
      <c r="I391" s="48" t="n"/>
      <c r="J391" s="47" t="n"/>
      <c r="K391" s="49" t="n"/>
      <c r="L391" s="50">
        <f>IF(OR(I391="",K391=""),"",I391*K391)</f>
        <v/>
      </c>
      <c r="M391" s="51" t="n"/>
      <c r="N391" s="51" t="n"/>
      <c r="O391" s="50">
        <f>IF(L391="","",IF(M391="",L391,L391*(1-M391)))</f>
        <v/>
      </c>
      <c r="P391" s="47" t="n"/>
      <c r="Q391" s="47" t="n"/>
    </row>
    <row r="392" ht="15.75" customHeight="1" s="99">
      <c r="A392" s="43" t="n">
        <v>392</v>
      </c>
      <c r="B392" s="53" t="n"/>
      <c r="C392" s="54">
        <f>IF(B392="","",TEXT(B392,"MMM-YYYY"))</f>
        <v/>
      </c>
      <c r="D392" s="55" t="n"/>
      <c r="E392" s="55" t="n"/>
      <c r="F392" s="55" t="n"/>
      <c r="G392" s="55" t="n"/>
      <c r="H392" s="55" t="n"/>
      <c r="I392" s="56" t="n"/>
      <c r="J392" s="55" t="n"/>
      <c r="K392" s="57" t="n"/>
      <c r="L392" s="58">
        <f>IF(OR(I392="",K392=""),"",I392*K392)</f>
        <v/>
      </c>
      <c r="M392" s="59" t="n"/>
      <c r="N392" s="59" t="n"/>
      <c r="O392" s="58">
        <f>IF(L392="","",IF(M392="",L392,L392*(1-M392)))</f>
        <v/>
      </c>
      <c r="P392" s="55" t="n"/>
      <c r="Q392" s="55" t="n"/>
    </row>
    <row r="393" ht="15.75" customHeight="1" s="99">
      <c r="A393" s="41" t="n">
        <v>393</v>
      </c>
      <c r="B393" s="45" t="n"/>
      <c r="C393" s="46">
        <f>IF(B393="","",TEXT(B393,"MMM-YYYY"))</f>
        <v/>
      </c>
      <c r="D393" s="47" t="n"/>
      <c r="E393" s="47" t="n"/>
      <c r="F393" s="47" t="n"/>
      <c r="G393" s="47" t="n"/>
      <c r="H393" s="47" t="n"/>
      <c r="I393" s="48" t="n"/>
      <c r="J393" s="47" t="n"/>
      <c r="K393" s="49" t="n"/>
      <c r="L393" s="50">
        <f>IF(OR(I393="",K393=""),"",I393*K393)</f>
        <v/>
      </c>
      <c r="M393" s="51" t="n"/>
      <c r="N393" s="51" t="n"/>
      <c r="O393" s="50">
        <f>IF(L393="","",IF(M393="",L393,L393*(1-M393)))</f>
        <v/>
      </c>
      <c r="P393" s="47" t="n"/>
      <c r="Q393" s="47" t="n"/>
    </row>
    <row r="394" ht="15.75" customHeight="1" s="99">
      <c r="A394" s="43" t="n">
        <v>394</v>
      </c>
      <c r="B394" s="53" t="n"/>
      <c r="C394" s="54">
        <f>IF(B394="","",TEXT(B394,"MMM-YYYY"))</f>
        <v/>
      </c>
      <c r="D394" s="55" t="n"/>
      <c r="E394" s="55" t="n"/>
      <c r="F394" s="55" t="n"/>
      <c r="G394" s="55" t="n"/>
      <c r="H394" s="55" t="n"/>
      <c r="I394" s="56" t="n"/>
      <c r="J394" s="55" t="n"/>
      <c r="K394" s="57" t="n"/>
      <c r="L394" s="58">
        <f>IF(OR(I394="",K394=""),"",I394*K394)</f>
        <v/>
      </c>
      <c r="M394" s="59" t="n"/>
      <c r="N394" s="59" t="n"/>
      <c r="O394" s="58">
        <f>IF(L394="","",IF(M394="",L394,L394*(1-M394)))</f>
        <v/>
      </c>
      <c r="P394" s="55" t="n"/>
      <c r="Q394" s="55" t="n"/>
    </row>
    <row r="395" ht="15.75" customHeight="1" s="99">
      <c r="A395" s="41" t="n">
        <v>395</v>
      </c>
      <c r="B395" s="45" t="n"/>
      <c r="C395" s="46">
        <f>IF(B395="","",TEXT(B395,"MMM-YYYY"))</f>
        <v/>
      </c>
      <c r="D395" s="47" t="n"/>
      <c r="E395" s="47" t="n"/>
      <c r="F395" s="47" t="n"/>
      <c r="G395" s="47" t="n"/>
      <c r="H395" s="47" t="n"/>
      <c r="I395" s="48" t="n"/>
      <c r="J395" s="47" t="n"/>
      <c r="K395" s="49" t="n"/>
      <c r="L395" s="50">
        <f>IF(OR(I395="",K395=""),"",I395*K395)</f>
        <v/>
      </c>
      <c r="M395" s="51" t="n"/>
      <c r="N395" s="51" t="n"/>
      <c r="O395" s="50">
        <f>IF(L395="","",IF(M395="",L395,L395*(1-M395)))</f>
        <v/>
      </c>
      <c r="P395" s="47" t="n"/>
      <c r="Q395" s="47" t="n"/>
    </row>
    <row r="396" ht="15.75" customHeight="1" s="99">
      <c r="A396" s="43" t="n">
        <v>396</v>
      </c>
      <c r="B396" s="53" t="n"/>
      <c r="C396" s="54">
        <f>IF(B396="","",TEXT(B396,"MMM-YYYY"))</f>
        <v/>
      </c>
      <c r="D396" s="55" t="n"/>
      <c r="E396" s="55" t="n"/>
      <c r="F396" s="55" t="n"/>
      <c r="G396" s="55" t="n"/>
      <c r="H396" s="55" t="n"/>
      <c r="I396" s="56" t="n"/>
      <c r="J396" s="55" t="n"/>
      <c r="K396" s="57" t="n"/>
      <c r="L396" s="58">
        <f>IF(OR(I396="",K396=""),"",I396*K396)</f>
        <v/>
      </c>
      <c r="M396" s="59" t="n"/>
      <c r="N396" s="59" t="n"/>
      <c r="O396" s="58">
        <f>IF(L396="","",IF(M396="",L396,L396*(1-M396)))</f>
        <v/>
      </c>
      <c r="P396" s="55" t="n"/>
      <c r="Q396" s="55" t="n"/>
    </row>
    <row r="397" ht="15.75" customHeight="1" s="99">
      <c r="A397" s="41" t="n">
        <v>397</v>
      </c>
      <c r="B397" s="45" t="n"/>
      <c r="C397" s="46">
        <f>IF(B397="","",TEXT(B397,"MMM-YYYY"))</f>
        <v/>
      </c>
      <c r="D397" s="47" t="n"/>
      <c r="E397" s="47" t="n"/>
      <c r="F397" s="47" t="n"/>
      <c r="G397" s="47" t="n"/>
      <c r="H397" s="47" t="n"/>
      <c r="I397" s="48" t="n"/>
      <c r="J397" s="47" t="n"/>
      <c r="K397" s="49" t="n"/>
      <c r="L397" s="50">
        <f>IF(OR(I397="",K397=""),"",I397*K397)</f>
        <v/>
      </c>
      <c r="M397" s="51" t="n"/>
      <c r="N397" s="51" t="n"/>
      <c r="O397" s="50">
        <f>IF(L397="","",IF(M397="",L397,L397*(1-M397)))</f>
        <v/>
      </c>
      <c r="P397" s="47" t="n"/>
      <c r="Q397" s="47" t="n"/>
    </row>
    <row r="398" ht="15.75" customHeight="1" s="99">
      <c r="A398" s="43" t="n">
        <v>398</v>
      </c>
      <c r="B398" s="53" t="n"/>
      <c r="C398" s="54">
        <f>IF(B398="","",TEXT(B398,"MMM-YYYY"))</f>
        <v/>
      </c>
      <c r="D398" s="55" t="n"/>
      <c r="E398" s="55" t="n"/>
      <c r="F398" s="55" t="n"/>
      <c r="G398" s="55" t="n"/>
      <c r="H398" s="55" t="n"/>
      <c r="I398" s="56" t="n"/>
      <c r="J398" s="55" t="n"/>
      <c r="K398" s="57" t="n"/>
      <c r="L398" s="58">
        <f>IF(OR(I398="",K398=""),"",I398*K398)</f>
        <v/>
      </c>
      <c r="M398" s="59" t="n"/>
      <c r="N398" s="59" t="n"/>
      <c r="O398" s="58">
        <f>IF(L398="","",IF(M398="",L398,L398*(1-M398)))</f>
        <v/>
      </c>
      <c r="P398" s="55" t="n"/>
      <c r="Q398" s="55" t="n"/>
    </row>
    <row r="399" ht="15.75" customHeight="1" s="99">
      <c r="A399" s="41" t="n">
        <v>399</v>
      </c>
      <c r="B399" s="45" t="n"/>
      <c r="C399" s="46">
        <f>IF(B399="","",TEXT(B399,"MMM-YYYY"))</f>
        <v/>
      </c>
      <c r="D399" s="47" t="n"/>
      <c r="E399" s="47" t="n"/>
      <c r="F399" s="47" t="n"/>
      <c r="G399" s="47" t="n"/>
      <c r="H399" s="47" t="n"/>
      <c r="I399" s="48" t="n"/>
      <c r="J399" s="47" t="n"/>
      <c r="K399" s="49" t="n"/>
      <c r="L399" s="50">
        <f>IF(OR(I399="",K399=""),"",I399*K399)</f>
        <v/>
      </c>
      <c r="M399" s="51" t="n"/>
      <c r="N399" s="51" t="n"/>
      <c r="O399" s="50">
        <f>IF(L399="","",IF(M399="",L399,L399*(1-M399)))</f>
        <v/>
      </c>
      <c r="P399" s="47" t="n"/>
      <c r="Q399" s="47" t="n"/>
    </row>
    <row r="400" ht="15.75" customHeight="1" s="99">
      <c r="A400" s="43" t="n">
        <v>400</v>
      </c>
      <c r="B400" s="53" t="n"/>
      <c r="C400" s="54">
        <f>IF(B400="","",TEXT(B400,"MMM-YYYY"))</f>
        <v/>
      </c>
      <c r="D400" s="55" t="n"/>
      <c r="E400" s="55" t="n"/>
      <c r="F400" s="55" t="n"/>
      <c r="G400" s="55" t="n"/>
      <c r="H400" s="55" t="n"/>
      <c r="I400" s="56" t="n"/>
      <c r="J400" s="55" t="n"/>
      <c r="K400" s="57" t="n"/>
      <c r="L400" s="58">
        <f>IF(OR(I400="",K400=""),"",I400*K400)</f>
        <v/>
      </c>
      <c r="M400" s="59" t="n"/>
      <c r="N400" s="59" t="n"/>
      <c r="O400" s="58">
        <f>IF(L400="","",IF(M400="",L400,L400*(1-M400)))</f>
        <v/>
      </c>
      <c r="P400" s="55" t="n"/>
      <c r="Q400" s="55" t="n"/>
    </row>
    <row r="401" ht="15.75" customHeight="1" s="99">
      <c r="A401" s="41" t="n">
        <v>401</v>
      </c>
      <c r="B401" s="45" t="n"/>
      <c r="C401" s="46">
        <f>IF(B401="","",TEXT(B401,"MMM-YYYY"))</f>
        <v/>
      </c>
      <c r="D401" s="47" t="n"/>
      <c r="E401" s="47" t="n"/>
      <c r="F401" s="47" t="n"/>
      <c r="G401" s="47" t="n"/>
      <c r="H401" s="47" t="n"/>
      <c r="I401" s="48" t="n"/>
      <c r="J401" s="47" t="n"/>
      <c r="K401" s="49" t="n"/>
      <c r="L401" s="50">
        <f>IF(OR(I401="",K401=""),"",I401*K401)</f>
        <v/>
      </c>
      <c r="M401" s="51" t="n"/>
      <c r="N401" s="51" t="n"/>
      <c r="O401" s="50">
        <f>IF(L401="","",IF(M401="",L401,L401*(1-M401)))</f>
        <v/>
      </c>
      <c r="P401" s="47" t="n"/>
      <c r="Q401" s="47" t="n"/>
    </row>
    <row r="402" ht="15.75" customHeight="1" s="99">
      <c r="A402" s="43" t="n">
        <v>402</v>
      </c>
      <c r="B402" s="53" t="n"/>
      <c r="C402" s="54">
        <f>IF(B402="","",TEXT(B402,"MMM-YYYY"))</f>
        <v/>
      </c>
      <c r="D402" s="55" t="n"/>
      <c r="E402" s="55" t="n"/>
      <c r="F402" s="55" t="n"/>
      <c r="G402" s="55" t="n"/>
      <c r="H402" s="55" t="n"/>
      <c r="I402" s="56" t="n"/>
      <c r="J402" s="55" t="n"/>
      <c r="K402" s="57" t="n"/>
      <c r="L402" s="58">
        <f>IF(OR(I402="",K402=""),"",I402*K402)</f>
        <v/>
      </c>
      <c r="M402" s="59" t="n"/>
      <c r="N402" s="59" t="n"/>
      <c r="O402" s="58">
        <f>IF(L402="","",IF(M402="",L402,L402*(1-M402)))</f>
        <v/>
      </c>
      <c r="P402" s="55" t="n"/>
      <c r="Q402" s="55" t="n"/>
    </row>
    <row r="403" ht="15.75" customHeight="1" s="99">
      <c r="A403" s="41" t="n">
        <v>403</v>
      </c>
      <c r="B403" s="45" t="n"/>
      <c r="C403" s="46">
        <f>IF(B403="","",TEXT(B403,"MMM-YYYY"))</f>
        <v/>
      </c>
      <c r="D403" s="47" t="n"/>
      <c r="E403" s="47" t="n"/>
      <c r="F403" s="47" t="n"/>
      <c r="G403" s="47" t="n"/>
      <c r="H403" s="47" t="n"/>
      <c r="I403" s="48" t="n"/>
      <c r="J403" s="47" t="n"/>
      <c r="K403" s="49" t="n"/>
      <c r="L403" s="50">
        <f>IF(OR(I403="",K403=""),"",I403*K403)</f>
        <v/>
      </c>
      <c r="M403" s="51" t="n"/>
      <c r="N403" s="51" t="n"/>
      <c r="O403" s="50">
        <f>IF(L403="","",IF(M403="",L403,L403*(1-M403)))</f>
        <v/>
      </c>
      <c r="P403" s="47" t="n"/>
      <c r="Q403" s="47" t="n"/>
    </row>
    <row r="404" ht="15.75" customHeight="1" s="99">
      <c r="A404" s="43" t="n">
        <v>404</v>
      </c>
      <c r="B404" s="53" t="n"/>
      <c r="C404" s="54">
        <f>IF(B404="","",TEXT(B404,"MMM-YYYY"))</f>
        <v/>
      </c>
      <c r="D404" s="55" t="n"/>
      <c r="E404" s="55" t="n"/>
      <c r="F404" s="55" t="n"/>
      <c r="G404" s="55" t="n"/>
      <c r="H404" s="55" t="n"/>
      <c r="I404" s="56" t="n"/>
      <c r="J404" s="55" t="n"/>
      <c r="K404" s="57" t="n"/>
      <c r="L404" s="58">
        <f>IF(OR(I404="",K404=""),"",I404*K404)</f>
        <v/>
      </c>
      <c r="M404" s="59" t="n"/>
      <c r="N404" s="59" t="n"/>
      <c r="O404" s="58">
        <f>IF(L404="","",IF(M404="",L404,L404*(1-M404)))</f>
        <v/>
      </c>
      <c r="P404" s="55" t="n"/>
      <c r="Q404" s="55" t="n"/>
    </row>
    <row r="405" ht="15.75" customHeight="1" s="99">
      <c r="A405" s="41" t="n">
        <v>405</v>
      </c>
      <c r="B405" s="45" t="n"/>
      <c r="C405" s="46">
        <f>IF(B405="","",TEXT(B405,"MMM-YYYY"))</f>
        <v/>
      </c>
      <c r="D405" s="47" t="n"/>
      <c r="E405" s="47" t="n"/>
      <c r="F405" s="47" t="n"/>
      <c r="G405" s="47" t="n"/>
      <c r="H405" s="47" t="n"/>
      <c r="I405" s="48" t="n"/>
      <c r="J405" s="47" t="n"/>
      <c r="K405" s="49" t="n"/>
      <c r="L405" s="50">
        <f>IF(OR(I405="",K405=""),"",I405*K405)</f>
        <v/>
      </c>
      <c r="M405" s="51" t="n"/>
      <c r="N405" s="51" t="n"/>
      <c r="O405" s="50">
        <f>IF(L405="","",IF(M405="",L405,L405*(1-M405)))</f>
        <v/>
      </c>
      <c r="P405" s="47" t="n"/>
      <c r="Q405" s="47" t="n"/>
    </row>
    <row r="406" ht="15.75" customHeight="1" s="99">
      <c r="A406" s="43" t="n">
        <v>406</v>
      </c>
      <c r="B406" s="53" t="n"/>
      <c r="C406" s="54">
        <f>IF(B406="","",TEXT(B406,"MMM-YYYY"))</f>
        <v/>
      </c>
      <c r="D406" s="55" t="n"/>
      <c r="E406" s="55" t="n"/>
      <c r="F406" s="55" t="n"/>
      <c r="G406" s="55" t="n"/>
      <c r="H406" s="55" t="n"/>
      <c r="I406" s="56" t="n"/>
      <c r="J406" s="55" t="n"/>
      <c r="K406" s="57" t="n"/>
      <c r="L406" s="58">
        <f>IF(OR(I406="",K406=""),"",I406*K406)</f>
        <v/>
      </c>
      <c r="M406" s="59" t="n"/>
      <c r="N406" s="59" t="n"/>
      <c r="O406" s="58">
        <f>IF(L406="","",IF(M406="",L406,L406*(1-M406)))</f>
        <v/>
      </c>
      <c r="P406" s="55" t="n"/>
      <c r="Q406" s="55" t="n"/>
    </row>
    <row r="407" ht="15.75" customHeight="1" s="99">
      <c r="A407" s="41" t="n">
        <v>407</v>
      </c>
      <c r="B407" s="45" t="n"/>
      <c r="C407" s="46">
        <f>IF(B407="","",TEXT(B407,"MMM-YYYY"))</f>
        <v/>
      </c>
      <c r="D407" s="47" t="n"/>
      <c r="E407" s="47" t="n"/>
      <c r="F407" s="47" t="n"/>
      <c r="G407" s="47" t="n"/>
      <c r="H407" s="47" t="n"/>
      <c r="I407" s="48" t="n"/>
      <c r="J407" s="47" t="n"/>
      <c r="K407" s="49" t="n"/>
      <c r="L407" s="50">
        <f>IF(OR(I407="",K407=""),"",I407*K407)</f>
        <v/>
      </c>
      <c r="M407" s="51" t="n"/>
      <c r="N407" s="51" t="n"/>
      <c r="O407" s="50">
        <f>IF(L407="","",IF(M407="",L407,L407*(1-M407)))</f>
        <v/>
      </c>
      <c r="P407" s="47" t="n"/>
      <c r="Q407" s="47" t="n"/>
    </row>
    <row r="408" ht="15.75" customHeight="1" s="99">
      <c r="A408" s="43" t="n">
        <v>408</v>
      </c>
      <c r="B408" s="53" t="n"/>
      <c r="C408" s="54">
        <f>IF(B408="","",TEXT(B408,"MMM-YYYY"))</f>
        <v/>
      </c>
      <c r="D408" s="55" t="n"/>
      <c r="E408" s="55" t="n"/>
      <c r="F408" s="55" t="n"/>
      <c r="G408" s="55" t="n"/>
      <c r="H408" s="55" t="n"/>
      <c r="I408" s="56" t="n"/>
      <c r="J408" s="55" t="n"/>
      <c r="K408" s="57" t="n"/>
      <c r="L408" s="58">
        <f>IF(OR(I408="",K408=""),"",I408*K408)</f>
        <v/>
      </c>
      <c r="M408" s="59" t="n"/>
      <c r="N408" s="59" t="n"/>
      <c r="O408" s="58">
        <f>IF(L408="","",IF(M408="",L408,L408*(1-M408)))</f>
        <v/>
      </c>
      <c r="P408" s="55" t="n"/>
      <c r="Q408" s="55" t="n"/>
    </row>
    <row r="409" ht="15.75" customHeight="1" s="99">
      <c r="A409" s="41" t="n">
        <v>409</v>
      </c>
      <c r="B409" s="45" t="n"/>
      <c r="C409" s="46">
        <f>IF(B409="","",TEXT(B409,"MMM-YYYY"))</f>
        <v/>
      </c>
      <c r="D409" s="47" t="n"/>
      <c r="E409" s="47" t="n"/>
      <c r="F409" s="47" t="n"/>
      <c r="G409" s="47" t="n"/>
      <c r="H409" s="47" t="n"/>
      <c r="I409" s="48" t="n"/>
      <c r="J409" s="47" t="n"/>
      <c r="K409" s="49" t="n"/>
      <c r="L409" s="50">
        <f>IF(OR(I409="",K409=""),"",I409*K409)</f>
        <v/>
      </c>
      <c r="M409" s="51" t="n"/>
      <c r="N409" s="51" t="n"/>
      <c r="O409" s="50">
        <f>IF(L409="","",IF(M409="",L409,L409*(1-M409)))</f>
        <v/>
      </c>
      <c r="P409" s="47" t="n"/>
      <c r="Q409" s="47" t="n"/>
    </row>
    <row r="410" ht="15.75" customHeight="1" s="99">
      <c r="A410" s="43" t="n">
        <v>410</v>
      </c>
      <c r="B410" s="53" t="n"/>
      <c r="C410" s="54">
        <f>IF(B410="","",TEXT(B410,"MMM-YYYY"))</f>
        <v/>
      </c>
      <c r="D410" s="55" t="n"/>
      <c r="E410" s="55" t="n"/>
      <c r="F410" s="55" t="n"/>
      <c r="G410" s="55" t="n"/>
      <c r="H410" s="55" t="n"/>
      <c r="I410" s="56" t="n"/>
      <c r="J410" s="55" t="n"/>
      <c r="K410" s="57" t="n"/>
      <c r="L410" s="58">
        <f>IF(OR(I410="",K410=""),"",I410*K410)</f>
        <v/>
      </c>
      <c r="M410" s="59" t="n"/>
      <c r="N410" s="59" t="n"/>
      <c r="O410" s="58">
        <f>IF(L410="","",IF(M410="",L410,L410*(1-M410)))</f>
        <v/>
      </c>
      <c r="P410" s="55" t="n"/>
      <c r="Q410" s="55" t="n"/>
    </row>
    <row r="411" ht="15.75" customHeight="1" s="99">
      <c r="A411" s="41" t="n">
        <v>411</v>
      </c>
      <c r="B411" s="45" t="n"/>
      <c r="C411" s="46">
        <f>IF(B411="","",TEXT(B411,"MMM-YYYY"))</f>
        <v/>
      </c>
      <c r="D411" s="47" t="n"/>
      <c r="E411" s="47" t="n"/>
      <c r="F411" s="47" t="n"/>
      <c r="G411" s="47" t="n"/>
      <c r="H411" s="47" t="n"/>
      <c r="I411" s="48" t="n"/>
      <c r="J411" s="47" t="n"/>
      <c r="K411" s="49" t="n"/>
      <c r="L411" s="50">
        <f>IF(OR(I411="",K411=""),"",I411*K411)</f>
        <v/>
      </c>
      <c r="M411" s="51" t="n"/>
      <c r="N411" s="51" t="n"/>
      <c r="O411" s="50">
        <f>IF(L411="","",IF(M411="",L411,L411*(1-M411)))</f>
        <v/>
      </c>
      <c r="P411" s="47" t="n"/>
      <c r="Q411" s="47" t="n"/>
    </row>
    <row r="412" ht="15.75" customHeight="1" s="99">
      <c r="A412" s="43" t="n">
        <v>412</v>
      </c>
      <c r="B412" s="53" t="n"/>
      <c r="C412" s="54">
        <f>IF(B412="","",TEXT(B412,"MMM-YYYY"))</f>
        <v/>
      </c>
      <c r="D412" s="55" t="n"/>
      <c r="E412" s="55" t="n"/>
      <c r="F412" s="55" t="n"/>
      <c r="G412" s="55" t="n"/>
      <c r="H412" s="55" t="n"/>
      <c r="I412" s="56" t="n"/>
      <c r="J412" s="55" t="n"/>
      <c r="K412" s="57" t="n"/>
      <c r="L412" s="58">
        <f>IF(OR(I412="",K412=""),"",I412*K412)</f>
        <v/>
      </c>
      <c r="M412" s="59" t="n"/>
      <c r="N412" s="59" t="n"/>
      <c r="O412" s="58">
        <f>IF(L412="","",IF(M412="",L412,L412*(1-M412)))</f>
        <v/>
      </c>
      <c r="P412" s="55" t="n"/>
      <c r="Q412" s="55" t="n"/>
    </row>
    <row r="413" ht="15.75" customHeight="1" s="99">
      <c r="A413" s="41" t="n">
        <v>413</v>
      </c>
      <c r="B413" s="45" t="n"/>
      <c r="C413" s="46">
        <f>IF(B413="","",TEXT(B413,"MMM-YYYY"))</f>
        <v/>
      </c>
      <c r="D413" s="47" t="n"/>
      <c r="E413" s="47" t="n"/>
      <c r="F413" s="47" t="n"/>
      <c r="G413" s="47" t="n"/>
      <c r="H413" s="47" t="n"/>
      <c r="I413" s="48" t="n"/>
      <c r="J413" s="47" t="n"/>
      <c r="K413" s="49" t="n"/>
      <c r="L413" s="50">
        <f>IF(OR(I413="",K413=""),"",I413*K413)</f>
        <v/>
      </c>
      <c r="M413" s="51" t="n"/>
      <c r="N413" s="51" t="n"/>
      <c r="O413" s="50">
        <f>IF(L413="","",IF(M413="",L413,L413*(1-M413)))</f>
        <v/>
      </c>
      <c r="P413" s="47" t="n"/>
      <c r="Q413" s="47" t="n"/>
    </row>
    <row r="414" ht="15.75" customHeight="1" s="99">
      <c r="A414" s="43" t="n">
        <v>414</v>
      </c>
      <c r="B414" s="53" t="n"/>
      <c r="C414" s="54">
        <f>IF(B414="","",TEXT(B414,"MMM-YYYY"))</f>
        <v/>
      </c>
      <c r="D414" s="55" t="n"/>
      <c r="E414" s="55" t="n"/>
      <c r="F414" s="55" t="n"/>
      <c r="G414" s="55" t="n"/>
      <c r="H414" s="55" t="n"/>
      <c r="I414" s="56" t="n"/>
      <c r="J414" s="55" t="n"/>
      <c r="K414" s="57" t="n"/>
      <c r="L414" s="58">
        <f>IF(OR(I414="",K414=""),"",I414*K414)</f>
        <v/>
      </c>
      <c r="M414" s="59" t="n"/>
      <c r="N414" s="59" t="n"/>
      <c r="O414" s="58">
        <f>IF(L414="","",IF(M414="",L414,L414*(1-M414)))</f>
        <v/>
      </c>
      <c r="P414" s="55" t="n"/>
      <c r="Q414" s="55" t="n"/>
    </row>
    <row r="415" ht="15.75" customHeight="1" s="99">
      <c r="A415" s="41" t="n">
        <v>415</v>
      </c>
      <c r="B415" s="45" t="n"/>
      <c r="C415" s="46">
        <f>IF(B415="","",TEXT(B415,"MMM-YYYY"))</f>
        <v/>
      </c>
      <c r="D415" s="47" t="n"/>
      <c r="E415" s="47" t="n"/>
      <c r="F415" s="47" t="n"/>
      <c r="G415" s="47" t="n"/>
      <c r="H415" s="47" t="n"/>
      <c r="I415" s="48" t="n"/>
      <c r="J415" s="47" t="n"/>
      <c r="K415" s="49" t="n"/>
      <c r="L415" s="50">
        <f>IF(OR(I415="",K415=""),"",I415*K415)</f>
        <v/>
      </c>
      <c r="M415" s="51" t="n"/>
      <c r="N415" s="51" t="n"/>
      <c r="O415" s="50">
        <f>IF(L415="","",IF(M415="",L415,L415*(1-M415)))</f>
        <v/>
      </c>
      <c r="P415" s="47" t="n"/>
      <c r="Q415" s="47" t="n"/>
    </row>
    <row r="416" ht="15.75" customHeight="1" s="99">
      <c r="A416" s="43" t="n">
        <v>416</v>
      </c>
      <c r="B416" s="53" t="n"/>
      <c r="C416" s="54">
        <f>IF(B416="","",TEXT(B416,"MMM-YYYY"))</f>
        <v/>
      </c>
      <c r="D416" s="55" t="n"/>
      <c r="E416" s="55" t="n"/>
      <c r="F416" s="55" t="n"/>
      <c r="G416" s="55" t="n"/>
      <c r="H416" s="55" t="n"/>
      <c r="I416" s="56" t="n"/>
      <c r="J416" s="55" t="n"/>
      <c r="K416" s="57" t="n"/>
      <c r="L416" s="58">
        <f>IF(OR(I416="",K416=""),"",I416*K416)</f>
        <v/>
      </c>
      <c r="M416" s="59" t="n"/>
      <c r="N416" s="59" t="n"/>
      <c r="O416" s="58">
        <f>IF(L416="","",IF(M416="",L416,L416*(1-M416)))</f>
        <v/>
      </c>
      <c r="P416" s="55" t="n"/>
      <c r="Q416" s="55" t="n"/>
    </row>
    <row r="417" ht="15.75" customHeight="1" s="99">
      <c r="A417" s="41" t="n">
        <v>417</v>
      </c>
      <c r="B417" s="45" t="n"/>
      <c r="C417" s="46">
        <f>IF(B417="","",TEXT(B417,"MMM-YYYY"))</f>
        <v/>
      </c>
      <c r="D417" s="47" t="n"/>
      <c r="E417" s="47" t="n"/>
      <c r="F417" s="47" t="n"/>
      <c r="G417" s="47" t="n"/>
      <c r="H417" s="47" t="n"/>
      <c r="I417" s="48" t="n"/>
      <c r="J417" s="47" t="n"/>
      <c r="K417" s="49" t="n"/>
      <c r="L417" s="50">
        <f>IF(OR(I417="",K417=""),"",I417*K417)</f>
        <v/>
      </c>
      <c r="M417" s="51" t="n"/>
      <c r="N417" s="51" t="n"/>
      <c r="O417" s="50">
        <f>IF(L417="","",IF(M417="",L417,L417*(1-M417)))</f>
        <v/>
      </c>
      <c r="P417" s="47" t="n"/>
      <c r="Q417" s="47" t="n"/>
    </row>
    <row r="418" ht="15.75" customHeight="1" s="99">
      <c r="A418" s="43" t="n">
        <v>418</v>
      </c>
      <c r="B418" s="53" t="n"/>
      <c r="C418" s="54">
        <f>IF(B418="","",TEXT(B418,"MMM-YYYY"))</f>
        <v/>
      </c>
      <c r="D418" s="55" t="n"/>
      <c r="E418" s="55" t="n"/>
      <c r="F418" s="55" t="n"/>
      <c r="G418" s="55" t="n"/>
      <c r="H418" s="55" t="n"/>
      <c r="I418" s="56" t="n"/>
      <c r="J418" s="55" t="n"/>
      <c r="K418" s="57" t="n"/>
      <c r="L418" s="58">
        <f>IF(OR(I418="",K418=""),"",I418*K418)</f>
        <v/>
      </c>
      <c r="M418" s="59" t="n"/>
      <c r="N418" s="59" t="n"/>
      <c r="O418" s="58">
        <f>IF(L418="","",IF(M418="",L418,L418*(1-M418)))</f>
        <v/>
      </c>
      <c r="P418" s="55" t="n"/>
      <c r="Q418" s="55" t="n"/>
    </row>
    <row r="419" ht="15.75" customHeight="1" s="99">
      <c r="A419" s="41" t="n">
        <v>419</v>
      </c>
      <c r="B419" s="45" t="n"/>
      <c r="C419" s="46">
        <f>IF(B419="","",TEXT(B419,"MMM-YYYY"))</f>
        <v/>
      </c>
      <c r="D419" s="47" t="n"/>
      <c r="E419" s="47" t="n"/>
      <c r="F419" s="47" t="n"/>
      <c r="G419" s="47" t="n"/>
      <c r="H419" s="47" t="n"/>
      <c r="I419" s="48" t="n"/>
      <c r="J419" s="47" t="n"/>
      <c r="K419" s="49" t="n"/>
      <c r="L419" s="50">
        <f>IF(OR(I419="",K419=""),"",I419*K419)</f>
        <v/>
      </c>
      <c r="M419" s="51" t="n"/>
      <c r="N419" s="51" t="n"/>
      <c r="O419" s="50">
        <f>IF(L419="","",IF(M419="",L419,L419*(1-M419)))</f>
        <v/>
      </c>
      <c r="P419" s="47" t="n"/>
      <c r="Q419" s="47" t="n"/>
    </row>
    <row r="420" ht="15.75" customHeight="1" s="99">
      <c r="A420" s="43" t="n">
        <v>420</v>
      </c>
      <c r="B420" s="53" t="n"/>
      <c r="C420" s="54">
        <f>IF(B420="","",TEXT(B420,"MMM-YYYY"))</f>
        <v/>
      </c>
      <c r="D420" s="55" t="n"/>
      <c r="E420" s="55" t="n"/>
      <c r="F420" s="55" t="n"/>
      <c r="G420" s="55" t="n"/>
      <c r="H420" s="55" t="n"/>
      <c r="I420" s="56" t="n"/>
      <c r="J420" s="55" t="n"/>
      <c r="K420" s="57" t="n"/>
      <c r="L420" s="58">
        <f>IF(OR(I420="",K420=""),"",I420*K420)</f>
        <v/>
      </c>
      <c r="M420" s="59" t="n"/>
      <c r="N420" s="59" t="n"/>
      <c r="O420" s="58">
        <f>IF(L420="","",IF(M420="",L420,L420*(1-M420)))</f>
        <v/>
      </c>
      <c r="P420" s="55" t="n"/>
      <c r="Q420" s="55" t="n"/>
    </row>
    <row r="421" ht="15.75" customHeight="1" s="99">
      <c r="A421" s="41" t="n">
        <v>421</v>
      </c>
      <c r="B421" s="45" t="n"/>
      <c r="C421" s="46">
        <f>IF(B421="","",TEXT(B421,"MMM-YYYY"))</f>
        <v/>
      </c>
      <c r="D421" s="47" t="n"/>
      <c r="E421" s="47" t="n"/>
      <c r="F421" s="47" t="n"/>
      <c r="G421" s="47" t="n"/>
      <c r="H421" s="47" t="n"/>
      <c r="I421" s="48" t="n"/>
      <c r="J421" s="47" t="n"/>
      <c r="K421" s="49" t="n"/>
      <c r="L421" s="50">
        <f>IF(OR(I421="",K421=""),"",I421*K421)</f>
        <v/>
      </c>
      <c r="M421" s="51" t="n"/>
      <c r="N421" s="51" t="n"/>
      <c r="O421" s="50">
        <f>IF(L421="","",IF(M421="",L421,L421*(1-M421)))</f>
        <v/>
      </c>
      <c r="P421" s="47" t="n"/>
      <c r="Q421" s="47" t="n"/>
    </row>
    <row r="422" ht="15.75" customHeight="1" s="99">
      <c r="A422" s="43" t="n">
        <v>422</v>
      </c>
      <c r="B422" s="53" t="n"/>
      <c r="C422" s="54">
        <f>IF(B422="","",TEXT(B422,"MMM-YYYY"))</f>
        <v/>
      </c>
      <c r="D422" s="55" t="n"/>
      <c r="E422" s="55" t="n"/>
      <c r="F422" s="55" t="n"/>
      <c r="G422" s="55" t="n"/>
      <c r="H422" s="55" t="n"/>
      <c r="I422" s="56" t="n"/>
      <c r="J422" s="55" t="n"/>
      <c r="K422" s="57" t="n"/>
      <c r="L422" s="58">
        <f>IF(OR(I422="",K422=""),"",I422*K422)</f>
        <v/>
      </c>
      <c r="M422" s="59" t="n"/>
      <c r="N422" s="59" t="n"/>
      <c r="O422" s="58">
        <f>IF(L422="","",IF(M422="",L422,L422*(1-M422)))</f>
        <v/>
      </c>
      <c r="P422" s="55" t="n"/>
      <c r="Q422" s="55" t="n"/>
    </row>
    <row r="423" ht="15.75" customHeight="1" s="99">
      <c r="A423" s="41" t="n">
        <v>423</v>
      </c>
      <c r="B423" s="45" t="n"/>
      <c r="C423" s="46">
        <f>IF(B423="","",TEXT(B423,"MMM-YYYY"))</f>
        <v/>
      </c>
      <c r="D423" s="47" t="n"/>
      <c r="E423" s="47" t="n"/>
      <c r="F423" s="47" t="n"/>
      <c r="G423" s="47" t="n"/>
      <c r="H423" s="47" t="n"/>
      <c r="I423" s="48" t="n"/>
      <c r="J423" s="47" t="n"/>
      <c r="K423" s="49" t="n"/>
      <c r="L423" s="50">
        <f>IF(OR(I423="",K423=""),"",I423*K423)</f>
        <v/>
      </c>
      <c r="M423" s="51" t="n"/>
      <c r="N423" s="51" t="n"/>
      <c r="O423" s="50">
        <f>IF(L423="","",IF(M423="",L423,L423*(1-M423)))</f>
        <v/>
      </c>
      <c r="P423" s="47" t="n"/>
      <c r="Q423" s="47" t="n"/>
    </row>
    <row r="424" ht="15.75" customHeight="1" s="99">
      <c r="A424" s="43" t="n">
        <v>424</v>
      </c>
      <c r="B424" s="53" t="n"/>
      <c r="C424" s="54">
        <f>IF(B424="","",TEXT(B424,"MMM-YYYY"))</f>
        <v/>
      </c>
      <c r="D424" s="55" t="n"/>
      <c r="E424" s="55" t="n"/>
      <c r="F424" s="55" t="n"/>
      <c r="G424" s="55" t="n"/>
      <c r="H424" s="55" t="n"/>
      <c r="I424" s="56" t="n"/>
      <c r="J424" s="55" t="n"/>
      <c r="K424" s="57" t="n"/>
      <c r="L424" s="58">
        <f>IF(OR(I424="",K424=""),"",I424*K424)</f>
        <v/>
      </c>
      <c r="M424" s="59" t="n"/>
      <c r="N424" s="59" t="n"/>
      <c r="O424" s="58">
        <f>IF(L424="","",IF(M424="",L424,L424*(1-M424)))</f>
        <v/>
      </c>
      <c r="P424" s="55" t="n"/>
      <c r="Q424" s="55" t="n"/>
    </row>
    <row r="425" ht="15.75" customHeight="1" s="99">
      <c r="A425" s="41" t="n">
        <v>425</v>
      </c>
      <c r="B425" s="45" t="n"/>
      <c r="C425" s="46">
        <f>IF(B425="","",TEXT(B425,"MMM-YYYY"))</f>
        <v/>
      </c>
      <c r="D425" s="47" t="n"/>
      <c r="E425" s="47" t="n"/>
      <c r="F425" s="47" t="n"/>
      <c r="G425" s="47" t="n"/>
      <c r="H425" s="47" t="n"/>
      <c r="I425" s="48" t="n"/>
      <c r="J425" s="47" t="n"/>
      <c r="K425" s="49" t="n"/>
      <c r="L425" s="50">
        <f>IF(OR(I425="",K425=""),"",I425*K425)</f>
        <v/>
      </c>
      <c r="M425" s="51" t="n"/>
      <c r="N425" s="51" t="n"/>
      <c r="O425" s="50">
        <f>IF(L425="","",IF(M425="",L425,L425*(1-M425)))</f>
        <v/>
      </c>
      <c r="P425" s="47" t="n"/>
      <c r="Q425" s="47" t="n"/>
    </row>
    <row r="426" ht="15.75" customHeight="1" s="99">
      <c r="A426" s="43" t="n">
        <v>426</v>
      </c>
      <c r="B426" s="53" t="n"/>
      <c r="C426" s="54">
        <f>IF(B426="","",TEXT(B426,"MMM-YYYY"))</f>
        <v/>
      </c>
      <c r="D426" s="55" t="n"/>
      <c r="E426" s="55" t="n"/>
      <c r="F426" s="55" t="n"/>
      <c r="G426" s="55" t="n"/>
      <c r="H426" s="55" t="n"/>
      <c r="I426" s="56" t="n"/>
      <c r="J426" s="55" t="n"/>
      <c r="K426" s="57" t="n"/>
      <c r="L426" s="58">
        <f>IF(OR(I426="",K426=""),"",I426*K426)</f>
        <v/>
      </c>
      <c r="M426" s="59" t="n"/>
      <c r="N426" s="59" t="n"/>
      <c r="O426" s="58">
        <f>IF(L426="","",IF(M426="",L426,L426*(1-M426)))</f>
        <v/>
      </c>
      <c r="P426" s="55" t="n"/>
      <c r="Q426" s="55" t="n"/>
    </row>
    <row r="427" ht="15.75" customHeight="1" s="99">
      <c r="A427" s="41" t="n">
        <v>427</v>
      </c>
      <c r="B427" s="45" t="n"/>
      <c r="C427" s="46">
        <f>IF(B427="","",TEXT(B427,"MMM-YYYY"))</f>
        <v/>
      </c>
      <c r="D427" s="47" t="n"/>
      <c r="E427" s="47" t="n"/>
      <c r="F427" s="47" t="n"/>
      <c r="G427" s="47" t="n"/>
      <c r="H427" s="47" t="n"/>
      <c r="I427" s="48" t="n"/>
      <c r="J427" s="47" t="n"/>
      <c r="K427" s="49" t="n"/>
      <c r="L427" s="50">
        <f>IF(OR(I427="",K427=""),"",I427*K427)</f>
        <v/>
      </c>
      <c r="M427" s="51" t="n"/>
      <c r="N427" s="51" t="n"/>
      <c r="O427" s="50">
        <f>IF(L427="","",IF(M427="",L427,L427*(1-M427)))</f>
        <v/>
      </c>
      <c r="P427" s="47" t="n"/>
      <c r="Q427" s="47" t="n"/>
    </row>
    <row r="428" ht="15.75" customHeight="1" s="99">
      <c r="A428" s="43" t="n">
        <v>428</v>
      </c>
      <c r="B428" s="53" t="n"/>
      <c r="C428" s="54">
        <f>IF(B428="","",TEXT(B428,"MMM-YYYY"))</f>
        <v/>
      </c>
      <c r="D428" s="55" t="n"/>
      <c r="E428" s="55" t="n"/>
      <c r="F428" s="55" t="n"/>
      <c r="G428" s="55" t="n"/>
      <c r="H428" s="55" t="n"/>
      <c r="I428" s="56" t="n"/>
      <c r="J428" s="55" t="n"/>
      <c r="K428" s="57" t="n"/>
      <c r="L428" s="58">
        <f>IF(OR(I428="",K428=""),"",I428*K428)</f>
        <v/>
      </c>
      <c r="M428" s="59" t="n"/>
      <c r="N428" s="59" t="n"/>
      <c r="O428" s="58">
        <f>IF(L428="","",IF(M428="",L428,L428*(1-M428)))</f>
        <v/>
      </c>
      <c r="P428" s="55" t="n"/>
      <c r="Q428" s="55" t="n"/>
    </row>
    <row r="429" ht="15.75" customHeight="1" s="99">
      <c r="A429" s="41" t="n">
        <v>429</v>
      </c>
      <c r="B429" s="45" t="n"/>
      <c r="C429" s="46">
        <f>IF(B429="","",TEXT(B429,"MMM-YYYY"))</f>
        <v/>
      </c>
      <c r="D429" s="47" t="n"/>
      <c r="E429" s="47" t="n"/>
      <c r="F429" s="47" t="n"/>
      <c r="G429" s="47" t="n"/>
      <c r="H429" s="47" t="n"/>
      <c r="I429" s="48" t="n"/>
      <c r="J429" s="47" t="n"/>
      <c r="K429" s="49" t="n"/>
      <c r="L429" s="50">
        <f>IF(OR(I429="",K429=""),"",I429*K429)</f>
        <v/>
      </c>
      <c r="M429" s="51" t="n"/>
      <c r="N429" s="51" t="n"/>
      <c r="O429" s="50">
        <f>IF(L429="","",IF(M429="",L429,L429*(1-M429)))</f>
        <v/>
      </c>
      <c r="P429" s="47" t="n"/>
      <c r="Q429" s="47" t="n"/>
    </row>
    <row r="430" ht="15.75" customHeight="1" s="99">
      <c r="A430" s="43" t="n">
        <v>430</v>
      </c>
      <c r="B430" s="53" t="n"/>
      <c r="C430" s="54">
        <f>IF(B430="","",TEXT(B430,"MMM-YYYY"))</f>
        <v/>
      </c>
      <c r="D430" s="55" t="n"/>
      <c r="E430" s="55" t="n"/>
      <c r="F430" s="55" t="n"/>
      <c r="G430" s="55" t="n"/>
      <c r="H430" s="55" t="n"/>
      <c r="I430" s="56" t="n"/>
      <c r="J430" s="55" t="n"/>
      <c r="K430" s="57" t="n"/>
      <c r="L430" s="58">
        <f>IF(OR(I430="",K430=""),"",I430*K430)</f>
        <v/>
      </c>
      <c r="M430" s="59" t="n"/>
      <c r="N430" s="59" t="n"/>
      <c r="O430" s="58">
        <f>IF(L430="","",IF(M430="",L430,L430*(1-M430)))</f>
        <v/>
      </c>
      <c r="P430" s="55" t="n"/>
      <c r="Q430" s="55" t="n"/>
    </row>
    <row r="431" ht="15.75" customHeight="1" s="99">
      <c r="A431" s="41" t="n">
        <v>431</v>
      </c>
      <c r="B431" s="45" t="n"/>
      <c r="C431" s="46">
        <f>IF(B431="","",TEXT(B431,"MMM-YYYY"))</f>
        <v/>
      </c>
      <c r="D431" s="47" t="n"/>
      <c r="E431" s="47" t="n"/>
      <c r="F431" s="47" t="n"/>
      <c r="G431" s="47" t="n"/>
      <c r="H431" s="47" t="n"/>
      <c r="I431" s="48" t="n"/>
      <c r="J431" s="47" t="n"/>
      <c r="K431" s="49" t="n"/>
      <c r="L431" s="50">
        <f>IF(OR(I431="",K431=""),"",I431*K431)</f>
        <v/>
      </c>
      <c r="M431" s="51" t="n"/>
      <c r="N431" s="51" t="n"/>
      <c r="O431" s="50">
        <f>IF(L431="","",IF(M431="",L431,L431*(1-M431)))</f>
        <v/>
      </c>
      <c r="P431" s="47" t="n"/>
      <c r="Q431" s="47" t="n"/>
    </row>
    <row r="432" ht="15.75" customHeight="1" s="99">
      <c r="A432" s="43" t="n">
        <v>432</v>
      </c>
      <c r="B432" s="53" t="n"/>
      <c r="C432" s="54">
        <f>IF(B432="","",TEXT(B432,"MMM-YYYY"))</f>
        <v/>
      </c>
      <c r="D432" s="55" t="n"/>
      <c r="E432" s="55" t="n"/>
      <c r="F432" s="55" t="n"/>
      <c r="G432" s="55" t="n"/>
      <c r="H432" s="55" t="n"/>
      <c r="I432" s="56" t="n"/>
      <c r="J432" s="55" t="n"/>
      <c r="K432" s="57" t="n"/>
      <c r="L432" s="58">
        <f>IF(OR(I432="",K432=""),"",I432*K432)</f>
        <v/>
      </c>
      <c r="M432" s="59" t="n"/>
      <c r="N432" s="59" t="n"/>
      <c r="O432" s="58">
        <f>IF(L432="","",IF(M432="",L432,L432*(1-M432)))</f>
        <v/>
      </c>
      <c r="P432" s="55" t="n"/>
      <c r="Q432" s="55" t="n"/>
    </row>
    <row r="433" ht="15.75" customHeight="1" s="99">
      <c r="A433" s="41" t="n">
        <v>433</v>
      </c>
      <c r="B433" s="45" t="n"/>
      <c r="C433" s="46">
        <f>IF(B433="","",TEXT(B433,"MMM-YYYY"))</f>
        <v/>
      </c>
      <c r="D433" s="47" t="n"/>
      <c r="E433" s="47" t="n"/>
      <c r="F433" s="47" t="n"/>
      <c r="G433" s="47" t="n"/>
      <c r="H433" s="47" t="n"/>
      <c r="I433" s="48" t="n"/>
      <c r="J433" s="47" t="n"/>
      <c r="K433" s="49" t="n"/>
      <c r="L433" s="50">
        <f>IF(OR(I433="",K433=""),"",I433*K433)</f>
        <v/>
      </c>
      <c r="M433" s="51" t="n"/>
      <c r="N433" s="51" t="n"/>
      <c r="O433" s="50">
        <f>IF(L433="","",IF(M433="",L433,L433*(1-M433)))</f>
        <v/>
      </c>
      <c r="P433" s="47" t="n"/>
      <c r="Q433" s="47" t="n"/>
    </row>
    <row r="434" ht="15.75" customHeight="1" s="99">
      <c r="A434" s="43" t="n">
        <v>434</v>
      </c>
      <c r="B434" s="53" t="n"/>
      <c r="C434" s="54">
        <f>IF(B434="","",TEXT(B434,"MMM-YYYY"))</f>
        <v/>
      </c>
      <c r="D434" s="55" t="n"/>
      <c r="E434" s="55" t="n"/>
      <c r="F434" s="55" t="n"/>
      <c r="G434" s="55" t="n"/>
      <c r="H434" s="55" t="n"/>
      <c r="I434" s="56" t="n"/>
      <c r="J434" s="55" t="n"/>
      <c r="K434" s="57" t="n"/>
      <c r="L434" s="58">
        <f>IF(OR(I434="",K434=""),"",I434*K434)</f>
        <v/>
      </c>
      <c r="M434" s="59" t="n"/>
      <c r="N434" s="59" t="n"/>
      <c r="O434" s="58">
        <f>IF(L434="","",IF(M434="",L434,L434*(1-M434)))</f>
        <v/>
      </c>
      <c r="P434" s="55" t="n"/>
      <c r="Q434" s="55" t="n"/>
    </row>
    <row r="435" ht="15.75" customHeight="1" s="99">
      <c r="A435" s="41" t="n">
        <v>435</v>
      </c>
      <c r="B435" s="45" t="n"/>
      <c r="C435" s="46">
        <f>IF(B435="","",TEXT(B435,"MMM-YYYY"))</f>
        <v/>
      </c>
      <c r="D435" s="47" t="n"/>
      <c r="E435" s="47" t="n"/>
      <c r="F435" s="47" t="n"/>
      <c r="G435" s="47" t="n"/>
      <c r="H435" s="47" t="n"/>
      <c r="I435" s="48" t="n"/>
      <c r="J435" s="47" t="n"/>
      <c r="K435" s="49" t="n"/>
      <c r="L435" s="50">
        <f>IF(OR(I435="",K435=""),"",I435*K435)</f>
        <v/>
      </c>
      <c r="M435" s="51" t="n"/>
      <c r="N435" s="51" t="n"/>
      <c r="O435" s="50">
        <f>IF(L435="","",IF(M435="",L435,L435*(1-M435)))</f>
        <v/>
      </c>
      <c r="P435" s="47" t="n"/>
      <c r="Q435" s="47" t="n"/>
    </row>
    <row r="436" ht="15.75" customHeight="1" s="99">
      <c r="A436" s="43" t="n">
        <v>436</v>
      </c>
      <c r="B436" s="53" t="n"/>
      <c r="C436" s="54">
        <f>IF(B436="","",TEXT(B436,"MMM-YYYY"))</f>
        <v/>
      </c>
      <c r="D436" s="55" t="n"/>
      <c r="E436" s="55" t="n"/>
      <c r="F436" s="55" t="n"/>
      <c r="G436" s="55" t="n"/>
      <c r="H436" s="55" t="n"/>
      <c r="I436" s="56" t="n"/>
      <c r="J436" s="55" t="n"/>
      <c r="K436" s="57" t="n"/>
      <c r="L436" s="58">
        <f>IF(OR(I436="",K436=""),"",I436*K436)</f>
        <v/>
      </c>
      <c r="M436" s="59" t="n"/>
      <c r="N436" s="59" t="n"/>
      <c r="O436" s="58">
        <f>IF(L436="","",IF(M436="",L436,L436*(1-M436)))</f>
        <v/>
      </c>
      <c r="P436" s="55" t="n"/>
      <c r="Q436" s="55" t="n"/>
    </row>
    <row r="437" ht="15.75" customHeight="1" s="99">
      <c r="A437" s="41" t="n">
        <v>437</v>
      </c>
      <c r="B437" s="45" t="n"/>
      <c r="C437" s="46">
        <f>IF(B437="","",TEXT(B437,"MMM-YYYY"))</f>
        <v/>
      </c>
      <c r="D437" s="47" t="n"/>
      <c r="E437" s="47" t="n"/>
      <c r="F437" s="47" t="n"/>
      <c r="G437" s="47" t="n"/>
      <c r="H437" s="47" t="n"/>
      <c r="I437" s="48" t="n"/>
      <c r="J437" s="47" t="n"/>
      <c r="K437" s="49" t="n"/>
      <c r="L437" s="50">
        <f>IF(OR(I437="",K437=""),"",I437*K437)</f>
        <v/>
      </c>
      <c r="M437" s="51" t="n"/>
      <c r="N437" s="51" t="n"/>
      <c r="O437" s="50">
        <f>IF(L437="","",IF(M437="",L437,L437*(1-M437)))</f>
        <v/>
      </c>
      <c r="P437" s="47" t="n"/>
      <c r="Q437" s="47" t="n"/>
    </row>
    <row r="438" ht="15.75" customHeight="1" s="99">
      <c r="A438" s="43" t="n">
        <v>438</v>
      </c>
      <c r="B438" s="53" t="n"/>
      <c r="C438" s="54">
        <f>IF(B438="","",TEXT(B438,"MMM-YYYY"))</f>
        <v/>
      </c>
      <c r="D438" s="55" t="n"/>
      <c r="E438" s="55" t="n"/>
      <c r="F438" s="55" t="n"/>
      <c r="G438" s="55" t="n"/>
      <c r="H438" s="55" t="n"/>
      <c r="I438" s="56" t="n"/>
      <c r="J438" s="55" t="n"/>
      <c r="K438" s="57" t="n"/>
      <c r="L438" s="58">
        <f>IF(OR(I438="",K438=""),"",I438*K438)</f>
        <v/>
      </c>
      <c r="M438" s="59" t="n"/>
      <c r="N438" s="59" t="n"/>
      <c r="O438" s="58">
        <f>IF(L438="","",IF(M438="",L438,L438*(1-M438)))</f>
        <v/>
      </c>
      <c r="P438" s="55" t="n"/>
      <c r="Q438" s="55" t="n"/>
    </row>
    <row r="439" ht="15.75" customHeight="1" s="99">
      <c r="A439" s="41" t="n">
        <v>439</v>
      </c>
      <c r="B439" s="45" t="n"/>
      <c r="C439" s="46">
        <f>IF(B439="","",TEXT(B439,"MMM-YYYY"))</f>
        <v/>
      </c>
      <c r="D439" s="47" t="n"/>
      <c r="E439" s="47" t="n"/>
      <c r="F439" s="47" t="n"/>
      <c r="G439" s="47" t="n"/>
      <c r="H439" s="47" t="n"/>
      <c r="I439" s="48" t="n"/>
      <c r="J439" s="47" t="n"/>
      <c r="K439" s="49" t="n"/>
      <c r="L439" s="50">
        <f>IF(OR(I439="",K439=""),"",I439*K439)</f>
        <v/>
      </c>
      <c r="M439" s="51" t="n"/>
      <c r="N439" s="51" t="n"/>
      <c r="O439" s="50">
        <f>IF(L439="","",IF(M439="",L439,L439*(1-M439)))</f>
        <v/>
      </c>
      <c r="P439" s="47" t="n"/>
      <c r="Q439" s="47" t="n"/>
    </row>
    <row r="440" ht="15.75" customHeight="1" s="99">
      <c r="A440" s="43" t="n">
        <v>440</v>
      </c>
      <c r="B440" s="53" t="n"/>
      <c r="C440" s="54">
        <f>IF(B440="","",TEXT(B440,"MMM-YYYY"))</f>
        <v/>
      </c>
      <c r="D440" s="55" t="n"/>
      <c r="E440" s="55" t="n"/>
      <c r="F440" s="55" t="n"/>
      <c r="G440" s="55" t="n"/>
      <c r="H440" s="55" t="n"/>
      <c r="I440" s="56" t="n"/>
      <c r="J440" s="55" t="n"/>
      <c r="K440" s="57" t="n"/>
      <c r="L440" s="58">
        <f>IF(OR(I440="",K440=""),"",I440*K440)</f>
        <v/>
      </c>
      <c r="M440" s="59" t="n"/>
      <c r="N440" s="59" t="n"/>
      <c r="O440" s="58">
        <f>IF(L440="","",IF(M440="",L440,L440*(1-M440)))</f>
        <v/>
      </c>
      <c r="P440" s="55" t="n"/>
      <c r="Q440" s="55" t="n"/>
    </row>
    <row r="441" ht="15.75" customHeight="1" s="99">
      <c r="A441" s="41" t="n">
        <v>441</v>
      </c>
      <c r="B441" s="45" t="n"/>
      <c r="C441" s="46">
        <f>IF(B441="","",TEXT(B441,"MMM-YYYY"))</f>
        <v/>
      </c>
      <c r="D441" s="47" t="n"/>
      <c r="E441" s="47" t="n"/>
      <c r="F441" s="47" t="n"/>
      <c r="G441" s="47" t="n"/>
      <c r="H441" s="47" t="n"/>
      <c r="I441" s="48" t="n"/>
      <c r="J441" s="47" t="n"/>
      <c r="K441" s="49" t="n"/>
      <c r="L441" s="50">
        <f>IF(OR(I441="",K441=""),"",I441*K441)</f>
        <v/>
      </c>
      <c r="M441" s="51" t="n"/>
      <c r="N441" s="51" t="n"/>
      <c r="O441" s="50">
        <f>IF(L441="","",IF(M441="",L441,L441*(1-M441)))</f>
        <v/>
      </c>
      <c r="P441" s="47" t="n"/>
      <c r="Q441" s="47" t="n"/>
    </row>
    <row r="442" ht="15.75" customHeight="1" s="99">
      <c r="A442" s="43" t="n">
        <v>442</v>
      </c>
      <c r="B442" s="53" t="n"/>
      <c r="C442" s="54">
        <f>IF(B442="","",TEXT(B442,"MMM-YYYY"))</f>
        <v/>
      </c>
      <c r="D442" s="55" t="n"/>
      <c r="E442" s="55" t="n"/>
      <c r="F442" s="55" t="n"/>
      <c r="G442" s="55" t="n"/>
      <c r="H442" s="55" t="n"/>
      <c r="I442" s="56" t="n"/>
      <c r="J442" s="55" t="n"/>
      <c r="K442" s="57" t="n"/>
      <c r="L442" s="58">
        <f>IF(OR(I442="",K442=""),"",I442*K442)</f>
        <v/>
      </c>
      <c r="M442" s="59" t="n"/>
      <c r="N442" s="59" t="n"/>
      <c r="O442" s="58">
        <f>IF(L442="","",IF(M442="",L442,L442*(1-M442)))</f>
        <v/>
      </c>
      <c r="P442" s="55" t="n"/>
      <c r="Q442" s="55" t="n"/>
    </row>
    <row r="443" ht="15.75" customHeight="1" s="99">
      <c r="A443" s="41" t="n">
        <v>443</v>
      </c>
      <c r="B443" s="45" t="n"/>
      <c r="C443" s="46">
        <f>IF(B443="","",TEXT(B443,"MMM-YYYY"))</f>
        <v/>
      </c>
      <c r="D443" s="47" t="n"/>
      <c r="E443" s="47" t="n"/>
      <c r="F443" s="47" t="n"/>
      <c r="G443" s="47" t="n"/>
      <c r="H443" s="47" t="n"/>
      <c r="I443" s="48" t="n"/>
      <c r="J443" s="47" t="n"/>
      <c r="K443" s="49" t="n"/>
      <c r="L443" s="50">
        <f>IF(OR(I443="",K443=""),"",I443*K443)</f>
        <v/>
      </c>
      <c r="M443" s="51" t="n"/>
      <c r="N443" s="51" t="n"/>
      <c r="O443" s="50">
        <f>IF(L443="","",IF(M443="",L443,L443*(1-M443)))</f>
        <v/>
      </c>
      <c r="P443" s="47" t="n"/>
      <c r="Q443" s="47" t="n"/>
    </row>
    <row r="444" ht="15.75" customHeight="1" s="99">
      <c r="A444" s="43" t="n">
        <v>444</v>
      </c>
      <c r="B444" s="53" t="n"/>
      <c r="C444" s="54">
        <f>IF(B444="","",TEXT(B444,"MMM-YYYY"))</f>
        <v/>
      </c>
      <c r="D444" s="55" t="n"/>
      <c r="E444" s="55" t="n"/>
      <c r="F444" s="55" t="n"/>
      <c r="G444" s="55" t="n"/>
      <c r="H444" s="55" t="n"/>
      <c r="I444" s="56" t="n"/>
      <c r="J444" s="55" t="n"/>
      <c r="K444" s="57" t="n"/>
      <c r="L444" s="58">
        <f>IF(OR(I444="",K444=""),"",I444*K444)</f>
        <v/>
      </c>
      <c r="M444" s="59" t="n"/>
      <c r="N444" s="59" t="n"/>
      <c r="O444" s="58">
        <f>IF(L444="","",IF(M444="",L444,L444*(1-M444)))</f>
        <v/>
      </c>
      <c r="P444" s="55" t="n"/>
      <c r="Q444" s="55" t="n"/>
    </row>
    <row r="445" ht="15.75" customHeight="1" s="99">
      <c r="A445" s="41" t="n">
        <v>445</v>
      </c>
      <c r="B445" s="45" t="n"/>
      <c r="C445" s="46">
        <f>IF(B445="","",TEXT(B445,"MMM-YYYY"))</f>
        <v/>
      </c>
      <c r="D445" s="47" t="n"/>
      <c r="E445" s="47" t="n"/>
      <c r="F445" s="47" t="n"/>
      <c r="G445" s="47" t="n"/>
      <c r="H445" s="47" t="n"/>
      <c r="I445" s="48" t="n"/>
      <c r="J445" s="47" t="n"/>
      <c r="K445" s="49" t="n"/>
      <c r="L445" s="50">
        <f>IF(OR(I445="",K445=""),"",I445*K445)</f>
        <v/>
      </c>
      <c r="M445" s="51" t="n"/>
      <c r="N445" s="51" t="n"/>
      <c r="O445" s="50">
        <f>IF(L445="","",IF(M445="",L445,L445*(1-M445)))</f>
        <v/>
      </c>
      <c r="P445" s="47" t="n"/>
      <c r="Q445" s="47" t="n"/>
    </row>
    <row r="446" ht="15.75" customHeight="1" s="99">
      <c r="A446" s="43" t="n">
        <v>446</v>
      </c>
      <c r="B446" s="53" t="n"/>
      <c r="C446" s="54">
        <f>IF(B446="","",TEXT(B446,"MMM-YYYY"))</f>
        <v/>
      </c>
      <c r="D446" s="55" t="n"/>
      <c r="E446" s="55" t="n"/>
      <c r="F446" s="55" t="n"/>
      <c r="G446" s="55" t="n"/>
      <c r="H446" s="55" t="n"/>
      <c r="I446" s="56" t="n"/>
      <c r="J446" s="55" t="n"/>
      <c r="K446" s="57" t="n"/>
      <c r="L446" s="58">
        <f>IF(OR(I446="",K446=""),"",I446*K446)</f>
        <v/>
      </c>
      <c r="M446" s="59" t="n"/>
      <c r="N446" s="59" t="n"/>
      <c r="O446" s="58">
        <f>IF(L446="","",IF(M446="",L446,L446*(1-M446)))</f>
        <v/>
      </c>
      <c r="P446" s="55" t="n"/>
      <c r="Q446" s="55" t="n"/>
    </row>
    <row r="447" ht="15.75" customHeight="1" s="99">
      <c r="A447" s="41" t="n">
        <v>447</v>
      </c>
      <c r="B447" s="45" t="n"/>
      <c r="C447" s="46">
        <f>IF(B447="","",TEXT(B447,"MMM-YYYY"))</f>
        <v/>
      </c>
      <c r="D447" s="47" t="n"/>
      <c r="E447" s="47" t="n"/>
      <c r="F447" s="47" t="n"/>
      <c r="G447" s="47" t="n"/>
      <c r="H447" s="47" t="n"/>
      <c r="I447" s="48" t="n"/>
      <c r="J447" s="47" t="n"/>
      <c r="K447" s="49" t="n"/>
      <c r="L447" s="50">
        <f>IF(OR(I447="",K447=""),"",I447*K447)</f>
        <v/>
      </c>
      <c r="M447" s="51" t="n"/>
      <c r="N447" s="51" t="n"/>
      <c r="O447" s="50">
        <f>IF(L447="","",IF(M447="",L447,L447*(1-M447)))</f>
        <v/>
      </c>
      <c r="P447" s="47" t="n"/>
      <c r="Q447" s="47" t="n"/>
    </row>
    <row r="448" ht="15.75" customHeight="1" s="99">
      <c r="A448" s="43" t="n">
        <v>448</v>
      </c>
      <c r="B448" s="53" t="n"/>
      <c r="C448" s="54">
        <f>IF(B448="","",TEXT(B448,"MMM-YYYY"))</f>
        <v/>
      </c>
      <c r="D448" s="55" t="n"/>
      <c r="E448" s="55" t="n"/>
      <c r="F448" s="55" t="n"/>
      <c r="G448" s="55" t="n"/>
      <c r="H448" s="55" t="n"/>
      <c r="I448" s="56" t="n"/>
      <c r="J448" s="55" t="n"/>
      <c r="K448" s="57" t="n"/>
      <c r="L448" s="58">
        <f>IF(OR(I448="",K448=""),"",I448*K448)</f>
        <v/>
      </c>
      <c r="M448" s="59" t="n"/>
      <c r="N448" s="59" t="n"/>
      <c r="O448" s="58">
        <f>IF(L448="","",IF(M448="",L448,L448*(1-M448)))</f>
        <v/>
      </c>
      <c r="P448" s="55" t="n"/>
      <c r="Q448" s="55" t="n"/>
    </row>
    <row r="449" ht="15.75" customHeight="1" s="99">
      <c r="A449" s="41" t="n">
        <v>449</v>
      </c>
      <c r="B449" s="45" t="n"/>
      <c r="C449" s="46">
        <f>IF(B449="","",TEXT(B449,"MMM-YYYY"))</f>
        <v/>
      </c>
      <c r="D449" s="47" t="n"/>
      <c r="E449" s="47" t="n"/>
      <c r="F449" s="47" t="n"/>
      <c r="G449" s="47" t="n"/>
      <c r="H449" s="47" t="n"/>
      <c r="I449" s="48" t="n"/>
      <c r="J449" s="47" t="n"/>
      <c r="K449" s="49" t="n"/>
      <c r="L449" s="50">
        <f>IF(OR(I449="",K449=""),"",I449*K449)</f>
        <v/>
      </c>
      <c r="M449" s="51" t="n"/>
      <c r="N449" s="51" t="n"/>
      <c r="O449" s="50">
        <f>IF(L449="","",IF(M449="",L449,L449*(1-M449)))</f>
        <v/>
      </c>
      <c r="P449" s="47" t="n"/>
      <c r="Q449" s="47" t="n"/>
    </row>
    <row r="450" ht="15.75" customHeight="1" s="99">
      <c r="A450" s="43" t="n">
        <v>450</v>
      </c>
      <c r="B450" s="53" t="n"/>
      <c r="C450" s="54">
        <f>IF(B450="","",TEXT(B450,"MMM-YYYY"))</f>
        <v/>
      </c>
      <c r="D450" s="55" t="n"/>
      <c r="E450" s="55" t="n"/>
      <c r="F450" s="55" t="n"/>
      <c r="G450" s="55" t="n"/>
      <c r="H450" s="55" t="n"/>
      <c r="I450" s="56" t="n"/>
      <c r="J450" s="55" t="n"/>
      <c r="K450" s="57" t="n"/>
      <c r="L450" s="58">
        <f>IF(OR(I450="",K450=""),"",I450*K450)</f>
        <v/>
      </c>
      <c r="M450" s="59" t="n"/>
      <c r="N450" s="59" t="n"/>
      <c r="O450" s="58">
        <f>IF(L450="","",IF(M450="",L450,L450*(1-M450)))</f>
        <v/>
      </c>
      <c r="P450" s="55" t="n"/>
      <c r="Q450" s="55" t="n"/>
    </row>
    <row r="451" ht="15.75" customHeight="1" s="99">
      <c r="A451" s="41" t="n">
        <v>451</v>
      </c>
      <c r="B451" s="45" t="n"/>
      <c r="C451" s="46">
        <f>IF(B451="","",TEXT(B451,"MMM-YYYY"))</f>
        <v/>
      </c>
      <c r="D451" s="47" t="n"/>
      <c r="E451" s="47" t="n"/>
      <c r="F451" s="47" t="n"/>
      <c r="G451" s="47" t="n"/>
      <c r="H451" s="47" t="n"/>
      <c r="I451" s="48" t="n"/>
      <c r="J451" s="47" t="n"/>
      <c r="K451" s="49" t="n"/>
      <c r="L451" s="50">
        <f>IF(OR(I451="",K451=""),"",I451*K451)</f>
        <v/>
      </c>
      <c r="M451" s="51" t="n"/>
      <c r="N451" s="51" t="n"/>
      <c r="O451" s="50">
        <f>IF(L451="","",IF(M451="",L451,L451*(1-M451)))</f>
        <v/>
      </c>
      <c r="P451" s="47" t="n"/>
      <c r="Q451" s="47" t="n"/>
    </row>
    <row r="452" ht="15.75" customHeight="1" s="99">
      <c r="A452" s="43" t="n">
        <v>452</v>
      </c>
      <c r="B452" s="53" t="n"/>
      <c r="C452" s="54">
        <f>IF(B452="","",TEXT(B452,"MMM-YYYY"))</f>
        <v/>
      </c>
      <c r="D452" s="55" t="n"/>
      <c r="E452" s="55" t="n"/>
      <c r="F452" s="55" t="n"/>
      <c r="G452" s="55" t="n"/>
      <c r="H452" s="55" t="n"/>
      <c r="I452" s="56" t="n"/>
      <c r="J452" s="55" t="n"/>
      <c r="K452" s="57" t="n"/>
      <c r="L452" s="58">
        <f>IF(OR(I452="",K452=""),"",I452*K452)</f>
        <v/>
      </c>
      <c r="M452" s="59" t="n"/>
      <c r="N452" s="59" t="n"/>
      <c r="O452" s="58">
        <f>IF(L452="","",IF(M452="",L452,L452*(1-M452)))</f>
        <v/>
      </c>
      <c r="P452" s="55" t="n"/>
      <c r="Q452" s="55" t="n"/>
    </row>
    <row r="453" ht="15.75" customHeight="1" s="99">
      <c r="A453" s="41" t="n">
        <v>453</v>
      </c>
      <c r="B453" s="45" t="n"/>
      <c r="C453" s="46">
        <f>IF(B453="","",TEXT(B453,"MMM-YYYY"))</f>
        <v/>
      </c>
      <c r="D453" s="47" t="n"/>
      <c r="E453" s="47" t="n"/>
      <c r="F453" s="47" t="n"/>
      <c r="G453" s="47" t="n"/>
      <c r="H453" s="47" t="n"/>
      <c r="I453" s="48" t="n"/>
      <c r="J453" s="47" t="n"/>
      <c r="K453" s="49" t="n"/>
      <c r="L453" s="50">
        <f>IF(OR(I453="",K453=""),"",I453*K453)</f>
        <v/>
      </c>
      <c r="M453" s="51" t="n"/>
      <c r="N453" s="51" t="n"/>
      <c r="O453" s="50">
        <f>IF(L453="","",IF(M453="",L453,L453*(1-M453)))</f>
        <v/>
      </c>
      <c r="P453" s="47" t="n"/>
      <c r="Q453" s="47" t="n"/>
    </row>
    <row r="454" ht="15.75" customHeight="1" s="99">
      <c r="A454" s="43" t="n">
        <v>454</v>
      </c>
      <c r="B454" s="53" t="n"/>
      <c r="C454" s="54">
        <f>IF(B454="","",TEXT(B454,"MMM-YYYY"))</f>
        <v/>
      </c>
      <c r="D454" s="55" t="n"/>
      <c r="E454" s="55" t="n"/>
      <c r="F454" s="55" t="n"/>
      <c r="G454" s="55" t="n"/>
      <c r="H454" s="55" t="n"/>
      <c r="I454" s="56" t="n"/>
      <c r="J454" s="55" t="n"/>
      <c r="K454" s="57" t="n"/>
      <c r="L454" s="58">
        <f>IF(OR(I454="",K454=""),"",I454*K454)</f>
        <v/>
      </c>
      <c r="M454" s="59" t="n"/>
      <c r="N454" s="59" t="n"/>
      <c r="O454" s="58">
        <f>IF(L454="","",IF(M454="",L454,L454*(1-M454)))</f>
        <v/>
      </c>
      <c r="P454" s="55" t="n"/>
      <c r="Q454" s="55" t="n"/>
    </row>
    <row r="455" ht="15.75" customHeight="1" s="99">
      <c r="A455" s="41" t="n">
        <v>455</v>
      </c>
      <c r="B455" s="45" t="n"/>
      <c r="C455" s="46">
        <f>IF(B455="","",TEXT(B455,"MMM-YYYY"))</f>
        <v/>
      </c>
      <c r="D455" s="47" t="n"/>
      <c r="E455" s="47" t="n"/>
      <c r="F455" s="47" t="n"/>
      <c r="G455" s="47" t="n"/>
      <c r="H455" s="47" t="n"/>
      <c r="I455" s="48" t="n"/>
      <c r="J455" s="47" t="n"/>
      <c r="K455" s="49" t="n"/>
      <c r="L455" s="50">
        <f>IF(OR(I455="",K455=""),"",I455*K455)</f>
        <v/>
      </c>
      <c r="M455" s="51" t="n"/>
      <c r="N455" s="51" t="n"/>
      <c r="O455" s="50">
        <f>IF(L455="","",IF(M455="",L455,L455*(1-M455)))</f>
        <v/>
      </c>
      <c r="P455" s="47" t="n"/>
      <c r="Q455" s="47" t="n"/>
    </row>
    <row r="456" ht="15.75" customHeight="1" s="99">
      <c r="A456" s="43" t="n">
        <v>456</v>
      </c>
      <c r="B456" s="53" t="n"/>
      <c r="C456" s="54">
        <f>IF(B456="","",TEXT(B456,"MMM-YYYY"))</f>
        <v/>
      </c>
      <c r="D456" s="55" t="n"/>
      <c r="E456" s="55" t="n"/>
      <c r="F456" s="55" t="n"/>
      <c r="G456" s="55" t="n"/>
      <c r="H456" s="55" t="n"/>
      <c r="I456" s="56" t="n"/>
      <c r="J456" s="55" t="n"/>
      <c r="K456" s="57" t="n"/>
      <c r="L456" s="58">
        <f>IF(OR(I456="",K456=""),"",I456*K456)</f>
        <v/>
      </c>
      <c r="M456" s="59" t="n"/>
      <c r="N456" s="59" t="n"/>
      <c r="O456" s="58">
        <f>IF(L456="","",IF(M456="",L456,L456*(1-M456)))</f>
        <v/>
      </c>
      <c r="P456" s="55" t="n"/>
      <c r="Q456" s="55" t="n"/>
    </row>
    <row r="457" ht="15.75" customHeight="1" s="99">
      <c r="A457" s="41" t="n">
        <v>457</v>
      </c>
      <c r="B457" s="45" t="n"/>
      <c r="C457" s="46">
        <f>IF(B457="","",TEXT(B457,"MMM-YYYY"))</f>
        <v/>
      </c>
      <c r="D457" s="47" t="n"/>
      <c r="E457" s="47" t="n"/>
      <c r="F457" s="47" t="n"/>
      <c r="G457" s="47" t="n"/>
      <c r="H457" s="47" t="n"/>
      <c r="I457" s="48" t="n"/>
      <c r="J457" s="47" t="n"/>
      <c r="K457" s="49" t="n"/>
      <c r="L457" s="50">
        <f>IF(OR(I457="",K457=""),"",I457*K457)</f>
        <v/>
      </c>
      <c r="M457" s="51" t="n"/>
      <c r="N457" s="51" t="n"/>
      <c r="O457" s="50">
        <f>IF(L457="","",IF(M457="",L457,L457*(1-M457)))</f>
        <v/>
      </c>
      <c r="P457" s="47" t="n"/>
      <c r="Q457" s="47" t="n"/>
    </row>
    <row r="458" ht="15.75" customHeight="1" s="99">
      <c r="A458" s="43" t="n">
        <v>458</v>
      </c>
      <c r="B458" s="53" t="n"/>
      <c r="C458" s="54">
        <f>IF(B458="","",TEXT(B458,"MMM-YYYY"))</f>
        <v/>
      </c>
      <c r="D458" s="55" t="n"/>
      <c r="E458" s="55" t="n"/>
      <c r="F458" s="55" t="n"/>
      <c r="G458" s="55" t="n"/>
      <c r="H458" s="55" t="n"/>
      <c r="I458" s="56" t="n"/>
      <c r="J458" s="55" t="n"/>
      <c r="K458" s="57" t="n"/>
      <c r="L458" s="58">
        <f>IF(OR(I458="",K458=""),"",I458*K458)</f>
        <v/>
      </c>
      <c r="M458" s="59" t="n"/>
      <c r="N458" s="59" t="n"/>
      <c r="O458" s="58">
        <f>IF(L458="","",IF(M458="",L458,L458*(1-M458)))</f>
        <v/>
      </c>
      <c r="P458" s="55" t="n"/>
      <c r="Q458" s="55" t="n"/>
    </row>
    <row r="459" ht="15.75" customHeight="1" s="99">
      <c r="A459" s="41" t="n">
        <v>459</v>
      </c>
      <c r="B459" s="45" t="n"/>
      <c r="C459" s="46">
        <f>IF(B459="","",TEXT(B459,"MMM-YYYY"))</f>
        <v/>
      </c>
      <c r="D459" s="47" t="n"/>
      <c r="E459" s="47" t="n"/>
      <c r="F459" s="47" t="n"/>
      <c r="G459" s="47" t="n"/>
      <c r="H459" s="47" t="n"/>
      <c r="I459" s="48" t="n"/>
      <c r="J459" s="47" t="n"/>
      <c r="K459" s="49" t="n"/>
      <c r="L459" s="50">
        <f>IF(OR(I459="",K459=""),"",I459*K459)</f>
        <v/>
      </c>
      <c r="M459" s="51" t="n"/>
      <c r="N459" s="51" t="n"/>
      <c r="O459" s="50">
        <f>IF(L459="","",IF(M459="",L459,L459*(1-M459)))</f>
        <v/>
      </c>
      <c r="P459" s="47" t="n"/>
      <c r="Q459" s="47" t="n"/>
    </row>
    <row r="460" ht="15.75" customHeight="1" s="99">
      <c r="A460" s="43" t="n">
        <v>460</v>
      </c>
      <c r="B460" s="53" t="n"/>
      <c r="C460" s="54">
        <f>IF(B460="","",TEXT(B460,"MMM-YYYY"))</f>
        <v/>
      </c>
      <c r="D460" s="55" t="n"/>
      <c r="E460" s="55" t="n"/>
      <c r="F460" s="55" t="n"/>
      <c r="G460" s="55" t="n"/>
      <c r="H460" s="55" t="n"/>
      <c r="I460" s="56" t="n"/>
      <c r="J460" s="55" t="n"/>
      <c r="K460" s="57" t="n"/>
      <c r="L460" s="58">
        <f>IF(OR(I460="",K460=""),"",I460*K460)</f>
        <v/>
      </c>
      <c r="M460" s="59" t="n"/>
      <c r="N460" s="59" t="n"/>
      <c r="O460" s="58">
        <f>IF(L460="","",IF(M460="",L460,L460*(1-M460)))</f>
        <v/>
      </c>
      <c r="P460" s="55" t="n"/>
      <c r="Q460" s="55" t="n"/>
    </row>
    <row r="461" ht="15.75" customHeight="1" s="99">
      <c r="A461" s="41" t="n">
        <v>461</v>
      </c>
      <c r="B461" s="45" t="n"/>
      <c r="C461" s="46">
        <f>IF(B461="","",TEXT(B461,"MMM-YYYY"))</f>
        <v/>
      </c>
      <c r="D461" s="47" t="n"/>
      <c r="E461" s="47" t="n"/>
      <c r="F461" s="47" t="n"/>
      <c r="G461" s="47" t="n"/>
      <c r="H461" s="47" t="n"/>
      <c r="I461" s="48" t="n"/>
      <c r="J461" s="47" t="n"/>
      <c r="K461" s="49" t="n"/>
      <c r="L461" s="50">
        <f>IF(OR(I461="",K461=""),"",I461*K461)</f>
        <v/>
      </c>
      <c r="M461" s="51" t="n"/>
      <c r="N461" s="51" t="n"/>
      <c r="O461" s="50">
        <f>IF(L461="","",IF(M461="",L461,L461*(1-M461)))</f>
        <v/>
      </c>
      <c r="P461" s="47" t="n"/>
      <c r="Q461" s="47" t="n"/>
    </row>
    <row r="462" ht="15.75" customHeight="1" s="99">
      <c r="A462" s="43" t="n">
        <v>462</v>
      </c>
      <c r="B462" s="53" t="n"/>
      <c r="C462" s="54">
        <f>IF(B462="","",TEXT(B462,"MMM-YYYY"))</f>
        <v/>
      </c>
      <c r="D462" s="55" t="n"/>
      <c r="E462" s="55" t="n"/>
      <c r="F462" s="55" t="n"/>
      <c r="G462" s="55" t="n"/>
      <c r="H462" s="55" t="n"/>
      <c r="I462" s="56" t="n"/>
      <c r="J462" s="55" t="n"/>
      <c r="K462" s="57" t="n"/>
      <c r="L462" s="58">
        <f>IF(OR(I462="",K462=""),"",I462*K462)</f>
        <v/>
      </c>
      <c r="M462" s="59" t="n"/>
      <c r="N462" s="59" t="n"/>
      <c r="O462" s="58">
        <f>IF(L462="","",IF(M462="",L462,L462*(1-M462)))</f>
        <v/>
      </c>
      <c r="P462" s="55" t="n"/>
      <c r="Q462" s="55" t="n"/>
    </row>
    <row r="463" ht="15.75" customHeight="1" s="99">
      <c r="A463" s="41" t="n">
        <v>463</v>
      </c>
      <c r="B463" s="45" t="n"/>
      <c r="C463" s="46">
        <f>IF(B463="","",TEXT(B463,"MMM-YYYY"))</f>
        <v/>
      </c>
      <c r="D463" s="47" t="n"/>
      <c r="E463" s="47" t="n"/>
      <c r="F463" s="47" t="n"/>
      <c r="G463" s="47" t="n"/>
      <c r="H463" s="47" t="n"/>
      <c r="I463" s="48" t="n"/>
      <c r="J463" s="47" t="n"/>
      <c r="K463" s="49" t="n"/>
      <c r="L463" s="50">
        <f>IF(OR(I463="",K463=""),"",I463*K463)</f>
        <v/>
      </c>
      <c r="M463" s="51" t="n"/>
      <c r="N463" s="51" t="n"/>
      <c r="O463" s="50">
        <f>IF(L463="","",IF(M463="",L463,L463*(1-M463)))</f>
        <v/>
      </c>
      <c r="P463" s="47" t="n"/>
      <c r="Q463" s="47" t="n"/>
    </row>
    <row r="464" ht="15.75" customHeight="1" s="99">
      <c r="A464" s="43" t="n">
        <v>464</v>
      </c>
      <c r="B464" s="53" t="n"/>
      <c r="C464" s="54">
        <f>IF(B464="","",TEXT(B464,"MMM-YYYY"))</f>
        <v/>
      </c>
      <c r="D464" s="55" t="n"/>
      <c r="E464" s="55" t="n"/>
      <c r="F464" s="55" t="n"/>
      <c r="G464" s="55" t="n"/>
      <c r="H464" s="55" t="n"/>
      <c r="I464" s="56" t="n"/>
      <c r="J464" s="55" t="n"/>
      <c r="K464" s="57" t="n"/>
      <c r="L464" s="58">
        <f>IF(OR(I464="",K464=""),"",I464*K464)</f>
        <v/>
      </c>
      <c r="M464" s="59" t="n"/>
      <c r="N464" s="59" t="n"/>
      <c r="O464" s="58">
        <f>IF(L464="","",IF(M464="",L464,L464*(1-M464)))</f>
        <v/>
      </c>
      <c r="P464" s="55" t="n"/>
      <c r="Q464" s="55" t="n"/>
    </row>
    <row r="465" ht="15.75" customHeight="1" s="99">
      <c r="A465" s="41" t="n">
        <v>465</v>
      </c>
      <c r="B465" s="45" t="n"/>
      <c r="C465" s="46">
        <f>IF(B465="","",TEXT(B465,"MMM-YYYY"))</f>
        <v/>
      </c>
      <c r="D465" s="47" t="n"/>
      <c r="E465" s="47" t="n"/>
      <c r="F465" s="47" t="n"/>
      <c r="G465" s="47" t="n"/>
      <c r="H465" s="47" t="n"/>
      <c r="I465" s="48" t="n"/>
      <c r="J465" s="47" t="n"/>
      <c r="K465" s="49" t="n"/>
      <c r="L465" s="50">
        <f>IF(OR(I465="",K465=""),"",I465*K465)</f>
        <v/>
      </c>
      <c r="M465" s="51" t="n"/>
      <c r="N465" s="51" t="n"/>
      <c r="O465" s="50">
        <f>IF(L465="","",IF(M465="",L465,L465*(1-M465)))</f>
        <v/>
      </c>
      <c r="P465" s="47" t="n"/>
      <c r="Q465" s="47" t="n"/>
    </row>
    <row r="466" ht="15.75" customHeight="1" s="99">
      <c r="A466" s="43" t="n">
        <v>466</v>
      </c>
      <c r="B466" s="53" t="n"/>
      <c r="C466" s="54">
        <f>IF(B466="","",TEXT(B466,"MMM-YYYY"))</f>
        <v/>
      </c>
      <c r="D466" s="55" t="n"/>
      <c r="E466" s="55" t="n"/>
      <c r="F466" s="55" t="n"/>
      <c r="G466" s="55" t="n"/>
      <c r="H466" s="55" t="n"/>
      <c r="I466" s="56" t="n"/>
      <c r="J466" s="55" t="n"/>
      <c r="K466" s="57" t="n"/>
      <c r="L466" s="58">
        <f>IF(OR(I466="",K466=""),"",I466*K466)</f>
        <v/>
      </c>
      <c r="M466" s="59" t="n"/>
      <c r="N466" s="59" t="n"/>
      <c r="O466" s="58">
        <f>IF(L466="","",IF(M466="",L466,L466*(1-M466)))</f>
        <v/>
      </c>
      <c r="P466" s="55" t="n"/>
      <c r="Q466" s="55" t="n"/>
    </row>
    <row r="467" ht="15.75" customHeight="1" s="99">
      <c r="A467" s="41" t="n">
        <v>467</v>
      </c>
      <c r="B467" s="45" t="n"/>
      <c r="C467" s="46">
        <f>IF(B467="","",TEXT(B467,"MMM-YYYY"))</f>
        <v/>
      </c>
      <c r="D467" s="47" t="n"/>
      <c r="E467" s="47" t="n"/>
      <c r="F467" s="47" t="n"/>
      <c r="G467" s="47" t="n"/>
      <c r="H467" s="47" t="n"/>
      <c r="I467" s="48" t="n"/>
      <c r="J467" s="47" t="n"/>
      <c r="K467" s="49" t="n"/>
      <c r="L467" s="50">
        <f>IF(OR(I467="",K467=""),"",I467*K467)</f>
        <v/>
      </c>
      <c r="M467" s="51" t="n"/>
      <c r="N467" s="51" t="n"/>
      <c r="O467" s="50">
        <f>IF(L467="","",IF(M467="",L467,L467*(1-M467)))</f>
        <v/>
      </c>
      <c r="P467" s="47" t="n"/>
      <c r="Q467" s="47" t="n"/>
    </row>
    <row r="468" ht="15.75" customHeight="1" s="99">
      <c r="A468" s="43" t="n">
        <v>468</v>
      </c>
      <c r="B468" s="53" t="n"/>
      <c r="C468" s="54">
        <f>IF(B468="","",TEXT(B468,"MMM-YYYY"))</f>
        <v/>
      </c>
      <c r="D468" s="55" t="n"/>
      <c r="E468" s="55" t="n"/>
      <c r="F468" s="55" t="n"/>
      <c r="G468" s="55" t="n"/>
      <c r="H468" s="55" t="n"/>
      <c r="I468" s="56" t="n"/>
      <c r="J468" s="55" t="n"/>
      <c r="K468" s="57" t="n"/>
      <c r="L468" s="58">
        <f>IF(OR(I468="",K468=""),"",I468*K468)</f>
        <v/>
      </c>
      <c r="M468" s="59" t="n"/>
      <c r="N468" s="59" t="n"/>
      <c r="O468" s="58">
        <f>IF(L468="","",IF(M468="",L468,L468*(1-M468)))</f>
        <v/>
      </c>
      <c r="P468" s="55" t="n"/>
      <c r="Q468" s="55" t="n"/>
    </row>
    <row r="469" ht="15.75" customHeight="1" s="99">
      <c r="A469" s="41" t="n">
        <v>469</v>
      </c>
      <c r="B469" s="45" t="n"/>
      <c r="C469" s="46">
        <f>IF(B469="","",TEXT(B469,"MMM-YYYY"))</f>
        <v/>
      </c>
      <c r="D469" s="47" t="n"/>
      <c r="E469" s="47" t="n"/>
      <c r="F469" s="47" t="n"/>
      <c r="G469" s="47" t="n"/>
      <c r="H469" s="47" t="n"/>
      <c r="I469" s="48" t="n"/>
      <c r="J469" s="47" t="n"/>
      <c r="K469" s="49" t="n"/>
      <c r="L469" s="50">
        <f>IF(OR(I469="",K469=""),"",I469*K469)</f>
        <v/>
      </c>
      <c r="M469" s="51" t="n"/>
      <c r="N469" s="51" t="n"/>
      <c r="O469" s="50">
        <f>IF(L469="","",IF(M469="",L469,L469*(1-M469)))</f>
        <v/>
      </c>
      <c r="P469" s="47" t="n"/>
      <c r="Q469" s="47" t="n"/>
    </row>
    <row r="470" ht="15.75" customHeight="1" s="99">
      <c r="A470" s="43" t="n">
        <v>470</v>
      </c>
      <c r="B470" s="53" t="n"/>
      <c r="C470" s="54">
        <f>IF(B470="","",TEXT(B470,"MMM-YYYY"))</f>
        <v/>
      </c>
      <c r="D470" s="55" t="n"/>
      <c r="E470" s="55" t="n"/>
      <c r="F470" s="55" t="n"/>
      <c r="G470" s="55" t="n"/>
      <c r="H470" s="55" t="n"/>
      <c r="I470" s="56" t="n"/>
      <c r="J470" s="55" t="n"/>
      <c r="K470" s="57" t="n"/>
      <c r="L470" s="58">
        <f>IF(OR(I470="",K470=""),"",I470*K470)</f>
        <v/>
      </c>
      <c r="M470" s="59" t="n"/>
      <c r="N470" s="59" t="n"/>
      <c r="O470" s="58">
        <f>IF(L470="","",IF(M470="",L470,L470*(1-M470)))</f>
        <v/>
      </c>
      <c r="P470" s="55" t="n"/>
      <c r="Q470" s="55" t="n"/>
    </row>
    <row r="471" ht="15.75" customHeight="1" s="99">
      <c r="A471" s="41" t="n">
        <v>471</v>
      </c>
      <c r="B471" s="45" t="n"/>
      <c r="C471" s="46">
        <f>IF(B471="","",TEXT(B471,"MMM-YYYY"))</f>
        <v/>
      </c>
      <c r="D471" s="47" t="n"/>
      <c r="E471" s="47" t="n"/>
      <c r="F471" s="47" t="n"/>
      <c r="G471" s="47" t="n"/>
      <c r="H471" s="47" t="n"/>
      <c r="I471" s="48" t="n"/>
      <c r="J471" s="47" t="n"/>
      <c r="K471" s="49" t="n"/>
      <c r="L471" s="50">
        <f>IF(OR(I471="",K471=""),"",I471*K471)</f>
        <v/>
      </c>
      <c r="M471" s="51" t="n"/>
      <c r="N471" s="51" t="n"/>
      <c r="O471" s="50">
        <f>IF(L471="","",IF(M471="",L471,L471*(1-M471)))</f>
        <v/>
      </c>
      <c r="P471" s="47" t="n"/>
      <c r="Q471" s="47" t="n"/>
    </row>
    <row r="472" ht="15.75" customHeight="1" s="99">
      <c r="A472" s="43" t="n">
        <v>472</v>
      </c>
      <c r="B472" s="53" t="n"/>
      <c r="C472" s="54">
        <f>IF(B472="","",TEXT(B472,"MMM-YYYY"))</f>
        <v/>
      </c>
      <c r="D472" s="55" t="n"/>
      <c r="E472" s="55" t="n"/>
      <c r="F472" s="55" t="n"/>
      <c r="G472" s="55" t="n"/>
      <c r="H472" s="55" t="n"/>
      <c r="I472" s="56" t="n"/>
      <c r="J472" s="55" t="n"/>
      <c r="K472" s="57" t="n"/>
      <c r="L472" s="58">
        <f>IF(OR(I472="",K472=""),"",I472*K472)</f>
        <v/>
      </c>
      <c r="M472" s="59" t="n"/>
      <c r="N472" s="59" t="n"/>
      <c r="O472" s="58">
        <f>IF(L472="","",IF(M472="",L472,L472*(1-M472)))</f>
        <v/>
      </c>
      <c r="P472" s="55" t="n"/>
      <c r="Q472" s="55" t="n"/>
    </row>
    <row r="473" ht="15.75" customHeight="1" s="99">
      <c r="A473" s="41" t="n">
        <v>473</v>
      </c>
      <c r="B473" s="45" t="n"/>
      <c r="C473" s="46">
        <f>IF(B473="","",TEXT(B473,"MMM-YYYY"))</f>
        <v/>
      </c>
      <c r="D473" s="47" t="n"/>
      <c r="E473" s="47" t="n"/>
      <c r="F473" s="47" t="n"/>
      <c r="G473" s="47" t="n"/>
      <c r="H473" s="47" t="n"/>
      <c r="I473" s="48" t="n"/>
      <c r="J473" s="47" t="n"/>
      <c r="K473" s="49" t="n"/>
      <c r="L473" s="50">
        <f>IF(OR(I473="",K473=""),"",I473*K473)</f>
        <v/>
      </c>
      <c r="M473" s="51" t="n"/>
      <c r="N473" s="51" t="n"/>
      <c r="O473" s="50">
        <f>IF(L473="","",IF(M473="",L473,L473*(1-M473)))</f>
        <v/>
      </c>
      <c r="P473" s="47" t="n"/>
      <c r="Q473" s="47" t="n"/>
    </row>
    <row r="474" ht="15.75" customHeight="1" s="99">
      <c r="A474" s="43" t="n">
        <v>474</v>
      </c>
      <c r="B474" s="53" t="n"/>
      <c r="C474" s="54">
        <f>IF(B474="","",TEXT(B474,"MMM-YYYY"))</f>
        <v/>
      </c>
      <c r="D474" s="55" t="n"/>
      <c r="E474" s="55" t="n"/>
      <c r="F474" s="55" t="n"/>
      <c r="G474" s="55" t="n"/>
      <c r="H474" s="55" t="n"/>
      <c r="I474" s="56" t="n"/>
      <c r="J474" s="55" t="n"/>
      <c r="K474" s="57" t="n"/>
      <c r="L474" s="58">
        <f>IF(OR(I474="",K474=""),"",I474*K474)</f>
        <v/>
      </c>
      <c r="M474" s="59" t="n"/>
      <c r="N474" s="59" t="n"/>
      <c r="O474" s="58">
        <f>IF(L474="","",IF(M474="",L474,L474*(1-M474)))</f>
        <v/>
      </c>
      <c r="P474" s="55" t="n"/>
      <c r="Q474" s="55" t="n"/>
    </row>
    <row r="475" ht="15.75" customHeight="1" s="99">
      <c r="A475" s="41" t="n">
        <v>475</v>
      </c>
      <c r="B475" s="45" t="n"/>
      <c r="C475" s="46">
        <f>IF(B475="","",TEXT(B475,"MMM-YYYY"))</f>
        <v/>
      </c>
      <c r="D475" s="47" t="n"/>
      <c r="E475" s="47" t="n"/>
      <c r="F475" s="47" t="n"/>
      <c r="G475" s="47" t="n"/>
      <c r="H475" s="47" t="n"/>
      <c r="I475" s="48" t="n"/>
      <c r="J475" s="47" t="n"/>
      <c r="K475" s="49" t="n"/>
      <c r="L475" s="50">
        <f>IF(OR(I475="",K475=""),"",I475*K475)</f>
        <v/>
      </c>
      <c r="M475" s="51" t="n"/>
      <c r="N475" s="51" t="n"/>
      <c r="O475" s="50">
        <f>IF(L475="","",IF(M475="",L475,L475*(1-M475)))</f>
        <v/>
      </c>
      <c r="P475" s="47" t="n"/>
      <c r="Q475" s="47" t="n"/>
    </row>
    <row r="476" ht="15.75" customHeight="1" s="99">
      <c r="A476" s="43" t="n">
        <v>476</v>
      </c>
      <c r="B476" s="53" t="n"/>
      <c r="C476" s="54">
        <f>IF(B476="","",TEXT(B476,"MMM-YYYY"))</f>
        <v/>
      </c>
      <c r="D476" s="55" t="n"/>
      <c r="E476" s="55" t="n"/>
      <c r="F476" s="55" t="n"/>
      <c r="G476" s="55" t="n"/>
      <c r="H476" s="55" t="n"/>
      <c r="I476" s="56" t="n"/>
      <c r="J476" s="55" t="n"/>
      <c r="K476" s="57" t="n"/>
      <c r="L476" s="58">
        <f>IF(OR(I476="",K476=""),"",I476*K476)</f>
        <v/>
      </c>
      <c r="M476" s="59" t="n"/>
      <c r="N476" s="59" t="n"/>
      <c r="O476" s="58">
        <f>IF(L476="","",IF(M476="",L476,L476*(1-M476)))</f>
        <v/>
      </c>
      <c r="P476" s="55" t="n"/>
      <c r="Q476" s="55" t="n"/>
    </row>
    <row r="477" ht="15.75" customHeight="1" s="99">
      <c r="A477" s="41" t="n">
        <v>477</v>
      </c>
      <c r="B477" s="45" t="n"/>
      <c r="C477" s="46">
        <f>IF(B477="","",TEXT(B477,"MMM-YYYY"))</f>
        <v/>
      </c>
      <c r="D477" s="47" t="n"/>
      <c r="E477" s="47" t="n"/>
      <c r="F477" s="47" t="n"/>
      <c r="G477" s="47" t="n"/>
      <c r="H477" s="47" t="n"/>
      <c r="I477" s="48" t="n"/>
      <c r="J477" s="47" t="n"/>
      <c r="K477" s="49" t="n"/>
      <c r="L477" s="50">
        <f>IF(OR(I477="",K477=""),"",I477*K477)</f>
        <v/>
      </c>
      <c r="M477" s="51" t="n"/>
      <c r="N477" s="51" t="n"/>
      <c r="O477" s="50">
        <f>IF(L477="","",IF(M477="",L477,L477*(1-M477)))</f>
        <v/>
      </c>
      <c r="P477" s="47" t="n"/>
      <c r="Q477" s="47" t="n"/>
    </row>
    <row r="478" ht="15.75" customHeight="1" s="99">
      <c r="A478" s="43" t="n">
        <v>478</v>
      </c>
      <c r="B478" s="53" t="n"/>
      <c r="C478" s="54">
        <f>IF(B478="","",TEXT(B478,"MMM-YYYY"))</f>
        <v/>
      </c>
      <c r="D478" s="55" t="n"/>
      <c r="E478" s="55" t="n"/>
      <c r="F478" s="55" t="n"/>
      <c r="G478" s="55" t="n"/>
      <c r="H478" s="55" t="n"/>
      <c r="I478" s="56" t="n"/>
      <c r="J478" s="55" t="n"/>
      <c r="K478" s="57" t="n"/>
      <c r="L478" s="58">
        <f>IF(OR(I478="",K478=""),"",I478*K478)</f>
        <v/>
      </c>
      <c r="M478" s="59" t="n"/>
      <c r="N478" s="59" t="n"/>
      <c r="O478" s="58">
        <f>IF(L478="","",IF(M478="",L478,L478*(1-M478)))</f>
        <v/>
      </c>
      <c r="P478" s="55" t="n"/>
      <c r="Q478" s="55" t="n"/>
    </row>
    <row r="479" ht="15.75" customHeight="1" s="99">
      <c r="A479" s="41" t="n">
        <v>479</v>
      </c>
      <c r="B479" s="45" t="n"/>
      <c r="C479" s="46">
        <f>IF(B479="","",TEXT(B479,"MMM-YYYY"))</f>
        <v/>
      </c>
      <c r="D479" s="47" t="n"/>
      <c r="E479" s="47" t="n"/>
      <c r="F479" s="47" t="n"/>
      <c r="G479" s="47" t="n"/>
      <c r="H479" s="47" t="n"/>
      <c r="I479" s="48" t="n"/>
      <c r="J479" s="47" t="n"/>
      <c r="K479" s="49" t="n"/>
      <c r="L479" s="50">
        <f>IF(OR(I479="",K479=""),"",I479*K479)</f>
        <v/>
      </c>
      <c r="M479" s="51" t="n"/>
      <c r="N479" s="51" t="n"/>
      <c r="O479" s="50">
        <f>IF(L479="","",IF(M479="",L479,L479*(1-M479)))</f>
        <v/>
      </c>
      <c r="P479" s="47" t="n"/>
      <c r="Q479" s="47" t="n"/>
    </row>
    <row r="480" ht="15.75" customHeight="1" s="99">
      <c r="A480" s="43" t="n">
        <v>480</v>
      </c>
      <c r="B480" s="53" t="n"/>
      <c r="C480" s="54">
        <f>IF(B480="","",TEXT(B480,"MMM-YYYY"))</f>
        <v/>
      </c>
      <c r="D480" s="55" t="n"/>
      <c r="E480" s="55" t="n"/>
      <c r="F480" s="55" t="n"/>
      <c r="G480" s="55" t="n"/>
      <c r="H480" s="55" t="n"/>
      <c r="I480" s="56" t="n"/>
      <c r="J480" s="55" t="n"/>
      <c r="K480" s="57" t="n"/>
      <c r="L480" s="58">
        <f>IF(OR(I480="",K480=""),"",I480*K480)</f>
        <v/>
      </c>
      <c r="M480" s="59" t="n"/>
      <c r="N480" s="59" t="n"/>
      <c r="O480" s="58">
        <f>IF(L480="","",IF(M480="",L480,L480*(1-M480)))</f>
        <v/>
      </c>
      <c r="P480" s="55" t="n"/>
      <c r="Q480" s="55" t="n"/>
    </row>
    <row r="481" ht="15.75" customHeight="1" s="99">
      <c r="A481" s="41" t="n">
        <v>481</v>
      </c>
      <c r="B481" s="45" t="n"/>
      <c r="C481" s="46">
        <f>IF(B481="","",TEXT(B481,"MMM-YYYY"))</f>
        <v/>
      </c>
      <c r="D481" s="47" t="n"/>
      <c r="E481" s="47" t="n"/>
      <c r="F481" s="47" t="n"/>
      <c r="G481" s="47" t="n"/>
      <c r="H481" s="47" t="n"/>
      <c r="I481" s="48" t="n"/>
      <c r="J481" s="47" t="n"/>
      <c r="K481" s="49" t="n"/>
      <c r="L481" s="50">
        <f>IF(OR(I481="",K481=""),"",I481*K481)</f>
        <v/>
      </c>
      <c r="M481" s="51" t="n"/>
      <c r="N481" s="51" t="n"/>
      <c r="O481" s="50">
        <f>IF(L481="","",IF(M481="",L481,L481*(1-M481)))</f>
        <v/>
      </c>
      <c r="P481" s="47" t="n"/>
      <c r="Q481" s="47" t="n"/>
    </row>
    <row r="482" ht="15.75" customHeight="1" s="99">
      <c r="A482" s="43" t="n">
        <v>482</v>
      </c>
      <c r="B482" s="53" t="n"/>
      <c r="C482" s="54">
        <f>IF(B482="","",TEXT(B482,"MMM-YYYY"))</f>
        <v/>
      </c>
      <c r="D482" s="55" t="n"/>
      <c r="E482" s="55" t="n"/>
      <c r="F482" s="55" t="n"/>
      <c r="G482" s="55" t="n"/>
      <c r="H482" s="55" t="n"/>
      <c r="I482" s="56" t="n"/>
      <c r="J482" s="55" t="n"/>
      <c r="K482" s="57" t="n"/>
      <c r="L482" s="58">
        <f>IF(OR(I482="",K482=""),"",I482*K482)</f>
        <v/>
      </c>
      <c r="M482" s="59" t="n"/>
      <c r="N482" s="59" t="n"/>
      <c r="O482" s="58">
        <f>IF(L482="","",IF(M482="",L482,L482*(1-M482)))</f>
        <v/>
      </c>
      <c r="P482" s="55" t="n"/>
      <c r="Q482" s="55" t="n"/>
    </row>
    <row r="483" ht="15.75" customHeight="1" s="99">
      <c r="A483" s="41" t="n">
        <v>483</v>
      </c>
      <c r="B483" s="45" t="n"/>
      <c r="C483" s="46">
        <f>IF(B483="","",TEXT(B483,"MMM-YYYY"))</f>
        <v/>
      </c>
      <c r="D483" s="47" t="n"/>
      <c r="E483" s="47" t="n"/>
      <c r="F483" s="47" t="n"/>
      <c r="G483" s="47" t="n"/>
      <c r="H483" s="47" t="n"/>
      <c r="I483" s="48" t="n"/>
      <c r="J483" s="47" t="n"/>
      <c r="K483" s="49" t="n"/>
      <c r="L483" s="50">
        <f>IF(OR(I483="",K483=""),"",I483*K483)</f>
        <v/>
      </c>
      <c r="M483" s="51" t="n"/>
      <c r="N483" s="51" t="n"/>
      <c r="O483" s="50">
        <f>IF(L483="","",IF(M483="",L483,L483*(1-M483)))</f>
        <v/>
      </c>
      <c r="P483" s="47" t="n"/>
      <c r="Q483" s="47" t="n"/>
    </row>
    <row r="484" ht="15.75" customHeight="1" s="99">
      <c r="A484" s="43" t="n">
        <v>484</v>
      </c>
      <c r="B484" s="53" t="n"/>
      <c r="C484" s="54">
        <f>IF(B484="","",TEXT(B484,"MMM-YYYY"))</f>
        <v/>
      </c>
      <c r="D484" s="55" t="n"/>
      <c r="E484" s="55" t="n"/>
      <c r="F484" s="55" t="n"/>
      <c r="G484" s="55" t="n"/>
      <c r="H484" s="55" t="n"/>
      <c r="I484" s="56" t="n"/>
      <c r="J484" s="55" t="n"/>
      <c r="K484" s="57" t="n"/>
      <c r="L484" s="58">
        <f>IF(OR(I484="",K484=""),"",I484*K484)</f>
        <v/>
      </c>
      <c r="M484" s="59" t="n"/>
      <c r="N484" s="59" t="n"/>
      <c r="O484" s="58">
        <f>IF(L484="","",IF(M484="",L484,L484*(1-M484)))</f>
        <v/>
      </c>
      <c r="P484" s="55" t="n"/>
      <c r="Q484" s="55" t="n"/>
    </row>
    <row r="485" ht="15.75" customHeight="1" s="99">
      <c r="A485" s="41" t="n">
        <v>485</v>
      </c>
      <c r="B485" s="45" t="n"/>
      <c r="C485" s="46">
        <f>IF(B485="","",TEXT(B485,"MMM-YYYY"))</f>
        <v/>
      </c>
      <c r="D485" s="47" t="n"/>
      <c r="E485" s="47" t="n"/>
      <c r="F485" s="47" t="n"/>
      <c r="G485" s="47" t="n"/>
      <c r="H485" s="47" t="n"/>
      <c r="I485" s="48" t="n"/>
      <c r="J485" s="47" t="n"/>
      <c r="K485" s="49" t="n"/>
      <c r="L485" s="50">
        <f>IF(OR(I485="",K485=""),"",I485*K485)</f>
        <v/>
      </c>
      <c r="M485" s="51" t="n"/>
      <c r="N485" s="51" t="n"/>
      <c r="O485" s="50">
        <f>IF(L485="","",IF(M485="",L485,L485*(1-M485)))</f>
        <v/>
      </c>
      <c r="P485" s="47" t="n"/>
      <c r="Q485" s="47" t="n"/>
    </row>
    <row r="486" ht="15.75" customHeight="1" s="99">
      <c r="A486" s="43" t="n">
        <v>486</v>
      </c>
      <c r="B486" s="53" t="n"/>
      <c r="C486" s="54">
        <f>IF(B486="","",TEXT(B486,"MMM-YYYY"))</f>
        <v/>
      </c>
      <c r="D486" s="55" t="n"/>
      <c r="E486" s="55" t="n"/>
      <c r="F486" s="55" t="n"/>
      <c r="G486" s="55" t="n"/>
      <c r="H486" s="55" t="n"/>
      <c r="I486" s="56" t="n"/>
      <c r="J486" s="55" t="n"/>
      <c r="K486" s="57" t="n"/>
      <c r="L486" s="58">
        <f>IF(OR(I486="",K486=""),"",I486*K486)</f>
        <v/>
      </c>
      <c r="M486" s="59" t="n"/>
      <c r="N486" s="59" t="n"/>
      <c r="O486" s="58">
        <f>IF(L486="","",IF(M486="",L486,L486*(1-M486)))</f>
        <v/>
      </c>
      <c r="P486" s="55" t="n"/>
      <c r="Q486" s="55" t="n"/>
    </row>
    <row r="487" ht="15.75" customHeight="1" s="99">
      <c r="A487" s="41" t="n">
        <v>487</v>
      </c>
      <c r="B487" s="45" t="n"/>
      <c r="C487" s="46">
        <f>IF(B487="","",TEXT(B487,"MMM-YYYY"))</f>
        <v/>
      </c>
      <c r="D487" s="47" t="n"/>
      <c r="E487" s="47" t="n"/>
      <c r="F487" s="47" t="n"/>
      <c r="G487" s="47" t="n"/>
      <c r="H487" s="47" t="n"/>
      <c r="I487" s="48" t="n"/>
      <c r="J487" s="47" t="n"/>
      <c r="K487" s="49" t="n"/>
      <c r="L487" s="50">
        <f>IF(OR(I487="",K487=""),"",I487*K487)</f>
        <v/>
      </c>
      <c r="M487" s="51" t="n"/>
      <c r="N487" s="51" t="n"/>
      <c r="O487" s="50">
        <f>IF(L487="","",IF(M487="",L487,L487*(1-M487)))</f>
        <v/>
      </c>
      <c r="P487" s="47" t="n"/>
      <c r="Q487" s="47" t="n"/>
    </row>
    <row r="488" ht="15.75" customHeight="1" s="99">
      <c r="A488" s="43" t="n">
        <v>488</v>
      </c>
      <c r="B488" s="53" t="n"/>
      <c r="C488" s="54">
        <f>IF(B488="","",TEXT(B488,"MMM-YYYY"))</f>
        <v/>
      </c>
      <c r="D488" s="55" t="n"/>
      <c r="E488" s="55" t="n"/>
      <c r="F488" s="55" t="n"/>
      <c r="G488" s="55" t="n"/>
      <c r="H488" s="55" t="n"/>
      <c r="I488" s="56" t="n"/>
      <c r="J488" s="55" t="n"/>
      <c r="K488" s="57" t="n"/>
      <c r="L488" s="58">
        <f>IF(OR(I488="",K488=""),"",I488*K488)</f>
        <v/>
      </c>
      <c r="M488" s="59" t="n"/>
      <c r="N488" s="59" t="n"/>
      <c r="O488" s="58">
        <f>IF(L488="","",IF(M488="",L488,L488*(1-M488)))</f>
        <v/>
      </c>
      <c r="P488" s="55" t="n"/>
      <c r="Q488" s="55" t="n"/>
    </row>
    <row r="489" ht="15.75" customHeight="1" s="99">
      <c r="A489" s="41" t="n">
        <v>489</v>
      </c>
      <c r="B489" s="45" t="n"/>
      <c r="C489" s="46">
        <f>IF(B489="","",TEXT(B489,"MMM-YYYY"))</f>
        <v/>
      </c>
      <c r="D489" s="47" t="n"/>
      <c r="E489" s="47" t="n"/>
      <c r="F489" s="47" t="n"/>
      <c r="G489" s="47" t="n"/>
      <c r="H489" s="47" t="n"/>
      <c r="I489" s="48" t="n"/>
      <c r="J489" s="47" t="n"/>
      <c r="K489" s="49" t="n"/>
      <c r="L489" s="50">
        <f>IF(OR(I489="",K489=""),"",I489*K489)</f>
        <v/>
      </c>
      <c r="M489" s="51" t="n"/>
      <c r="N489" s="51" t="n"/>
      <c r="O489" s="50">
        <f>IF(L489="","",IF(M489="",L489,L489*(1-M489)))</f>
        <v/>
      </c>
      <c r="P489" s="47" t="n"/>
      <c r="Q489" s="47" t="n"/>
    </row>
    <row r="490" ht="15.75" customHeight="1" s="99">
      <c r="A490" s="43" t="n">
        <v>490</v>
      </c>
      <c r="B490" s="53" t="n"/>
      <c r="C490" s="54">
        <f>IF(B490="","",TEXT(B490,"MMM-YYYY"))</f>
        <v/>
      </c>
      <c r="D490" s="55" t="n"/>
      <c r="E490" s="55" t="n"/>
      <c r="F490" s="55" t="n"/>
      <c r="G490" s="55" t="n"/>
      <c r="H490" s="55" t="n"/>
      <c r="I490" s="56" t="n"/>
      <c r="J490" s="55" t="n"/>
      <c r="K490" s="57" t="n"/>
      <c r="L490" s="58">
        <f>IF(OR(I490="",K490=""),"",I490*K490)</f>
        <v/>
      </c>
      <c r="M490" s="59" t="n"/>
      <c r="N490" s="59" t="n"/>
      <c r="O490" s="58">
        <f>IF(L490="","",IF(M490="",L490,L490*(1-M490)))</f>
        <v/>
      </c>
      <c r="P490" s="55" t="n"/>
      <c r="Q490" s="55" t="n"/>
    </row>
    <row r="491" ht="15.75" customHeight="1" s="99">
      <c r="A491" s="41" t="n">
        <v>491</v>
      </c>
      <c r="B491" s="45" t="n"/>
      <c r="C491" s="46">
        <f>IF(B491="","",TEXT(B491,"MMM-YYYY"))</f>
        <v/>
      </c>
      <c r="D491" s="47" t="n"/>
      <c r="E491" s="47" t="n"/>
      <c r="F491" s="47" t="n"/>
      <c r="G491" s="47" t="n"/>
      <c r="H491" s="47" t="n"/>
      <c r="I491" s="48" t="n"/>
      <c r="J491" s="47" t="n"/>
      <c r="K491" s="49" t="n"/>
      <c r="L491" s="50">
        <f>IF(OR(I491="",K491=""),"",I491*K491)</f>
        <v/>
      </c>
      <c r="M491" s="51" t="n"/>
      <c r="N491" s="51" t="n"/>
      <c r="O491" s="50">
        <f>IF(L491="","",IF(M491="",L491,L491*(1-M491)))</f>
        <v/>
      </c>
      <c r="P491" s="47" t="n"/>
      <c r="Q491" s="47" t="n"/>
    </row>
    <row r="492" ht="15.75" customHeight="1" s="99">
      <c r="A492" s="43" t="n">
        <v>492</v>
      </c>
      <c r="B492" s="53" t="n"/>
      <c r="C492" s="54">
        <f>IF(B492="","",TEXT(B492,"MMM-YYYY"))</f>
        <v/>
      </c>
      <c r="D492" s="55" t="n"/>
      <c r="E492" s="55" t="n"/>
      <c r="F492" s="55" t="n"/>
      <c r="G492" s="55" t="n"/>
      <c r="H492" s="55" t="n"/>
      <c r="I492" s="56" t="n"/>
      <c r="J492" s="55" t="n"/>
      <c r="K492" s="57" t="n"/>
      <c r="L492" s="58">
        <f>IF(OR(I492="",K492=""),"",I492*K492)</f>
        <v/>
      </c>
      <c r="M492" s="59" t="n"/>
      <c r="N492" s="59" t="n"/>
      <c r="O492" s="58">
        <f>IF(L492="","",IF(M492="",L492,L492*(1-M492)))</f>
        <v/>
      </c>
      <c r="P492" s="55" t="n"/>
      <c r="Q492" s="55" t="n"/>
    </row>
    <row r="493" ht="15.75" customHeight="1" s="99">
      <c r="A493" s="41" t="n">
        <v>493</v>
      </c>
      <c r="B493" s="45" t="n"/>
      <c r="C493" s="46">
        <f>IF(B493="","",TEXT(B493,"MMM-YYYY"))</f>
        <v/>
      </c>
      <c r="D493" s="47" t="n"/>
      <c r="E493" s="47" t="n"/>
      <c r="F493" s="47" t="n"/>
      <c r="G493" s="47" t="n"/>
      <c r="H493" s="47" t="n"/>
      <c r="I493" s="48" t="n"/>
      <c r="J493" s="47" t="n"/>
      <c r="K493" s="49" t="n"/>
      <c r="L493" s="50">
        <f>IF(OR(I493="",K493=""),"",I493*K493)</f>
        <v/>
      </c>
      <c r="M493" s="51" t="n"/>
      <c r="N493" s="51" t="n"/>
      <c r="O493" s="50">
        <f>IF(L493="","",IF(M493="",L493,L493*(1-M493)))</f>
        <v/>
      </c>
      <c r="P493" s="47" t="n"/>
      <c r="Q493" s="47" t="n"/>
    </row>
    <row r="494" ht="15.75" customHeight="1" s="99">
      <c r="A494" s="43" t="n">
        <v>494</v>
      </c>
      <c r="B494" s="53" t="n"/>
      <c r="C494" s="54">
        <f>IF(B494="","",TEXT(B494,"MMM-YYYY"))</f>
        <v/>
      </c>
      <c r="D494" s="55" t="n"/>
      <c r="E494" s="55" t="n"/>
      <c r="F494" s="55" t="n"/>
      <c r="G494" s="55" t="n"/>
      <c r="H494" s="55" t="n"/>
      <c r="I494" s="56" t="n"/>
      <c r="J494" s="55" t="n"/>
      <c r="K494" s="57" t="n"/>
      <c r="L494" s="58">
        <f>IF(OR(I494="",K494=""),"",I494*K494)</f>
        <v/>
      </c>
      <c r="M494" s="59" t="n"/>
      <c r="N494" s="59" t="n"/>
      <c r="O494" s="58">
        <f>IF(L494="","",IF(M494="",L494,L494*(1-M494)))</f>
        <v/>
      </c>
      <c r="P494" s="55" t="n"/>
      <c r="Q494" s="55" t="n"/>
    </row>
    <row r="495" ht="15.75" customHeight="1" s="99">
      <c r="A495" s="41" t="n">
        <v>495</v>
      </c>
      <c r="B495" s="45" t="n"/>
      <c r="C495" s="46">
        <f>IF(B495="","",TEXT(B495,"MMM-YYYY"))</f>
        <v/>
      </c>
      <c r="D495" s="47" t="n"/>
      <c r="E495" s="47" t="n"/>
      <c r="F495" s="47" t="n"/>
      <c r="G495" s="47" t="n"/>
      <c r="H495" s="47" t="n"/>
      <c r="I495" s="48" t="n"/>
      <c r="J495" s="47" t="n"/>
      <c r="K495" s="49" t="n"/>
      <c r="L495" s="50">
        <f>IF(OR(I495="",K495=""),"",I495*K495)</f>
        <v/>
      </c>
      <c r="M495" s="51" t="n"/>
      <c r="N495" s="51" t="n"/>
      <c r="O495" s="50">
        <f>IF(L495="","",IF(M495="",L495,L495*(1-M495)))</f>
        <v/>
      </c>
      <c r="P495" s="47" t="n"/>
      <c r="Q495" s="47" t="n"/>
    </row>
    <row r="496" ht="15.75" customHeight="1" s="99">
      <c r="A496" s="43" t="n">
        <v>496</v>
      </c>
      <c r="B496" s="53" t="n"/>
      <c r="C496" s="54">
        <f>IF(B496="","",TEXT(B496,"MMM-YYYY"))</f>
        <v/>
      </c>
      <c r="D496" s="55" t="n"/>
      <c r="E496" s="55" t="n"/>
      <c r="F496" s="55" t="n"/>
      <c r="G496" s="55" t="n"/>
      <c r="H496" s="55" t="n"/>
      <c r="I496" s="56" t="n"/>
      <c r="J496" s="55" t="n"/>
      <c r="K496" s="57" t="n"/>
      <c r="L496" s="58">
        <f>IF(OR(I496="",K496=""),"",I496*K496)</f>
        <v/>
      </c>
      <c r="M496" s="59" t="n"/>
      <c r="N496" s="59" t="n"/>
      <c r="O496" s="58">
        <f>IF(L496="","",IF(M496="",L496,L496*(1-M496)))</f>
        <v/>
      </c>
      <c r="P496" s="55" t="n"/>
      <c r="Q496" s="55" t="n"/>
    </row>
    <row r="497" ht="15.75" customHeight="1" s="99">
      <c r="A497" s="41" t="n">
        <v>497</v>
      </c>
      <c r="B497" s="45" t="n"/>
      <c r="C497" s="46">
        <f>IF(B497="","",TEXT(B497,"MMM-YYYY"))</f>
        <v/>
      </c>
      <c r="D497" s="47" t="n"/>
      <c r="E497" s="47" t="n"/>
      <c r="F497" s="47" t="n"/>
      <c r="G497" s="47" t="n"/>
      <c r="H497" s="47" t="n"/>
      <c r="I497" s="48" t="n"/>
      <c r="J497" s="47" t="n"/>
      <c r="K497" s="49" t="n"/>
      <c r="L497" s="50">
        <f>IF(OR(I497="",K497=""),"",I497*K497)</f>
        <v/>
      </c>
      <c r="M497" s="51" t="n"/>
      <c r="N497" s="51" t="n"/>
      <c r="O497" s="50">
        <f>IF(L497="","",IF(M497="",L497,L497*(1-M497)))</f>
        <v/>
      </c>
      <c r="P497" s="47" t="n"/>
      <c r="Q497" s="47" t="n"/>
    </row>
    <row r="498" ht="15.75" customHeight="1" s="99">
      <c r="A498" s="43" t="n">
        <v>498</v>
      </c>
      <c r="B498" s="53" t="n"/>
      <c r="C498" s="54">
        <f>IF(B498="","",TEXT(B498,"MMM-YYYY"))</f>
        <v/>
      </c>
      <c r="D498" s="55" t="n"/>
      <c r="E498" s="55" t="n"/>
      <c r="F498" s="55" t="n"/>
      <c r="G498" s="55" t="n"/>
      <c r="H498" s="55" t="n"/>
      <c r="I498" s="56" t="n"/>
      <c r="J498" s="55" t="n"/>
      <c r="K498" s="57" t="n"/>
      <c r="L498" s="58">
        <f>IF(OR(I498="",K498=""),"",I498*K498)</f>
        <v/>
      </c>
      <c r="M498" s="59" t="n"/>
      <c r="N498" s="59" t="n"/>
      <c r="O498" s="58">
        <f>IF(L498="","",IF(M498="",L498,L498*(1-M498)))</f>
        <v/>
      </c>
      <c r="P498" s="55" t="n"/>
      <c r="Q498" s="55" t="n"/>
    </row>
    <row r="499" ht="15.75" customHeight="1" s="99">
      <c r="A499" s="41" t="n">
        <v>499</v>
      </c>
      <c r="B499" s="45" t="n"/>
      <c r="C499" s="46">
        <f>IF(B499="","",TEXT(B499,"MMM-YYYY"))</f>
        <v/>
      </c>
      <c r="D499" s="47" t="n"/>
      <c r="E499" s="47" t="n"/>
      <c r="F499" s="47" t="n"/>
      <c r="G499" s="47" t="n"/>
      <c r="H499" s="47" t="n"/>
      <c r="I499" s="48" t="n"/>
      <c r="J499" s="47" t="n"/>
      <c r="K499" s="49" t="n"/>
      <c r="L499" s="50">
        <f>IF(OR(I499="",K499=""),"",I499*K499)</f>
        <v/>
      </c>
      <c r="M499" s="51" t="n"/>
      <c r="N499" s="51" t="n"/>
      <c r="O499" s="50">
        <f>IF(L499="","",IF(M499="",L499,L499*(1-M499)))</f>
        <v/>
      </c>
      <c r="P499" s="47" t="n"/>
      <c r="Q499" s="47" t="n"/>
    </row>
    <row r="500" ht="15.75" customHeight="1" s="99">
      <c r="A500" s="43" t="n">
        <v>500</v>
      </c>
      <c r="B500" s="53" t="n"/>
      <c r="C500" s="54">
        <f>IF(B500="","",TEXT(B500,"MMM-YYYY"))</f>
        <v/>
      </c>
      <c r="D500" s="55" t="n"/>
      <c r="E500" s="55" t="n"/>
      <c r="F500" s="55" t="n"/>
      <c r="G500" s="55" t="n"/>
      <c r="H500" s="55" t="n"/>
      <c r="I500" s="56" t="n"/>
      <c r="J500" s="55" t="n"/>
      <c r="K500" s="57" t="n"/>
      <c r="L500" s="58">
        <f>IF(OR(I500="",K500=""),"",I500*K500)</f>
        <v/>
      </c>
      <c r="M500" s="59" t="n"/>
      <c r="N500" s="59" t="n"/>
      <c r="O500" s="58">
        <f>IF(L500="","",IF(M500="",L500,L500*(1-M500)))</f>
        <v/>
      </c>
      <c r="P500" s="55" t="n"/>
      <c r="Q500" s="55" t="n"/>
    </row>
    <row r="501" ht="15.75" customHeight="1" s="99">
      <c r="A501" t="n">
        <v>501</v>
      </c>
      <c r="B501" s="127" t="n">
        <v>46189</v>
      </c>
      <c r="C501">
        <f>IF(B501="","",TEXT(B501,"MMM-YYYY"))</f>
        <v/>
      </c>
      <c r="D501" t="inlineStr">
        <is>
          <t>Plinth Phase</t>
        </is>
      </c>
      <c r="E501" t="inlineStr">
        <is>
          <t>Land Development</t>
        </is>
      </c>
      <c r="F501" t="inlineStr">
        <is>
          <t>Mitti Filling</t>
        </is>
      </c>
      <c r="G501" t="inlineStr">
        <is>
          <t>Mitti filling 2 trailers @ ₹600</t>
        </is>
      </c>
      <c r="H501" t="inlineStr">
        <is>
          <t>Mukesh Yadav</t>
        </is>
      </c>
      <c r="I501" t="n">
        <v>2</v>
      </c>
      <c r="J501" t="inlineStr">
        <is>
          <t>Trailer</t>
        </is>
      </c>
      <c r="K501" t="n">
        <v>600</v>
      </c>
      <c r="L501">
        <f>IF(OR(I501="",K501=""),"",I501*K501)</f>
        <v/>
      </c>
      <c r="N501">
        <f>M504*L504</f>
        <v/>
      </c>
      <c r="O501">
        <f>IF(L501="","",IF(M501="",L501,L501*(1-M501)))</f>
        <v/>
      </c>
    </row>
    <row r="502" ht="15.75" customHeight="1" s="99">
      <c r="A502" t="n">
        <v>502</v>
      </c>
      <c r="B502" s="127" t="n">
        <v>46190</v>
      </c>
      <c r="C502">
        <f>IF(B502="","",TEXT(B502,"MMM-YYYY"))</f>
        <v/>
      </c>
      <c r="D502" t="inlineStr">
        <is>
          <t>Plinth Phase</t>
        </is>
      </c>
      <c r="E502" t="inlineStr">
        <is>
          <t>Land Development</t>
        </is>
      </c>
      <c r="F502" t="inlineStr">
        <is>
          <t>Mitti Filling</t>
        </is>
      </c>
      <c r="G502" t="inlineStr">
        <is>
          <t>Mitti filling 20 trailers @ ₹600</t>
        </is>
      </c>
      <c r="H502" t="inlineStr">
        <is>
          <t>Mukesh Yadav</t>
        </is>
      </c>
      <c r="I502" t="n">
        <v>20</v>
      </c>
      <c r="J502" t="inlineStr">
        <is>
          <t>Trailer</t>
        </is>
      </c>
      <c r="K502" t="n">
        <v>600</v>
      </c>
      <c r="L502">
        <f>IF(OR(I502="",K502=""),"",I502*K502)</f>
        <v/>
      </c>
      <c r="N502">
        <f>M505*L505</f>
        <v/>
      </c>
      <c r="O502">
        <f>IF(L502="","",IF(M502="",L502,L502*(1-M502)))</f>
        <v/>
      </c>
    </row>
    <row r="503" ht="15.75" customHeight="1" s="99">
      <c r="A503" t="n">
        <v>503</v>
      </c>
      <c r="B503" s="127" t="n">
        <v>46194</v>
      </c>
      <c r="C503">
        <f>IF(B503="","",TEXT(B503,"MMM-YYYY"))</f>
        <v/>
      </c>
      <c r="D503" t="inlineStr">
        <is>
          <t>Plinth Phase</t>
        </is>
      </c>
      <c r="E503" t="inlineStr">
        <is>
          <t>Building Materials</t>
        </is>
      </c>
      <c r="F503" t="inlineStr">
        <is>
          <t>Cement</t>
        </is>
      </c>
      <c r="G503" t="inlineStr">
        <is>
          <t>Ultratech Super Cement 50 bags @ ₹360</t>
        </is>
      </c>
      <c r="H503" t="inlineStr">
        <is>
          <t>Pappu Hardware</t>
        </is>
      </c>
      <c r="I503" t="n">
        <v>50</v>
      </c>
      <c r="J503" t="inlineStr">
        <is>
          <t>Bag</t>
        </is>
      </c>
      <c r="K503" t="n">
        <v>360</v>
      </c>
      <c r="L503">
        <f>IF(OR(I503="",K503=""),"",I503*K503)</f>
        <v/>
      </c>
      <c r="N503">
        <f>M506*L506</f>
        <v/>
      </c>
      <c r="O503">
        <f>IF(L503="","",IF(M503="",L503,L503*(1-M503)))</f>
        <v/>
      </c>
      <c r="P503" t="inlineStr">
        <is>
          <t>Self-GPay</t>
        </is>
      </c>
      <c r="Q503" t="inlineStr">
        <is>
          <t>GPay</t>
        </is>
      </c>
    </row>
    <row r="504" ht="15.75" customHeight="1" s="99">
      <c r="A504" t="n">
        <v>504</v>
      </c>
      <c r="B504" s="127" t="n">
        <v>46194</v>
      </c>
      <c r="C504">
        <f>IF(B504="","",TEXT(B504,"MMM-YYYY"))</f>
        <v/>
      </c>
      <c r="D504" t="inlineStr">
        <is>
          <t>Plinth Phase</t>
        </is>
      </c>
      <c r="E504" t="inlineStr">
        <is>
          <t>Transport · Food · Misc</t>
        </is>
      </c>
      <c r="F504" t="inlineStr">
        <is>
          <t>Transport</t>
        </is>
      </c>
      <c r="G504" t="inlineStr">
        <is>
          <t>Cement transport charge</t>
        </is>
      </c>
      <c r="H504" t="inlineStr">
        <is>
          <t>Pappu Hardware</t>
        </is>
      </c>
      <c r="I504" t="n">
        <v>1</v>
      </c>
      <c r="J504" t="inlineStr">
        <is>
          <t>Lumpsum</t>
        </is>
      </c>
      <c r="K504" t="n">
        <v>300</v>
      </c>
      <c r="L504">
        <f>IF(OR(I504="",K504=""),"",I504*K504)</f>
        <v/>
      </c>
      <c r="N504">
        <f>M507*L507</f>
        <v/>
      </c>
      <c r="O504">
        <f>IF(L504="","",IF(M504="",L504,L504*(1-M504)))</f>
        <v/>
      </c>
      <c r="P504" t="inlineStr">
        <is>
          <t>Self-GPay</t>
        </is>
      </c>
      <c r="Q504" t="inlineStr">
        <is>
          <t>GPay</t>
        </is>
      </c>
    </row>
    <row r="505" ht="15.75" customHeight="1" s="99">
      <c r="A505" t="n">
        <v>505</v>
      </c>
      <c r="B505" s="127" t="n">
        <v>46194</v>
      </c>
      <c r="C505">
        <f>IF(B505="","",TEXT(B505,"MMM-YYYY"))</f>
        <v/>
      </c>
      <c r="D505" t="inlineStr">
        <is>
          <t>Plinth Phase</t>
        </is>
      </c>
      <c r="E505" t="inlineStr">
        <is>
          <t>Labour</t>
        </is>
      </c>
      <c r="F505" t="inlineStr">
        <is>
          <t>Daily Labour-Unloading</t>
        </is>
      </c>
      <c r="G505" t="inlineStr">
        <is>
          <t>Cement unloading labour</t>
        </is>
      </c>
      <c r="H505" t="inlineStr">
        <is>
          <t>Pappu Hardware</t>
        </is>
      </c>
      <c r="I505" t="n">
        <v>1</v>
      </c>
      <c r="J505" t="inlineStr">
        <is>
          <t>Lumpsum</t>
        </is>
      </c>
      <c r="K505" t="n">
        <v>200</v>
      </c>
      <c r="L505">
        <f>IF(OR(I505="",K505=""),"",I505*K505)</f>
        <v/>
      </c>
      <c r="N505">
        <f>M508*L508</f>
        <v/>
      </c>
      <c r="O505">
        <f>IF(L505="","",IF(M505="",L505,L505*(1-M505)))</f>
        <v/>
      </c>
      <c r="P505" t="inlineStr">
        <is>
          <t>Self-GPay</t>
        </is>
      </c>
      <c r="Q505" t="inlineStr">
        <is>
          <t>GPay</t>
        </is>
      </c>
    </row>
    <row r="506">
      <c r="A506" t="n">
        <v>506</v>
      </c>
      <c r="B506" s="127" t="n">
        <v>46196</v>
      </c>
      <c r="C506">
        <f>IF(B506="","",TEXT(B506,"MMM-YYYY"))</f>
        <v/>
      </c>
      <c r="D506" t="inlineStr">
        <is>
          <t>Plinth Phase</t>
        </is>
      </c>
      <c r="E506" t="inlineStr">
        <is>
          <t>Building Materials</t>
        </is>
      </c>
      <c r="F506" t="inlineStr">
        <is>
          <t>Bricks</t>
        </is>
      </c>
      <c r="G506" t="inlineStr">
        <is>
          <t>Brick delivery — tractor 13 (1,500 bricks @ ₹8.5)</t>
        </is>
      </c>
      <c r="H506" t="inlineStr">
        <is>
          <t>Brick Company</t>
        </is>
      </c>
      <c r="I506" t="n">
        <v>1500</v>
      </c>
      <c r="J506" t="inlineStr">
        <is>
          <t>Nos</t>
        </is>
      </c>
      <c r="K506" t="n">
        <v>8.5</v>
      </c>
      <c r="L506">
        <f>IF(OR(I506="",K506=""),"",I506*K506)</f>
        <v/>
      </c>
      <c r="N506">
        <f>M509*L509</f>
        <v/>
      </c>
      <c r="O506">
        <f>IF(L506="","",IF(M506="",L506,L506*(1-M506)))</f>
        <v/>
      </c>
    </row>
    <row r="507">
      <c r="A507" t="n">
        <v>507</v>
      </c>
      <c r="B507" s="127" t="n">
        <v>46195</v>
      </c>
      <c r="C507">
        <f>IF(B507="","",TEXT(B507,"MMM-YYYY"))</f>
        <v/>
      </c>
      <c r="D507" t="inlineStr">
        <is>
          <t>Plinth Phase</t>
        </is>
      </c>
      <c r="E507" t="inlineStr">
        <is>
          <t>Land Development</t>
        </is>
      </c>
      <c r="F507" t="inlineStr">
        <is>
          <t>Mitti Filling</t>
        </is>
      </c>
      <c r="G507" t="inlineStr">
        <is>
          <t>Mitti filling 22 trailers @ ₹600</t>
        </is>
      </c>
      <c r="H507" t="inlineStr">
        <is>
          <t>Mukesh Yadav</t>
        </is>
      </c>
      <c r="I507" t="n">
        <v>22</v>
      </c>
      <c r="J507" t="inlineStr">
        <is>
          <t>Trailer</t>
        </is>
      </c>
      <c r="K507" t="n">
        <v>600</v>
      </c>
      <c r="L507">
        <f>IF(OR(I507="",K507=""),"",I507*K507)</f>
        <v/>
      </c>
      <c r="N507">
        <f>M510*L510</f>
        <v/>
      </c>
      <c r="O507">
        <f>IF(L507="","",IF(M507="",L507,L507*(1-M507)))</f>
        <v/>
      </c>
    </row>
    <row r="508">
      <c r="A508" t="n">
        <v>508</v>
      </c>
      <c r="B508" s="127" t="n">
        <v>46195</v>
      </c>
      <c r="C508">
        <f>IF(B508="","",TEXT(B508,"MMM-YYYY"))</f>
        <v/>
      </c>
      <c r="D508" t="inlineStr">
        <is>
          <t>Plinth Phase</t>
        </is>
      </c>
      <c r="E508" t="inlineStr">
        <is>
          <t>Labour</t>
        </is>
      </c>
      <c r="F508" t="inlineStr">
        <is>
          <t>Daily Labour-Mitti Bharai</t>
        </is>
      </c>
      <c r="G508" t="inlineStr">
        <is>
          <t>Mitti bharai 46 labourers @ ₹350</t>
        </is>
      </c>
      <c r="H508" t="inlineStr">
        <is>
          <t>Daily Labour</t>
        </is>
      </c>
      <c r="I508" t="n">
        <v>46</v>
      </c>
      <c r="J508" t="inlineStr">
        <is>
          <t>Labour</t>
        </is>
      </c>
      <c r="K508" t="n">
        <v>350</v>
      </c>
      <c r="L508">
        <f>IF(OR(I508="",K508=""),"",I508*K508)</f>
        <v/>
      </c>
      <c r="N508">
        <f>M511*L511</f>
        <v/>
      </c>
      <c r="O508">
        <f>IF(L508="","",IF(M508="",L508,L508*(1-M508)))</f>
        <v/>
      </c>
    </row>
    <row r="509">
      <c r="A509" t="n">
        <v>509</v>
      </c>
      <c r="B509" s="127" t="n">
        <v>46196</v>
      </c>
      <c r="C509">
        <f>IF(B509="","",TEXT(B509,"MMM-YYYY"))</f>
        <v/>
      </c>
      <c r="D509" t="inlineStr">
        <is>
          <t>Plinth Phase</t>
        </is>
      </c>
      <c r="E509" t="inlineStr">
        <is>
          <t>Labour</t>
        </is>
      </c>
      <c r="F509" t="inlineStr">
        <is>
          <t>Daily Labour-Kitchen</t>
        </is>
      </c>
      <c r="G509" t="inlineStr">
        <is>
          <t>Kitchen area labour</t>
        </is>
      </c>
      <c r="H509" t="inlineStr">
        <is>
          <t>Daily Labour</t>
        </is>
      </c>
      <c r="I509" t="n">
        <v>1</v>
      </c>
      <c r="J509" t="inlineStr">
        <is>
          <t>Lumpsum</t>
        </is>
      </c>
      <c r="K509" t="n">
        <v>2200</v>
      </c>
      <c r="L509">
        <f>IF(OR(I509="",K509=""),"",I509*K509)</f>
        <v/>
      </c>
      <c r="N509">
        <f>M512*L512</f>
        <v/>
      </c>
      <c r="O509">
        <f>IF(L509="","",IF(M509="",L509,L509*(1-M509)))</f>
        <v/>
      </c>
    </row>
    <row r="510">
      <c r="A510" t="n">
        <v>510</v>
      </c>
      <c r="B510" s="127" t="n">
        <v>46196</v>
      </c>
      <c r="C510">
        <f>IF(B510="","",TEXT(B510,"MMM-YYYY"))</f>
        <v/>
      </c>
      <c r="D510" t="inlineStr">
        <is>
          <t>Plinth Phase</t>
        </is>
      </c>
      <c r="E510" t="inlineStr">
        <is>
          <t>Land Development</t>
        </is>
      </c>
      <c r="F510" t="inlineStr">
        <is>
          <t>Mitti Filling</t>
        </is>
      </c>
      <c r="G510" t="inlineStr">
        <is>
          <t>Mitti filling 22 trailers @ ₹600</t>
        </is>
      </c>
      <c r="H510" t="inlineStr">
        <is>
          <t>Mukesh Yadav</t>
        </is>
      </c>
      <c r="I510" t="n">
        <v>22</v>
      </c>
      <c r="J510" t="inlineStr">
        <is>
          <t>Trailer</t>
        </is>
      </c>
      <c r="K510" t="n">
        <v>600</v>
      </c>
      <c r="L510">
        <f>IF(OR(I510="",K510=""),"",I510*K510)</f>
        <v/>
      </c>
      <c r="N510">
        <f>M513*L513</f>
        <v/>
      </c>
      <c r="O510">
        <f>IF(L510="","",IF(M510="",L510,L510*(1-M510)))</f>
        <v/>
      </c>
    </row>
    <row r="511">
      <c r="A511" t="n">
        <v>511</v>
      </c>
      <c r="B511" s="127" t="n">
        <v>46207</v>
      </c>
      <c r="C511">
        <f>IF(B511="","",TEXT(B511,"MMM-YYYY"))</f>
        <v/>
      </c>
      <c r="D511" t="inlineStr">
        <is>
          <t>Plinth Phase</t>
        </is>
      </c>
      <c r="E511" t="inlineStr">
        <is>
          <t>Land Development</t>
        </is>
      </c>
      <c r="F511" t="inlineStr">
        <is>
          <t>JCB Work</t>
        </is>
      </c>
      <c r="G511" t="inlineStr">
        <is>
          <t>JCB work 1.25 hrs @ ₹1,000</t>
        </is>
      </c>
      <c r="H511" t="inlineStr">
        <is>
          <t>Mukesh Yadav</t>
        </is>
      </c>
      <c r="I511" t="n">
        <v>1.25</v>
      </c>
      <c r="J511" t="inlineStr">
        <is>
          <t>Hour</t>
        </is>
      </c>
      <c r="K511" t="n">
        <v>1000</v>
      </c>
      <c r="L511">
        <f>IF(OR(I511="",K511=""),"",I511*K511)</f>
        <v/>
      </c>
      <c r="N511">
        <f>M514*L514</f>
        <v/>
      </c>
      <c r="O511">
        <f>IF(L511="","",IF(M511="",L511,L511*(1-M511)))</f>
        <v/>
      </c>
    </row>
    <row r="512">
      <c r="A512" t="n">
        <v>513</v>
      </c>
      <c r="B512" s="127" t="n">
        <v>46208</v>
      </c>
      <c r="C512">
        <f>IF(B512="","",TEXT(B512,"MMM-YYYY"))</f>
        <v/>
      </c>
      <c r="D512" t="inlineStr">
        <is>
          <t>Plinth Phase</t>
        </is>
      </c>
      <c r="E512" t="inlineStr">
        <is>
          <t>Professional Fees</t>
        </is>
      </c>
      <c r="F512" t="inlineStr">
        <is>
          <t>Engineer Supervision</t>
        </is>
      </c>
      <c r="G512" t="inlineStr">
        <is>
          <t>Engineer supervision fee — Jul payment</t>
        </is>
      </c>
      <c r="H512" t="inlineStr">
        <is>
          <t>Econ Builder</t>
        </is>
      </c>
      <c r="I512" t="n">
        <v>1</v>
      </c>
      <c r="J512" t="inlineStr">
        <is>
          <t>Lumpsum</t>
        </is>
      </c>
      <c r="K512" t="n">
        <v>75000</v>
      </c>
      <c r="L512">
        <f>IF(OR(I512="",K512=""),"",I512*K512)</f>
        <v/>
      </c>
      <c r="O512">
        <f>IF(L512="","",IF(M512="",L512,L512*(1-M512)))</f>
        <v/>
      </c>
      <c r="P512" t="inlineStr">
        <is>
          <t>Self</t>
        </is>
      </c>
      <c r="Q512" t="inlineStr">
        <is>
          <t>GPay</t>
        </is>
      </c>
    </row>
    <row r="513">
      <c r="A513" t="n">
        <v>514</v>
      </c>
      <c r="B513" s="127" t="n">
        <v>46208</v>
      </c>
      <c r="C513">
        <f>IF(B513="","",TEXT(B513,"MMM-YYYY"))</f>
        <v/>
      </c>
      <c r="D513" t="inlineStr">
        <is>
          <t>Plinth Phase</t>
        </is>
      </c>
      <c r="E513" t="inlineStr">
        <is>
          <t>Building Materials</t>
        </is>
      </c>
      <c r="F513" t="inlineStr">
        <is>
          <t>Sand</t>
        </is>
      </c>
      <c r="G513" t="inlineStr">
        <is>
          <t>Sand Truck 3 — 944 CFT @ ₹59.85/CFT</t>
        </is>
      </c>
      <c r="H513" t="inlineStr">
        <is>
          <t>Sand Truck Wala</t>
        </is>
      </c>
      <c r="I513" t="n">
        <v>944</v>
      </c>
      <c r="J513" t="inlineStr">
        <is>
          <t>CFT</t>
        </is>
      </c>
      <c r="K513" t="n">
        <v>59.85169491525424</v>
      </c>
      <c r="L513">
        <f>IF(OR(I513="",K513=""),"",I513*K513)</f>
        <v/>
      </c>
      <c r="O513">
        <f>IF(L513="","",IF(M513="",L513,L513*(1-M513)))</f>
        <v/>
      </c>
    </row>
    <row r="514">
      <c r="A514" t="n">
        <v>515</v>
      </c>
      <c r="B514" s="127" t="n">
        <v>46208</v>
      </c>
      <c r="C514">
        <f>IF(B514="","",TEXT(B514,"MMM-YYYY"))</f>
        <v/>
      </c>
      <c r="D514" t="inlineStr">
        <is>
          <t>Plinth Phase</t>
        </is>
      </c>
      <c r="E514" t="inlineStr">
        <is>
          <t>Building Materials</t>
        </is>
      </c>
      <c r="F514" t="inlineStr">
        <is>
          <t>Sand</t>
        </is>
      </c>
      <c r="G514" t="inlineStr">
        <is>
          <t>Sand Truck 4 — 936 CFT @ ₹59.85/CFT</t>
        </is>
      </c>
      <c r="H514" t="inlineStr">
        <is>
          <t>Sand Truck Wala</t>
        </is>
      </c>
      <c r="I514" t="n">
        <v>936</v>
      </c>
      <c r="J514" t="inlineStr">
        <is>
          <t>CFT</t>
        </is>
      </c>
      <c r="K514" t="n">
        <v>59.82905982905983</v>
      </c>
      <c r="L514">
        <f>IF(OR(I514="",K514=""),"",I514*K514)</f>
        <v/>
      </c>
      <c r="O514">
        <f>IF(L514="","",IF(M514="",L514,L514*(1-M514)))</f>
        <v/>
      </c>
      <c r="P514" t="inlineStr">
        <is>
          <t>Self</t>
        </is>
      </c>
      <c r="Q514" t="inlineStr">
        <is>
          <t>GPay</t>
        </is>
      </c>
    </row>
    <row r="515">
      <c r="A515" t="n">
        <v>516</v>
      </c>
      <c r="B515" s="127" t="n">
        <v>46208</v>
      </c>
      <c r="C515">
        <f>IF(B515="","",TEXT(B515,"MMM-YYYY"))</f>
        <v/>
      </c>
      <c r="D515" t="inlineStr">
        <is>
          <t>Plinth Phase</t>
        </is>
      </c>
      <c r="E515" t="inlineStr">
        <is>
          <t>Building Materials</t>
        </is>
      </c>
      <c r="F515" t="inlineStr">
        <is>
          <t>Cement</t>
        </is>
      </c>
      <c r="G515" t="inlineStr">
        <is>
          <t>Ultratech Super Cement 30B @ ₹350</t>
        </is>
      </c>
      <c r="H515" t="inlineStr">
        <is>
          <t>Pappu Hardware</t>
        </is>
      </c>
      <c r="I515" t="n">
        <v>30</v>
      </c>
      <c r="J515" t="inlineStr">
        <is>
          <t>Bag</t>
        </is>
      </c>
      <c r="K515" t="n">
        <v>350</v>
      </c>
      <c r="L515">
        <f>IF(OR(I515="",K515=""),"",I515*K515)</f>
        <v/>
      </c>
      <c r="O515">
        <f>IF(L515="","",IF(M515="",L515,L515*(1-M515)))</f>
        <v/>
      </c>
      <c r="P515" t="inlineStr">
        <is>
          <t>Self</t>
        </is>
      </c>
      <c r="Q515" t="inlineStr">
        <is>
          <t>GPay</t>
        </is>
      </c>
    </row>
    <row r="516">
      <c r="A516" t="n">
        <v>517</v>
      </c>
      <c r="B516" s="127" t="n">
        <v>46208</v>
      </c>
      <c r="C516">
        <f>IF(B516="","",TEXT(B516,"MMM-YYYY"))</f>
        <v/>
      </c>
      <c r="D516" t="inlineStr">
        <is>
          <t>Plinth Phase</t>
        </is>
      </c>
      <c r="E516" t="inlineStr">
        <is>
          <t>Building Materials</t>
        </is>
      </c>
      <c r="F516" t="inlineStr">
        <is>
          <t>Cement</t>
        </is>
      </c>
      <c r="G516" t="inlineStr">
        <is>
          <t>Ultratech Cement (PPC) 30B @ ₹330</t>
        </is>
      </c>
      <c r="H516" t="inlineStr">
        <is>
          <t>Pappu Hardware</t>
        </is>
      </c>
      <c r="I516" t="n">
        <v>30</v>
      </c>
      <c r="J516" t="inlineStr">
        <is>
          <t>Bag</t>
        </is>
      </c>
      <c r="K516" t="n">
        <v>330</v>
      </c>
      <c r="L516">
        <f>IF(OR(I516="",K516=""),"",I516*K516)</f>
        <v/>
      </c>
      <c r="O516">
        <f>IF(L516="","",IF(M516="",L516,L516*(1-M516)))</f>
        <v/>
      </c>
      <c r="P516" t="inlineStr">
        <is>
          <t>Self</t>
        </is>
      </c>
      <c r="Q516" t="inlineStr">
        <is>
          <t>GPay</t>
        </is>
      </c>
    </row>
    <row r="517">
      <c r="A517" t="n">
        <v>518</v>
      </c>
      <c r="B517" s="127" t="n">
        <v>46208</v>
      </c>
      <c r="C517">
        <f>IF(B517="","",TEXT(B517,"MMM-YYYY"))</f>
        <v/>
      </c>
      <c r="D517" t="inlineStr">
        <is>
          <t>Plinth Phase</t>
        </is>
      </c>
      <c r="E517" t="inlineStr">
        <is>
          <t>Steel / Iron</t>
        </is>
      </c>
      <c r="F517" t="inlineStr">
        <is>
          <t>Tiscon 6mm</t>
        </is>
      </c>
      <c r="G517" t="inlineStr">
        <is>
          <t>6mm Tiscon Rod 50 pcs @ ₹228</t>
        </is>
      </c>
      <c r="H517" t="inlineStr">
        <is>
          <t>Pappu Hardware</t>
        </is>
      </c>
      <c r="I517" t="n">
        <v>50</v>
      </c>
      <c r="J517" t="inlineStr">
        <is>
          <t>Pcs</t>
        </is>
      </c>
      <c r="K517" t="n">
        <v>228</v>
      </c>
      <c r="L517">
        <f>IF(OR(I517="",K517=""),"",I517*K517)</f>
        <v/>
      </c>
      <c r="O517">
        <f>IF(L517="","",IF(M517="",L517,L517*(1-M517)))</f>
        <v/>
      </c>
      <c r="P517" t="inlineStr">
        <is>
          <t>Self</t>
        </is>
      </c>
      <c r="Q517" t="inlineStr">
        <is>
          <t>GPay</t>
        </is>
      </c>
    </row>
    <row r="518">
      <c r="A518" t="n">
        <v>519</v>
      </c>
      <c r="B518" s="127" t="n">
        <v>46208</v>
      </c>
      <c r="C518">
        <f>IF(B518="","",TEXT(B518,"MMM-YYYY"))</f>
        <v/>
      </c>
      <c r="D518" t="inlineStr">
        <is>
          <t>Plinth Phase</t>
        </is>
      </c>
      <c r="E518" t="inlineStr">
        <is>
          <t>Building Materials</t>
        </is>
      </c>
      <c r="F518" t="inlineStr">
        <is>
          <t>Concrete/Gitti</t>
        </is>
      </c>
      <c r="G518" t="inlineStr">
        <is>
          <t>Gitti 1 trailer @ ₹7,500</t>
        </is>
      </c>
      <c r="H518" t="inlineStr">
        <is>
          <t>Pappu Hardware</t>
        </is>
      </c>
      <c r="I518" t="n">
        <v>1</v>
      </c>
      <c r="J518" t="inlineStr">
        <is>
          <t>Trailer</t>
        </is>
      </c>
      <c r="K518" t="n">
        <v>7500</v>
      </c>
      <c r="L518">
        <f>IF(OR(I518="",K518=""),"",I518*K518)</f>
        <v/>
      </c>
      <c r="O518">
        <f>IF(L518="","",IF(M518="",L518,L518*(1-M518)))</f>
        <v/>
      </c>
      <c r="P518" t="inlineStr">
        <is>
          <t>Self</t>
        </is>
      </c>
      <c r="Q518" t="inlineStr">
        <is>
          <t>GPay</t>
        </is>
      </c>
    </row>
    <row r="519">
      <c r="A519" t="n">
        <v>520</v>
      </c>
      <c r="B519" s="127" t="n">
        <v>46208</v>
      </c>
      <c r="C519">
        <f>IF(B519="","",TEXT(B519,"MMM-YYYY"))</f>
        <v/>
      </c>
      <c r="D519" t="inlineStr">
        <is>
          <t>Plinth Phase</t>
        </is>
      </c>
      <c r="E519" t="inlineStr">
        <is>
          <t>Building Materials</t>
        </is>
      </c>
      <c r="F519" t="inlineStr">
        <is>
          <t>Chemical</t>
        </is>
      </c>
      <c r="G519" t="inlineStr">
        <is>
          <t>Dr Fixit 10 Litre @ ₹140</t>
        </is>
      </c>
      <c r="H519" t="inlineStr">
        <is>
          <t>Pappu Hardware</t>
        </is>
      </c>
      <c r="I519" t="n">
        <v>10</v>
      </c>
      <c r="J519" t="inlineStr">
        <is>
          <t>Litre</t>
        </is>
      </c>
      <c r="K519" t="n">
        <v>140</v>
      </c>
      <c r="L519">
        <f>IF(OR(I519="",K519=""),"",I519*K519)</f>
        <v/>
      </c>
      <c r="O519">
        <f>IF(L519="","",IF(M519="",L519,L519*(1-M519)))</f>
        <v/>
      </c>
      <c r="P519" t="inlineStr">
        <is>
          <t>Self</t>
        </is>
      </c>
      <c r="Q519" t="inlineStr">
        <is>
          <t>GPay</t>
        </is>
      </c>
    </row>
    <row r="520">
      <c r="A520" t="n">
        <v>521</v>
      </c>
      <c r="B520" s="127" t="n">
        <v>46208</v>
      </c>
      <c r="C520">
        <f>IF(B520="","",TEXT(B520,"MMM-YYYY"))</f>
        <v/>
      </c>
      <c r="D520" t="inlineStr">
        <is>
          <t>Plinth Phase</t>
        </is>
      </c>
      <c r="E520" t="inlineStr">
        <is>
          <t>Labour</t>
        </is>
      </c>
      <c r="F520" t="inlineStr">
        <is>
          <t>Site Labour</t>
        </is>
      </c>
      <c r="G520" t="inlineStr">
        <is>
          <t>Labour/unloading charges</t>
        </is>
      </c>
      <c r="H520" t="inlineStr">
        <is>
          <t>Pappu Hardware</t>
        </is>
      </c>
      <c r="I520" t="n">
        <v>1</v>
      </c>
      <c r="J520" t="inlineStr">
        <is>
          <t>Lumpsum</t>
        </is>
      </c>
      <c r="K520" t="n">
        <v>950</v>
      </c>
      <c r="L520">
        <f>IF(OR(I520="",K520=""),"",I520*K520)</f>
        <v/>
      </c>
      <c r="O520">
        <f>IF(L520="","",IF(M520="",L520,L520*(1-M520)))</f>
        <v/>
      </c>
      <c r="P520" t="inlineStr">
        <is>
          <t>Self</t>
        </is>
      </c>
      <c r="Q520" t="inlineStr">
        <is>
          <t>GPay</t>
        </is>
      </c>
    </row>
    <row r="521">
      <c r="A521" t="n">
        <v>523</v>
      </c>
      <c r="B521" s="127" t="n">
        <v>46220</v>
      </c>
      <c r="C521">
        <f>IF(B521="","",TEXT(B521,"MMM-YYYY"))</f>
        <v/>
      </c>
      <c r="D521" t="inlineStr">
        <is>
          <t>Plinth Phase</t>
        </is>
      </c>
      <c r="E521" t="inlineStr">
        <is>
          <t>Building Materials</t>
        </is>
      </c>
      <c r="F521" t="inlineStr">
        <is>
          <t>Wire</t>
        </is>
      </c>
      <c r="G521" t="inlineStr">
        <is>
          <t>Iron wire 2 Kg @ ₹600/kg</t>
        </is>
      </c>
      <c r="H521" t="inlineStr">
        <is>
          <t>Local Purchase</t>
        </is>
      </c>
      <c r="I521" t="n">
        <v>2</v>
      </c>
      <c r="J521" t="inlineStr">
        <is>
          <t>Kg</t>
        </is>
      </c>
      <c r="K521" t="n">
        <v>600</v>
      </c>
      <c r="L521">
        <f>IF(OR(I521="",K521=""),"",I521*K521)</f>
        <v/>
      </c>
      <c r="O521">
        <f>IF(L521="","",IF(M521="",L521,L521*(1-M521)))</f>
        <v/>
      </c>
      <c r="P521" t="inlineStr">
        <is>
          <t>Papa</t>
        </is>
      </c>
      <c r="Q521" t="inlineStr">
        <is>
          <t>GPay</t>
        </is>
      </c>
    </row>
    <row r="522">
      <c r="A522" t="n">
        <v>524</v>
      </c>
      <c r="B522" s="127" t="n">
        <v>46220</v>
      </c>
      <c r="C522">
        <f>IF(B522="","",TEXT(B522,"MMM-YYYY"))</f>
        <v/>
      </c>
      <c r="D522" t="inlineStr">
        <is>
          <t>Plinth Phase</t>
        </is>
      </c>
      <c r="E522" t="inlineStr">
        <is>
          <t>Transport · Food · Misc</t>
        </is>
      </c>
      <c r="F522" t="inlineStr">
        <is>
          <t>Delivery</t>
        </is>
      </c>
      <c r="G522" t="inlineStr">
        <is>
          <t>Iron wire delivery charges</t>
        </is>
      </c>
      <c r="H522" t="inlineStr">
        <is>
          <t>Local Purchase</t>
        </is>
      </c>
      <c r="I522" t="n">
        <v>1</v>
      </c>
      <c r="J522" t="inlineStr">
        <is>
          <t>Lumpsum</t>
        </is>
      </c>
      <c r="K522" t="n">
        <v>100</v>
      </c>
      <c r="L522">
        <f>IF(OR(I522="",K522=""),"",I522*K522)</f>
        <v/>
      </c>
      <c r="O522">
        <f>IF(L522="","",IF(M522="",L522,L522*(1-M522)))</f>
        <v/>
      </c>
      <c r="P522" t="inlineStr">
        <is>
          <t>Papa</t>
        </is>
      </c>
      <c r="Q522" t="inlineStr">
        <is>
          <t>GPay</t>
        </is>
      </c>
    </row>
    <row r="523">
      <c r="A523" t="n">
        <v>526</v>
      </c>
      <c r="B523" s="128" t="n">
        <v>46205</v>
      </c>
      <c r="C523">
        <f>IF(B523="","",TEXT(B523,"MMM-YYYY"))</f>
        <v/>
      </c>
      <c r="D523" t="inlineStr">
        <is>
          <t>Plinth Phase</t>
        </is>
      </c>
      <c r="E523" t="inlineStr">
        <is>
          <t>Land Development</t>
        </is>
      </c>
      <c r="F523" t="inlineStr">
        <is>
          <t>Mitti Filling</t>
        </is>
      </c>
      <c r="G523" t="inlineStr">
        <is>
          <t>Mitti filling 20 trailers @ ₹600</t>
        </is>
      </c>
      <c r="H523" t="inlineStr">
        <is>
          <t>Mukesh Yadav</t>
        </is>
      </c>
      <c r="I523" t="n">
        <v>20</v>
      </c>
      <c r="J523" t="inlineStr">
        <is>
          <t>Trailer</t>
        </is>
      </c>
      <c r="K523" t="n">
        <v>600</v>
      </c>
      <c r="L523">
        <f>IF(OR(I523="",K523=""),"",I523*K523)</f>
        <v/>
      </c>
      <c r="N523">
        <f>M529*L529</f>
        <v/>
      </c>
      <c r="O523">
        <f>IF(L523="","",IF(M523="",L523,L523*(1-M523)))</f>
        <v/>
      </c>
    </row>
    <row r="524">
      <c r="A524" t="n">
        <v>527</v>
      </c>
      <c r="B524" s="128" t="n">
        <v>46208</v>
      </c>
      <c r="C524">
        <f>IF(B524="","",TEXT(B524,"MMM-YYYY"))</f>
        <v/>
      </c>
      <c r="D524" t="inlineStr">
        <is>
          <t>Plinth Phase</t>
        </is>
      </c>
      <c r="E524" t="inlineStr">
        <is>
          <t>Land Development</t>
        </is>
      </c>
      <c r="F524" t="inlineStr">
        <is>
          <t>JCB Work</t>
        </is>
      </c>
      <c r="G524" t="inlineStr">
        <is>
          <t>JCB work 60 min (1 hr) @ ₹1,000/hr</t>
        </is>
      </c>
      <c r="H524" t="inlineStr">
        <is>
          <t>Mukesh Yadav</t>
        </is>
      </c>
      <c r="I524" t="n">
        <v>1</v>
      </c>
      <c r="J524" t="inlineStr">
        <is>
          <t>Hour</t>
        </is>
      </c>
      <c r="K524" t="n">
        <v>1000</v>
      </c>
      <c r="L524">
        <f>IF(OR(I524="",K524=""),"",I524*K524)</f>
        <v/>
      </c>
      <c r="N524">
        <f>M530*L530</f>
        <v/>
      </c>
      <c r="O524">
        <f>IF(L524="","",IF(M524="",L524,L524*(1-M524)))</f>
        <v/>
      </c>
    </row>
    <row r="525">
      <c r="A525" t="n">
        <v>528</v>
      </c>
      <c r="B525" s="128" t="n">
        <v>46208</v>
      </c>
      <c r="C525">
        <f>IF(B525="","",TEXT(B525,"MMM-YYYY"))</f>
        <v/>
      </c>
      <c r="D525" t="inlineStr">
        <is>
          <t>Plinth Phase</t>
        </is>
      </c>
      <c r="E525" t="inlineStr">
        <is>
          <t>Land Development</t>
        </is>
      </c>
      <c r="F525" t="inlineStr">
        <is>
          <t>Mitti Filling</t>
        </is>
      </c>
      <c r="G525" t="inlineStr">
        <is>
          <t>Mitti filling 24 trailers @ ₹600</t>
        </is>
      </c>
      <c r="H525" t="inlineStr">
        <is>
          <t>Mukesh Yadav</t>
        </is>
      </c>
      <c r="I525" t="n">
        <v>24</v>
      </c>
      <c r="J525" t="inlineStr">
        <is>
          <t>Trailer</t>
        </is>
      </c>
      <c r="K525" t="n">
        <v>600</v>
      </c>
      <c r="L525">
        <f>IF(OR(I525="",K525=""),"",I525*K525)</f>
        <v/>
      </c>
      <c r="N525">
        <f>M531*L531</f>
        <v/>
      </c>
      <c r="O525">
        <f>IF(L525="","",IF(M525="",L525,L525*(1-M525)))</f>
        <v/>
      </c>
    </row>
    <row r="526">
      <c r="A526" t="n">
        <v>529</v>
      </c>
      <c r="B526" s="128" t="n">
        <v>46209</v>
      </c>
      <c r="C526">
        <f>IF(B526="","",TEXT(B526,"MMM-YYYY"))</f>
        <v/>
      </c>
      <c r="D526" t="inlineStr">
        <is>
          <t>Plinth Phase</t>
        </is>
      </c>
      <c r="E526" t="inlineStr">
        <is>
          <t>Land Development</t>
        </is>
      </c>
      <c r="F526" t="inlineStr">
        <is>
          <t>JCB Work</t>
        </is>
      </c>
      <c r="G526" t="inlineStr">
        <is>
          <t>JCB work 60 min (1 hr) @ ₹1,000/hr</t>
        </is>
      </c>
      <c r="H526" t="inlineStr">
        <is>
          <t>Mukesh Yadav</t>
        </is>
      </c>
      <c r="I526" t="n">
        <v>1</v>
      </c>
      <c r="J526" t="inlineStr">
        <is>
          <t>Hour</t>
        </is>
      </c>
      <c r="K526" t="n">
        <v>1000</v>
      </c>
      <c r="L526">
        <f>IF(OR(I526="",K526=""),"",I526*K526)</f>
        <v/>
      </c>
      <c r="N526">
        <f>M532*L532</f>
        <v/>
      </c>
      <c r="O526">
        <f>IF(L526="","",IF(M526="",L526,L526*(1-M526)))</f>
        <v/>
      </c>
    </row>
    <row r="527">
      <c r="A527" t="n">
        <v>530</v>
      </c>
      <c r="B527" s="128" t="n">
        <v>46209</v>
      </c>
      <c r="C527">
        <f>IF(B527="","",TEXT(B527,"MMM-YYYY"))</f>
        <v/>
      </c>
      <c r="D527" t="inlineStr">
        <is>
          <t>Plinth Phase</t>
        </is>
      </c>
      <c r="E527" t="inlineStr">
        <is>
          <t>Land Development</t>
        </is>
      </c>
      <c r="F527" t="inlineStr">
        <is>
          <t>Mitti Filling</t>
        </is>
      </c>
      <c r="G527" t="inlineStr">
        <is>
          <t>Mitti filling 42 trailers @ ₹600</t>
        </is>
      </c>
      <c r="H527" t="inlineStr">
        <is>
          <t>Mukesh Yadav</t>
        </is>
      </c>
      <c r="I527" t="n">
        <v>42</v>
      </c>
      <c r="J527" t="inlineStr">
        <is>
          <t>Trailer</t>
        </is>
      </c>
      <c r="K527" t="n">
        <v>600</v>
      </c>
      <c r="L527">
        <f>IF(OR(I527="",K527=""),"",I527*K527)</f>
        <v/>
      </c>
      <c r="N527">
        <f>M533*L533</f>
        <v/>
      </c>
      <c r="O527">
        <f>IF(L527="","",IF(M527="",L527,L527*(1-M527)))</f>
        <v/>
      </c>
    </row>
    <row r="528">
      <c r="A528" t="n">
        <v>531</v>
      </c>
      <c r="B528" s="128" t="n">
        <v>46210</v>
      </c>
      <c r="C528">
        <f>IF(B528="","",TEXT(B528,"MMM-YYYY"))</f>
        <v/>
      </c>
      <c r="D528" t="inlineStr">
        <is>
          <t>Plinth Phase</t>
        </is>
      </c>
      <c r="E528" t="inlineStr">
        <is>
          <t>Land Development</t>
        </is>
      </c>
      <c r="F528" t="inlineStr">
        <is>
          <t>JCB Work</t>
        </is>
      </c>
      <c r="G528" t="inlineStr">
        <is>
          <t>JCB work 160 min (2h40m) @ ₹1,000/hr</t>
        </is>
      </c>
      <c r="H528" t="inlineStr">
        <is>
          <t>Mukesh Yadav</t>
        </is>
      </c>
      <c r="I528" t="n">
        <v>2.666666666666667</v>
      </c>
      <c r="J528" t="inlineStr">
        <is>
          <t>Hour</t>
        </is>
      </c>
      <c r="K528" t="n">
        <v>1000</v>
      </c>
      <c r="L528">
        <f>IF(OR(I528="",K528=""),"",I528*K528)</f>
        <v/>
      </c>
      <c r="N528">
        <f>M534*L534</f>
        <v/>
      </c>
      <c r="O528">
        <f>IF(L528="","",IF(M528="",L528,L528*(1-M528)))</f>
        <v/>
      </c>
    </row>
    <row r="529">
      <c r="A529" t="n">
        <v>532</v>
      </c>
      <c r="B529" s="128" t="n">
        <v>46217</v>
      </c>
      <c r="C529">
        <f>IF(B529="","",TEXT(B529,"MMM-YYYY"))</f>
        <v/>
      </c>
      <c r="D529" t="inlineStr">
        <is>
          <t>Plinth Phase</t>
        </is>
      </c>
      <c r="E529" t="inlineStr">
        <is>
          <t>Labour</t>
        </is>
      </c>
      <c r="F529" t="inlineStr">
        <is>
          <t>Sand Movement</t>
        </is>
      </c>
      <c r="G529" t="inlineStr">
        <is>
          <t>Sand movement 30 trailers @ ₹200</t>
        </is>
      </c>
      <c r="H529" t="inlineStr">
        <is>
          <t>Mukesh Yadav</t>
        </is>
      </c>
      <c r="I529" t="n">
        <v>30</v>
      </c>
      <c r="J529" t="inlineStr">
        <is>
          <t>Trailer</t>
        </is>
      </c>
      <c r="K529" t="n">
        <v>200</v>
      </c>
      <c r="L529">
        <f>IF(OR(I529="",K529=""),"",I529*K529)</f>
        <v/>
      </c>
      <c r="N529">
        <f>M535*L535</f>
        <v/>
      </c>
      <c r="O529">
        <f>IF(L529="","",IF(M529="",L529,L529*(1-M529)))</f>
        <v/>
      </c>
    </row>
    <row r="530">
      <c r="A530" t="n">
        <v>533</v>
      </c>
      <c r="B530" s="128" t="n">
        <v>46219</v>
      </c>
      <c r="C530">
        <f>IF(B530="","",TEXT(B530,"MMM-YYYY"))</f>
        <v/>
      </c>
      <c r="D530" t="inlineStr">
        <is>
          <t>Plinth Phase</t>
        </is>
      </c>
      <c r="E530" t="inlineStr">
        <is>
          <t>Land Development</t>
        </is>
      </c>
      <c r="F530" t="inlineStr">
        <is>
          <t>JCB Work</t>
        </is>
      </c>
      <c r="G530" t="inlineStr">
        <is>
          <t>JCB work 20 min (0.33 hr) @ ₹1,000/hr</t>
        </is>
      </c>
      <c r="H530" t="inlineStr">
        <is>
          <t>Mukesh Yadav</t>
        </is>
      </c>
      <c r="I530" t="n">
        <v>0.3333333333333333</v>
      </c>
      <c r="J530" t="inlineStr">
        <is>
          <t>Hour</t>
        </is>
      </c>
      <c r="K530" t="n">
        <v>1000</v>
      </c>
      <c r="L530">
        <f>IF(OR(I530="",K530=""),"",I530*K530)</f>
        <v/>
      </c>
      <c r="N530">
        <f>M536*L536</f>
        <v/>
      </c>
      <c r="O530">
        <f>IF(L530="","",IF(M530="",L530,L530*(1-M530)))</f>
        <v/>
      </c>
    </row>
    <row r="531">
      <c r="A531" t="n">
        <v>535</v>
      </c>
      <c r="B531" s="128" t="n">
        <v>46224</v>
      </c>
      <c r="C531">
        <f>IF(B531="","",TEXT(B531,"MMM-YYYY"))</f>
        <v/>
      </c>
      <c r="D531" t="inlineStr">
        <is>
          <t>Plinth Phase</t>
        </is>
      </c>
      <c r="E531" t="inlineStr">
        <is>
          <t>Building Materials</t>
        </is>
      </c>
      <c r="F531" t="inlineStr">
        <is>
          <t>Cement</t>
        </is>
      </c>
      <c r="G531" t="inlineStr">
        <is>
          <t>Ultratech Super Cement 30 bags @ ₹350</t>
        </is>
      </c>
      <c r="H531" t="inlineStr">
        <is>
          <t>Pappu Hardware</t>
        </is>
      </c>
      <c r="I531" t="n">
        <v>30</v>
      </c>
      <c r="J531" t="inlineStr">
        <is>
          <t>Bag</t>
        </is>
      </c>
      <c r="K531" t="n">
        <v>350</v>
      </c>
      <c r="L531">
        <f>IF(OR(I531="",K531=""),"",I531*K531)</f>
        <v/>
      </c>
      <c r="N531">
        <f>M538*L538</f>
        <v/>
      </c>
      <c r="O531">
        <f>IF(L531="","",IF(M531="",L531,L531*(1-M531)))</f>
        <v/>
      </c>
    </row>
    <row r="532">
      <c r="A532" t="n">
        <v>536</v>
      </c>
      <c r="B532" s="128" t="n">
        <v>46224</v>
      </c>
      <c r="C532">
        <f>IF(B532="","",TEXT(B532,"MMM-YYYY"))</f>
        <v/>
      </c>
      <c r="D532" t="inlineStr">
        <is>
          <t>Plinth Phase</t>
        </is>
      </c>
      <c r="E532" t="inlineStr">
        <is>
          <t>Building Materials</t>
        </is>
      </c>
      <c r="F532" t="inlineStr">
        <is>
          <t>Cement</t>
        </is>
      </c>
      <c r="G532" t="inlineStr">
        <is>
          <t>Ultratech Plain Cement 30 bags @ ₹330</t>
        </is>
      </c>
      <c r="H532" t="inlineStr">
        <is>
          <t>Pappu Hardware</t>
        </is>
      </c>
      <c r="I532" t="n">
        <v>30</v>
      </c>
      <c r="J532" t="inlineStr">
        <is>
          <t>Bag</t>
        </is>
      </c>
      <c r="K532" t="n">
        <v>330</v>
      </c>
      <c r="L532">
        <f>IF(OR(I532="",K532=""),"",I532*K532)</f>
        <v/>
      </c>
      <c r="N532">
        <f>M539*L539</f>
        <v/>
      </c>
      <c r="O532">
        <f>IF(L532="","",IF(M532="",L532,L532*(1-M532)))</f>
        <v/>
      </c>
    </row>
    <row r="533">
      <c r="A533" t="n">
        <v>537</v>
      </c>
      <c r="B533" s="128" t="n">
        <v>46224</v>
      </c>
      <c r="C533">
        <f>IF(B533="","",TEXT(B533,"MMM-YYYY"))</f>
        <v/>
      </c>
      <c r="D533" t="inlineStr">
        <is>
          <t>Plinth Phase</t>
        </is>
      </c>
      <c r="E533" t="inlineStr">
        <is>
          <t>Transport · Food · Misc</t>
        </is>
      </c>
      <c r="F533" t="inlineStr">
        <is>
          <t>Transport</t>
        </is>
      </c>
      <c r="G533" t="inlineStr">
        <is>
          <t>Cement freight/transport (Bhada)</t>
        </is>
      </c>
      <c r="H533" t="inlineStr">
        <is>
          <t>Pappu Hardware</t>
        </is>
      </c>
      <c r="I533" t="n">
        <v>1</v>
      </c>
      <c r="J533" t="inlineStr">
        <is>
          <t>Trip</t>
        </is>
      </c>
      <c r="K533" t="n">
        <v>300</v>
      </c>
      <c r="L533">
        <f>IF(OR(I533="",K533=""),"",I533*K533)</f>
        <v/>
      </c>
      <c r="N533">
        <f>M540*L540</f>
        <v/>
      </c>
      <c r="O533">
        <f>IF(L533="","",IF(M533="",L533,L533*(1-M533)))</f>
        <v/>
      </c>
    </row>
    <row r="534">
      <c r="A534" t="n">
        <v>538</v>
      </c>
      <c r="B534" s="128" t="n">
        <v>46224</v>
      </c>
      <c r="C534">
        <f>IF(B534="","",TEXT(B534,"MMM-YYYY"))</f>
        <v/>
      </c>
      <c r="D534" t="inlineStr">
        <is>
          <t>Plinth Phase</t>
        </is>
      </c>
      <c r="E534" t="inlineStr">
        <is>
          <t>Labour</t>
        </is>
      </c>
      <c r="F534" t="inlineStr">
        <is>
          <t>Site Labour</t>
        </is>
      </c>
      <c r="G534" t="inlineStr">
        <is>
          <t>Labour for cement loading/unloading</t>
        </is>
      </c>
      <c r="H534" t="inlineStr">
        <is>
          <t>Pappu Hardware</t>
        </is>
      </c>
      <c r="I534" t="n">
        <v>1</v>
      </c>
      <c r="J534" t="inlineStr">
        <is>
          <t>Service</t>
        </is>
      </c>
      <c r="K534" t="n">
        <v>240</v>
      </c>
      <c r="L534">
        <f>IF(OR(I534="",K534=""),"",I534*K534)</f>
        <v/>
      </c>
      <c r="N534">
        <f>M541*L541</f>
        <v/>
      </c>
      <c r="O534">
        <f>IF(L534="","",IF(M534="",L534,L534*(1-M534)))</f>
        <v/>
      </c>
    </row>
    <row r="535">
      <c r="A535" t="n">
        <v>539</v>
      </c>
      <c r="B535" s="128" t="n">
        <v>46224</v>
      </c>
      <c r="C535">
        <f>IF(B535="","",TEXT(B535,"MMM-YYYY"))</f>
        <v/>
      </c>
      <c r="D535" t="inlineStr">
        <is>
          <t>Plinth Phase</t>
        </is>
      </c>
      <c r="E535" t="inlineStr">
        <is>
          <t>Steel / Iron</t>
        </is>
      </c>
      <c r="F535" t="inlineStr">
        <is>
          <t>Wire</t>
        </is>
      </c>
      <c r="G535" t="inlineStr">
        <is>
          <t>Wire 2 bundles</t>
        </is>
      </c>
      <c r="H535" t="inlineStr">
        <is>
          <t>Pappu Hardware</t>
        </is>
      </c>
      <c r="I535" t="n">
        <v>2</v>
      </c>
      <c r="J535" t="inlineStr">
        <is>
          <t>Bundle</t>
        </is>
      </c>
      <c r="K535" t="n">
        <v>600</v>
      </c>
      <c r="L535">
        <f>IF(OR(I535="",K535=""),"",I535*K535)</f>
        <v/>
      </c>
      <c r="N535">
        <f>M542*L542</f>
        <v/>
      </c>
      <c r="O535">
        <f>IF(L535="","",IF(M535="",L535,L535*(1-M535)))</f>
        <v/>
      </c>
    </row>
    <row r="536">
      <c r="A536" t="n">
        <v>540</v>
      </c>
      <c r="B536" s="128" t="n">
        <v>46224</v>
      </c>
      <c r="C536">
        <f>IF(B536="","",TEXT(B536,"MMM-YYYY"))</f>
        <v/>
      </c>
      <c r="D536" t="inlineStr">
        <is>
          <t>Plinth Phase</t>
        </is>
      </c>
      <c r="E536" t="inlineStr">
        <is>
          <t>Labour</t>
        </is>
      </c>
      <c r="F536" t="inlineStr">
        <is>
          <t>Site Labour</t>
        </is>
      </c>
      <c r="G536" t="inlineStr">
        <is>
          <t>Labour for wire handling</t>
        </is>
      </c>
      <c r="H536" t="inlineStr">
        <is>
          <t>Pappu Hardware</t>
        </is>
      </c>
      <c r="I536" t="n">
        <v>1</v>
      </c>
      <c r="J536" t="inlineStr">
        <is>
          <t>Service</t>
        </is>
      </c>
      <c r="K536" t="n">
        <v>100</v>
      </c>
      <c r="L536">
        <f>IF(OR(I536="",K536=""),"",I536*K536)</f>
        <v/>
      </c>
      <c r="N536">
        <f>M543*L543</f>
        <v/>
      </c>
      <c r="O536">
        <f>IF(L536="","",IF(M536="",L536,L536*(1-M536)))</f>
        <v/>
      </c>
    </row>
    <row r="537">
      <c r="A537" t="n">
        <v>541</v>
      </c>
      <c r="B537" s="128" t="n">
        <v>46208</v>
      </c>
      <c r="C537">
        <f>IF(B537="","",TEXT(B537,"MMM-YYYY"))</f>
        <v/>
      </c>
      <c r="D537" t="inlineStr">
        <is>
          <t>Plinth Phase</t>
        </is>
      </c>
      <c r="E537" t="inlineStr">
        <is>
          <t>Labour</t>
        </is>
      </c>
      <c r="F537" t="inlineStr">
        <is>
          <t>Daily Labour-Mitti Bharai</t>
        </is>
      </c>
      <c r="G537" t="inlineStr">
        <is>
          <t>Mitti bharai additional labour</t>
        </is>
      </c>
      <c r="H537" t="inlineStr">
        <is>
          <t>Daily Labour</t>
        </is>
      </c>
      <c r="I537" t="n">
        <v>1</v>
      </c>
      <c r="J537" t="inlineStr">
        <is>
          <t>Service</t>
        </is>
      </c>
      <c r="K537" t="n">
        <v>25000</v>
      </c>
      <c r="L537">
        <f>IF(OR(I537="",K537=""),"",I537*K537)</f>
        <v/>
      </c>
      <c r="N537">
        <f>M544*L544</f>
        <v/>
      </c>
      <c r="O537">
        <f>IF(L537="","",IF(M537="",L537,L537*(1-M537)))</f>
        <v/>
      </c>
    </row>
    <row r="538">
      <c r="A538" t="n">
        <v>542</v>
      </c>
      <c r="B538" s="128" t="n">
        <v>46223</v>
      </c>
      <c r="C538">
        <f>IF(B538="","",TEXT(B538,"MMM-YYYY"))</f>
        <v/>
      </c>
      <c r="D538" t="inlineStr">
        <is>
          <t>Plinth Phase</t>
        </is>
      </c>
      <c r="E538" t="inlineStr">
        <is>
          <t>Labour</t>
        </is>
      </c>
      <c r="F538" t="inlineStr">
        <is>
          <t>Daily Labour-Mitti Bharai</t>
        </is>
      </c>
      <c r="G538" t="inlineStr">
        <is>
          <t>Mitti bharai additional labour</t>
        </is>
      </c>
      <c r="H538" t="inlineStr">
        <is>
          <t>Daily Labour</t>
        </is>
      </c>
      <c r="I538" t="n">
        <v>1</v>
      </c>
      <c r="J538" t="inlineStr">
        <is>
          <t>Service</t>
        </is>
      </c>
      <c r="K538" t="n">
        <v>22875</v>
      </c>
      <c r="L538">
        <f>IF(OR(I538="",K538=""),"",I538*K538)</f>
        <v/>
      </c>
      <c r="N538">
        <f>M545*L545</f>
        <v/>
      </c>
      <c r="O538">
        <f>IF(L538="","",IF(M538="",L538,L538*(1-M538)))</f>
        <v/>
      </c>
    </row>
    <row r="539">
      <c r="A539" t="n">
        <v>543</v>
      </c>
      <c r="B539" s="128" t="n">
        <v>46223</v>
      </c>
      <c r="C539">
        <f>IF(B539="","",TEXT(B539,"MMM-YYYY"))</f>
        <v/>
      </c>
      <c r="D539" t="inlineStr">
        <is>
          <t>Plinth Phase</t>
        </is>
      </c>
      <c r="E539" t="inlineStr">
        <is>
          <t>Transport · Food · Misc</t>
        </is>
      </c>
      <c r="F539" t="inlineStr">
        <is>
          <t>Food/Ration</t>
        </is>
      </c>
      <c r="G539" t="inlineStr">
        <is>
          <t>Food and miscellaneous provisions</t>
        </is>
      </c>
      <c r="H539" t="inlineStr">
        <is>
          <t>Local Purchase</t>
        </is>
      </c>
      <c r="I539" t="n">
        <v>1</v>
      </c>
      <c r="J539" t="inlineStr">
        <is>
          <t>Service</t>
        </is>
      </c>
      <c r="K539" t="n">
        <v>55768</v>
      </c>
      <c r="L539">
        <f>IF(OR(I539="",K539=""),"",I539*K539)</f>
        <v/>
      </c>
      <c r="N539">
        <f>M546*L546</f>
        <v/>
      </c>
      <c r="O539">
        <f>IF(L539="","",IF(M539="",L539,L539*(1-M539)))</f>
        <v/>
      </c>
    </row>
    <row r="540">
      <c r="A540" t="n">
        <v>541</v>
      </c>
      <c r="B540" s="128" t="n">
        <v>46225</v>
      </c>
      <c r="C540">
        <f>IF(B540="","",TEXT(B540,"MMM-YYYY"))</f>
        <v/>
      </c>
      <c r="D540" t="inlineStr">
        <is>
          <t>Plinth Phase</t>
        </is>
      </c>
      <c r="E540" t="inlineStr">
        <is>
          <t>Building Materials</t>
        </is>
      </c>
      <c r="F540" t="inlineStr">
        <is>
          <t>Bricks</t>
        </is>
      </c>
      <c r="G540" t="inlineStr">
        <is>
          <t>Brick delivery — tractor 14-20 (10,500 bricks @ ₹8.5)</t>
        </is>
      </c>
      <c r="H540" t="inlineStr">
        <is>
          <t>Brick Company</t>
        </is>
      </c>
      <c r="I540" t="n">
        <v>10500</v>
      </c>
      <c r="J540" t="inlineStr">
        <is>
          <t>pcs</t>
        </is>
      </c>
      <c r="K540" t="n">
        <v>8.5</v>
      </c>
      <c r="L540">
        <f>IF(OR(I540="",K540=""),"",I540*K540)</f>
        <v/>
      </c>
      <c r="N540">
        <f>M547*L547</f>
        <v/>
      </c>
      <c r="O540">
        <f>IF(L540="","",IF(M540="",L540,L540*(1-M540)))</f>
        <v/>
      </c>
    </row>
    <row r="541">
      <c r="A541" t="n">
        <v>542</v>
      </c>
      <c r="B541" s="128" t="n">
        <v>46224</v>
      </c>
      <c r="C541">
        <f>IF(B541="","",TEXT(B541,"MMM-YYYY"))</f>
        <v/>
      </c>
      <c r="D541" t="inlineStr">
        <is>
          <t>Plinth Phase</t>
        </is>
      </c>
      <c r="E541" t="inlineStr">
        <is>
          <t>Building Materials</t>
        </is>
      </c>
      <c r="F541" t="inlineStr">
        <is>
          <t>Concrete/Gitti</t>
        </is>
      </c>
      <c r="G541" t="inlineStr">
        <is>
          <t>Gitti/Concrete 41.48 MT @ ₹2,300/MT</t>
        </is>
      </c>
      <c r="H541" t="inlineStr">
        <is>
          <t>Concrete Supplier</t>
        </is>
      </c>
      <c r="I541" t="n">
        <v>41.48</v>
      </c>
      <c r="J541" t="inlineStr">
        <is>
          <t>MT</t>
        </is>
      </c>
      <c r="K541" t="n">
        <v>2300</v>
      </c>
      <c r="L541">
        <f>IF(OR(I541="",K541=""),"",I541*K541)</f>
        <v/>
      </c>
      <c r="N541">
        <f>M548*L548</f>
        <v/>
      </c>
      <c r="O541">
        <f>IF(L541="","",IF(M541="",L541,L541*(1-M541)))</f>
        <v/>
      </c>
    </row>
    <row r="542">
      <c r="A542" t="n">
        <v>543</v>
      </c>
      <c r="B542" s="128" t="n">
        <v>46224</v>
      </c>
      <c r="C542">
        <f>IF(B542="","",TEXT(B542,"MMM-YYYY"))</f>
        <v/>
      </c>
      <c r="D542" t="inlineStr">
        <is>
          <t>Plinth Phase</t>
        </is>
      </c>
      <c r="E542" t="inlineStr">
        <is>
          <t>Labour</t>
        </is>
      </c>
      <c r="F542" t="inlineStr">
        <is>
          <t>Site Labour</t>
        </is>
      </c>
      <c r="G542" t="inlineStr">
        <is>
          <t>Labour for gitti/concrete loading</t>
        </is>
      </c>
      <c r="H542" t="inlineStr">
        <is>
          <t>Concrete Supplier</t>
        </is>
      </c>
      <c r="I542" t="n">
        <v>1</v>
      </c>
      <c r="J542" t="inlineStr">
        <is>
          <t>Service</t>
        </is>
      </c>
      <c r="K542" t="n">
        <v>200</v>
      </c>
      <c r="L542">
        <f>IF(OR(I542="",K542=""),"",I542*K542)</f>
        <v/>
      </c>
      <c r="N542">
        <f>M549*L549</f>
        <v/>
      </c>
      <c r="O542">
        <f>IF(L542="","",IF(M542="",L542,L542*(1-M542)))</f>
        <v/>
      </c>
    </row>
    <row r="543">
      <c r="A543" t="n">
        <v>545</v>
      </c>
      <c r="B543" s="128" t="n">
        <v>46225</v>
      </c>
      <c r="C543">
        <f>IF(B543="","",TEXT(B543,"MMM-YYYY"))</f>
        <v/>
      </c>
      <c r="D543" t="inlineStr">
        <is>
          <t>Plinth Phase</t>
        </is>
      </c>
      <c r="E543" t="inlineStr">
        <is>
          <t>Building Materials</t>
        </is>
      </c>
      <c r="F543" t="inlineStr">
        <is>
          <t>Cement</t>
        </is>
      </c>
      <c r="G543" t="inlineStr">
        <is>
          <t>Ultratech Super Cement 20 bags @ ₹330</t>
        </is>
      </c>
      <c r="H543" t="inlineStr">
        <is>
          <t>Pappu Hardware</t>
        </is>
      </c>
      <c r="I543" t="n">
        <v>20</v>
      </c>
      <c r="J543" t="inlineStr">
        <is>
          <t>Bag</t>
        </is>
      </c>
      <c r="K543" t="n">
        <v>330</v>
      </c>
      <c r="L543">
        <f>IF(OR(I543="",K543=""),"",I543*K543)</f>
        <v/>
      </c>
      <c r="N543">
        <f>M551*L551</f>
        <v/>
      </c>
      <c r="O543">
        <f>IF(L543="","",IF(M543="",L543,L543*(1-M543)))</f>
        <v/>
      </c>
    </row>
    <row r="544">
      <c r="A544" t="n">
        <v>546</v>
      </c>
      <c r="B544" s="128" t="n">
        <v>46225</v>
      </c>
      <c r="C544">
        <f>IF(B544="","",TEXT(B544,"MMM-YYYY"))</f>
        <v/>
      </c>
      <c r="D544" t="inlineStr">
        <is>
          <t>Plinth Phase</t>
        </is>
      </c>
      <c r="E544" t="inlineStr">
        <is>
          <t>Labour</t>
        </is>
      </c>
      <c r="F544" t="inlineStr">
        <is>
          <t>Site Labour</t>
        </is>
      </c>
      <c r="G544" t="inlineStr">
        <is>
          <t>Labour for cement handling/loading</t>
        </is>
      </c>
      <c r="H544" t="inlineStr">
        <is>
          <t>Pappu Hardware</t>
        </is>
      </c>
      <c r="I544" t="n">
        <v>1</v>
      </c>
      <c r="J544" t="inlineStr">
        <is>
          <t>Service</t>
        </is>
      </c>
      <c r="K544" t="n">
        <v>400</v>
      </c>
      <c r="L544">
        <f>IF(OR(I544="",K544=""),"",I544*K544)</f>
        <v/>
      </c>
      <c r="N544">
        <f>M552*L552</f>
        <v/>
      </c>
      <c r="O544">
        <f>IF(L544="","",IF(M544="",L544,L544*(1-M544)))</f>
        <v/>
      </c>
    </row>
    <row r="545">
      <c r="A545" t="n">
        <v>548</v>
      </c>
      <c r="B545" s="128" t="n">
        <v>46241</v>
      </c>
      <c r="C545">
        <f>IF(B545="","",TEXT(B545,"MMM-YYYY"))</f>
        <v/>
      </c>
      <c r="D545" t="inlineStr">
        <is>
          <t>Plinth Phase</t>
        </is>
      </c>
      <c r="E545" t="inlineStr">
        <is>
          <t>Building Materials</t>
        </is>
      </c>
      <c r="F545" t="inlineStr">
        <is>
          <t>Cement</t>
        </is>
      </c>
      <c r="G545" t="inlineStr">
        <is>
          <t>Ultratech Super cement 25 bags @ ₹350</t>
        </is>
      </c>
      <c r="H545" t="inlineStr">
        <is>
          <t>Pappu Hardware</t>
        </is>
      </c>
      <c r="I545" t="n">
        <v>25</v>
      </c>
      <c r="J545" t="inlineStr">
        <is>
          <t>Bag</t>
        </is>
      </c>
      <c r="K545" t="n">
        <v>350</v>
      </c>
      <c r="L545">
        <f>IF(OR(I545="",K545=""),"",I545*K545)</f>
        <v/>
      </c>
      <c r="N545">
        <f>M554*L554</f>
        <v/>
      </c>
      <c r="O545">
        <f>IF(L545="","",IF(M545="",L545,L545*(1-M545)))</f>
        <v/>
      </c>
    </row>
    <row r="546">
      <c r="A546" t="n">
        <v>549</v>
      </c>
      <c r="B546" s="128" t="n">
        <v>46241</v>
      </c>
      <c r="C546">
        <f>IF(B546="","",TEXT(B546,"MMM-YYYY"))</f>
        <v/>
      </c>
      <c r="D546" t="inlineStr">
        <is>
          <t>Plinth Phase</t>
        </is>
      </c>
      <c r="E546" t="inlineStr">
        <is>
          <t>Steel / Iron</t>
        </is>
      </c>
      <c r="F546" t="inlineStr">
        <is>
          <t>Tiscon 10mm</t>
        </is>
      </c>
      <c r="G546" t="inlineStr">
        <is>
          <t>10mm Tata Tiscon Rod 50 pcs @ ₹590 (4% disc)</t>
        </is>
      </c>
      <c r="H546" t="inlineStr">
        <is>
          <t>Pappu Hardware</t>
        </is>
      </c>
      <c r="I546" t="n">
        <v>50</v>
      </c>
      <c r="J546" t="inlineStr">
        <is>
          <t>pcs</t>
        </is>
      </c>
      <c r="K546" t="n">
        <v>566.4</v>
      </c>
      <c r="L546">
        <f>IF(OR(I546="",K546=""),"",I546*K546)</f>
        <v/>
      </c>
      <c r="N546">
        <f>M555*L555</f>
        <v/>
      </c>
      <c r="O546">
        <f>IF(L546="","",IF(M546="",L546,L546*(1-M546)))</f>
        <v/>
      </c>
    </row>
    <row r="547">
      <c r="A547" t="n">
        <v>550</v>
      </c>
      <c r="B547" s="128" t="n">
        <v>46241</v>
      </c>
      <c r="C547">
        <f>IF(B547="","",TEXT(B547,"MMM-YYYY"))</f>
        <v/>
      </c>
      <c r="D547" t="inlineStr">
        <is>
          <t>Plinth Phase</t>
        </is>
      </c>
      <c r="E547" t="inlineStr">
        <is>
          <t>Steel / Iron</t>
        </is>
      </c>
      <c r="F547" t="inlineStr">
        <is>
          <t>Tiscon 6mm</t>
        </is>
      </c>
      <c r="G547" t="inlineStr">
        <is>
          <t>6mm Tata Tiscon Rod 40 pcs @ ₹228</t>
        </is>
      </c>
      <c r="H547" t="inlineStr">
        <is>
          <t>Pappu Hardware</t>
        </is>
      </c>
      <c r="I547" t="n">
        <v>40</v>
      </c>
      <c r="J547" t="inlineStr">
        <is>
          <t>pcs</t>
        </is>
      </c>
      <c r="K547" t="n">
        <v>228</v>
      </c>
      <c r="L547">
        <f>IF(OR(I547="",K547=""),"",I547*K547)</f>
        <v/>
      </c>
      <c r="N547">
        <f>M556*L556</f>
        <v/>
      </c>
      <c r="O547">
        <f>IF(L547="","",IF(M547="",L547,L547*(1-M547)))</f>
        <v/>
      </c>
    </row>
    <row r="548">
      <c r="A548" t="n">
        <v>551</v>
      </c>
      <c r="B548" s="128" t="n">
        <v>46241</v>
      </c>
      <c r="C548">
        <f>IF(B548="","",TEXT(B548,"MMM-YYYY"))</f>
        <v/>
      </c>
      <c r="D548" t="inlineStr">
        <is>
          <t>Plinth Phase</t>
        </is>
      </c>
      <c r="E548" t="inlineStr">
        <is>
          <t>Steel / Iron</t>
        </is>
      </c>
      <c r="F548" t="inlineStr">
        <is>
          <t>Wire</t>
        </is>
      </c>
      <c r="G548" t="inlineStr">
        <is>
          <t>Tata soft wire 10 Kg @ ₹110</t>
        </is>
      </c>
      <c r="H548" t="inlineStr">
        <is>
          <t>Pappu Hardware</t>
        </is>
      </c>
      <c r="I548" t="n">
        <v>10</v>
      </c>
      <c r="J548" t="inlineStr">
        <is>
          <t>Kg</t>
        </is>
      </c>
      <c r="K548" t="n">
        <v>110</v>
      </c>
      <c r="L548">
        <f>IF(OR(I548="",K548=""),"",I548*K548)</f>
        <v/>
      </c>
      <c r="N548">
        <f>M557*L557</f>
        <v/>
      </c>
      <c r="O548">
        <f>IF(L548="","",IF(M548="",L548,L548*(1-M548)))</f>
        <v/>
      </c>
    </row>
    <row r="549">
      <c r="A549" t="n">
        <v>552</v>
      </c>
      <c r="B549" s="128" t="n">
        <v>46241</v>
      </c>
      <c r="C549">
        <f>IF(B549="","",TEXT(B549,"MMM-YYYY"))</f>
        <v/>
      </c>
      <c r="D549" t="inlineStr">
        <is>
          <t>Plinth Phase</t>
        </is>
      </c>
      <c r="E549" t="inlineStr">
        <is>
          <t>Labour</t>
        </is>
      </c>
      <c r="F549" t="inlineStr">
        <is>
          <t>Site Labour</t>
        </is>
      </c>
      <c r="G549" t="inlineStr">
        <is>
          <t>Labour for loading/handling</t>
        </is>
      </c>
      <c r="H549" t="inlineStr">
        <is>
          <t>Pappu Hardware</t>
        </is>
      </c>
      <c r="I549" t="n">
        <v>1</v>
      </c>
      <c r="J549" t="inlineStr">
        <is>
          <t>Service</t>
        </is>
      </c>
      <c r="K549" t="n">
        <v>450</v>
      </c>
      <c r="L549">
        <f>IF(OR(I549="",K549=""),"",I549*K549)</f>
        <v/>
      </c>
      <c r="N549">
        <f>M558*L558</f>
        <v/>
      </c>
      <c r="O549">
        <f>IF(L549="","",IF(M549="",L549,L549*(1-M549)))</f>
        <v/>
      </c>
    </row>
    <row r="550">
      <c r="A550" t="n">
        <v>558</v>
      </c>
      <c r="B550" s="128" t="n">
        <v>46256</v>
      </c>
      <c r="C550">
        <f>IF(B550="","",TEXT(B550,"MMM-YYYY"))</f>
        <v/>
      </c>
      <c r="D550" t="inlineStr">
        <is>
          <t>Plinth Phase</t>
        </is>
      </c>
      <c r="E550" t="inlineStr">
        <is>
          <t>Building Materials</t>
        </is>
      </c>
      <c r="F550" t="inlineStr">
        <is>
          <t>Bricks</t>
        </is>
      </c>
      <c r="G550" t="inlineStr">
        <is>
          <t>Brick delivery — tractor 21-27 (10,500 bricks @ ₹8.5)</t>
        </is>
      </c>
      <c r="H550" t="inlineStr">
        <is>
          <t>Brick Company</t>
        </is>
      </c>
      <c r="I550" t="n">
        <v>10500</v>
      </c>
      <c r="J550" t="inlineStr">
        <is>
          <t>pcs</t>
        </is>
      </c>
      <c r="K550" t="n">
        <v>8.5</v>
      </c>
      <c r="L550">
        <f>IF(OR(I550="",K550=""),"",I550*K550)</f>
        <v/>
      </c>
      <c r="N550">
        <f>M564*L564</f>
        <v/>
      </c>
      <c r="O550">
        <f>IF(L550="","",IF(M550="",L550,L550*(1-M550)))</f>
        <v/>
      </c>
    </row>
    <row r="551">
      <c r="A551" t="n">
        <v>559</v>
      </c>
      <c r="B551" s="128" t="n">
        <v>46258</v>
      </c>
      <c r="C551">
        <f>IF(B551="","",TEXT(B551,"MMM-YYYY"))</f>
        <v/>
      </c>
      <c r="D551" t="inlineStr">
        <is>
          <t>Plinth Phase</t>
        </is>
      </c>
      <c r="E551" t="inlineStr">
        <is>
          <t>Building Materials</t>
        </is>
      </c>
      <c r="F551" t="inlineStr">
        <is>
          <t>Cement</t>
        </is>
      </c>
      <c r="G551" t="inlineStr">
        <is>
          <t>Ultratech Super cement 30 bags @ ₹340</t>
        </is>
      </c>
      <c r="H551" t="inlineStr">
        <is>
          <t>Pappu Hardware</t>
        </is>
      </c>
      <c r="I551" t="n">
        <v>30</v>
      </c>
      <c r="J551" t="inlineStr">
        <is>
          <t>Bag</t>
        </is>
      </c>
      <c r="K551" t="n">
        <v>340</v>
      </c>
      <c r="L551">
        <f>IF(OR(I551="",K551=""),"",I551*K551)</f>
        <v/>
      </c>
      <c r="N551">
        <f>M565*L565</f>
        <v/>
      </c>
      <c r="O551">
        <f>IF(L551="","",IF(M551="",L551,L551*(1-M551)))</f>
        <v/>
      </c>
    </row>
    <row r="552">
      <c r="A552" t="n">
        <v>560</v>
      </c>
      <c r="B552" s="128" t="n">
        <v>46258</v>
      </c>
      <c r="C552">
        <f>IF(B552="","",TEXT(B552,"MMM-YYYY"))</f>
        <v/>
      </c>
      <c r="D552" t="inlineStr">
        <is>
          <t>Plinth Phase</t>
        </is>
      </c>
      <c r="E552" t="inlineStr">
        <is>
          <t>Building Materials</t>
        </is>
      </c>
      <c r="F552" t="inlineStr">
        <is>
          <t>Cement</t>
        </is>
      </c>
      <c r="G552" t="inlineStr">
        <is>
          <t>Ultratech Plain cement 20 bags @ ₹320</t>
        </is>
      </c>
      <c r="H552" t="inlineStr">
        <is>
          <t>Pappu Hardware</t>
        </is>
      </c>
      <c r="I552" t="n">
        <v>20</v>
      </c>
      <c r="J552" t="inlineStr">
        <is>
          <t>Bag</t>
        </is>
      </c>
      <c r="K552" t="n">
        <v>320</v>
      </c>
      <c r="L552">
        <f>IF(OR(I552="",K552=""),"",I552*K552)</f>
        <v/>
      </c>
      <c r="N552">
        <f>M566*L566</f>
        <v/>
      </c>
      <c r="O552">
        <f>IF(L552="","",IF(M552="",L552,L552*(1-M552)))</f>
        <v/>
      </c>
    </row>
    <row r="553">
      <c r="A553" t="n">
        <v>561</v>
      </c>
      <c r="B553" s="128" t="n">
        <v>46258</v>
      </c>
      <c r="C553">
        <f>IF(B553="","",TEXT(B553,"MMM-YYYY"))</f>
        <v/>
      </c>
      <c r="D553" t="inlineStr">
        <is>
          <t>Plinth Phase</t>
        </is>
      </c>
      <c r="E553" t="inlineStr">
        <is>
          <t>Labour</t>
        </is>
      </c>
      <c r="F553" t="inlineStr">
        <is>
          <t>Site Labour</t>
        </is>
      </c>
      <c r="G553" t="inlineStr">
        <is>
          <t>Labour</t>
        </is>
      </c>
      <c r="H553" t="inlineStr">
        <is>
          <t>Pappu Hardware</t>
        </is>
      </c>
      <c r="I553" t="n">
        <v>1</v>
      </c>
      <c r="J553" t="inlineStr">
        <is>
          <t>Service</t>
        </is>
      </c>
      <c r="K553" t="n">
        <v>500</v>
      </c>
      <c r="L553">
        <f>IF(OR(I553="",K553=""),"",I553*K553)</f>
        <v/>
      </c>
      <c r="N553">
        <f>M567*L567</f>
        <v/>
      </c>
      <c r="O553">
        <f>IF(L553="","",IF(M553="",L553,L553*(1-M553)))</f>
        <v/>
      </c>
    </row>
    <row r="554">
      <c r="A554" t="n">
        <v>562</v>
      </c>
      <c r="B554" s="128" t="n">
        <v>46257</v>
      </c>
      <c r="C554">
        <f>IF(B554="","",TEXT(B554,"MMM-YYYY"))</f>
        <v/>
      </c>
      <c r="D554" t="inlineStr">
        <is>
          <t>Plinth Phase</t>
        </is>
      </c>
      <c r="E554" t="inlineStr">
        <is>
          <t>Building Materials</t>
        </is>
      </c>
      <c r="F554" t="inlineStr">
        <is>
          <t>Bricks</t>
        </is>
      </c>
      <c r="G554" t="inlineStr">
        <is>
          <t>Brick delivery — tractor 28-29 (3,000 bricks @ ₹8.5)</t>
        </is>
      </c>
      <c r="H554" t="inlineStr">
        <is>
          <t>Brick Company</t>
        </is>
      </c>
      <c r="I554" t="n">
        <v>3000</v>
      </c>
      <c r="J554" t="inlineStr">
        <is>
          <t>pcs</t>
        </is>
      </c>
      <c r="K554" t="n">
        <v>8.5</v>
      </c>
      <c r="L554">
        <f>IF(OR(I554="",K554=""),"",I554*K554)</f>
        <v/>
      </c>
      <c r="N554">
        <f>M568*L568</f>
        <v/>
      </c>
      <c r="O554">
        <f>IF(L554="","",IF(M554="",L554,L554*(1-M554)))</f>
        <v/>
      </c>
    </row>
    <row r="555">
      <c r="A555" t="n">
        <v>563</v>
      </c>
      <c r="B555" s="128" t="n">
        <v>46270</v>
      </c>
      <c r="C555">
        <f>IF(B555="","",TEXT(B555,"MMM-YYYY"))</f>
        <v/>
      </c>
      <c r="D555" t="inlineStr">
        <is>
          <t>Plinth Phase</t>
        </is>
      </c>
      <c r="E555" t="inlineStr">
        <is>
          <t>Building Materials</t>
        </is>
      </c>
      <c r="F555" t="inlineStr">
        <is>
          <t>Cement</t>
        </is>
      </c>
      <c r="G555" t="inlineStr">
        <is>
          <t>Ultratech Super cement 12 bags @ ₹340</t>
        </is>
      </c>
      <c r="H555" t="inlineStr">
        <is>
          <t>Pappu Hardware</t>
        </is>
      </c>
      <c r="I555" t="n">
        <v>12</v>
      </c>
      <c r="J555" t="inlineStr">
        <is>
          <t>Bag</t>
        </is>
      </c>
      <c r="K555" t="n">
        <v>340</v>
      </c>
      <c r="L555">
        <f>IF(OR(I555="",K555=""),"",I555*K555)</f>
        <v/>
      </c>
      <c r="N555">
        <f>M569*L569</f>
        <v/>
      </c>
      <c r="O555">
        <f>IF(L555="","",IF(M555="",L555,L555*(1-M555)))</f>
        <v/>
      </c>
    </row>
    <row r="556">
      <c r="A556" t="n">
        <v>564</v>
      </c>
      <c r="B556" s="128" t="n">
        <v>46270</v>
      </c>
      <c r="C556">
        <f>IF(B556="","",TEXT(B556,"MMM-YYYY"))</f>
        <v/>
      </c>
      <c r="D556" t="inlineStr">
        <is>
          <t>Plinth Phase</t>
        </is>
      </c>
      <c r="E556" t="inlineStr">
        <is>
          <t>Building Materials</t>
        </is>
      </c>
      <c r="F556" t="inlineStr">
        <is>
          <t>Cement</t>
        </is>
      </c>
      <c r="G556" t="inlineStr">
        <is>
          <t>Ultratech Plain cement 24 bags @ ₹320</t>
        </is>
      </c>
      <c r="H556" t="inlineStr">
        <is>
          <t>Pappu Hardware</t>
        </is>
      </c>
      <c r="I556" t="n">
        <v>24</v>
      </c>
      <c r="J556" t="inlineStr">
        <is>
          <t>Bag</t>
        </is>
      </c>
      <c r="K556" t="n">
        <v>320</v>
      </c>
      <c r="L556">
        <f>IF(OR(I556="",K556=""),"",I556*K556)</f>
        <v/>
      </c>
      <c r="N556">
        <f>M570*L570</f>
        <v/>
      </c>
      <c r="O556">
        <f>IF(L556="","",IF(M556="",L556,L556*(1-M556)))</f>
        <v/>
      </c>
    </row>
    <row r="557">
      <c r="A557" t="n">
        <v>565</v>
      </c>
      <c r="B557" s="128" t="n">
        <v>46270</v>
      </c>
      <c r="C557">
        <f>IF(B557="","",TEXT(B557,"MMM-YYYY"))</f>
        <v/>
      </c>
      <c r="D557" t="inlineStr">
        <is>
          <t>Plinth Phase</t>
        </is>
      </c>
      <c r="E557" t="inlineStr">
        <is>
          <t>Building Materials</t>
        </is>
      </c>
      <c r="F557" t="inlineStr">
        <is>
          <t>Material Transport</t>
        </is>
      </c>
      <c r="G557" t="inlineStr">
        <is>
          <t>Cement transportation</t>
        </is>
      </c>
      <c r="H557" t="inlineStr">
        <is>
          <t>Pappu Hardware</t>
        </is>
      </c>
      <c r="I557" t="n">
        <v>1</v>
      </c>
      <c r="J557" t="inlineStr">
        <is>
          <t>Trip</t>
        </is>
      </c>
      <c r="K557" t="n">
        <v>450</v>
      </c>
      <c r="L557">
        <f>IF(OR(I557="",K557=""),"",I557*K557)</f>
        <v/>
      </c>
      <c r="N557">
        <f>M571*L571</f>
        <v/>
      </c>
      <c r="O557">
        <f>IF(L557="","",IF(M557="",L557,L557*(1-M557)))</f>
        <v/>
      </c>
    </row>
    <row r="558">
      <c r="A558" t="n">
        <v>566</v>
      </c>
      <c r="B558" s="128" t="n">
        <v>46277</v>
      </c>
      <c r="C558">
        <f>IF(B558="","",TEXT(B558,"MMM-YYYY"))</f>
        <v/>
      </c>
      <c r="D558" t="inlineStr">
        <is>
          <t>Plinth Phase</t>
        </is>
      </c>
      <c r="E558" t="inlineStr">
        <is>
          <t>Professional Fees</t>
        </is>
      </c>
      <c r="F558" t="inlineStr">
        <is>
          <t>Engineer Supervision</t>
        </is>
      </c>
      <c r="G558" t="inlineStr">
        <is>
          <t>Construction work done — general site supervision &amp; labour (Sep)</t>
        </is>
      </c>
      <c r="H558" t="inlineStr">
        <is>
          <t>Econ Builder</t>
        </is>
      </c>
      <c r="I558" t="n">
        <v>1</v>
      </c>
      <c r="J558" t="inlineStr">
        <is>
          <t>Lumpsum</t>
        </is>
      </c>
      <c r="K558" t="n">
        <v>100000</v>
      </c>
      <c r="L558">
        <f>IF(OR(I558="",K558=""),"",I558*K558)</f>
        <v/>
      </c>
      <c r="N558">
        <f>M572*L572</f>
        <v/>
      </c>
      <c r="O558">
        <f>IF(L558="","",IF(M558="",L558,L558*(1-M558)))</f>
        <v/>
      </c>
    </row>
    <row r="559">
      <c r="A559" t="n">
        <v>567</v>
      </c>
      <c r="B559" s="128" t="n">
        <v>46167</v>
      </c>
      <c r="C559">
        <f>IF(B559="","",TEXT(B559,"MMM-YYYY"))</f>
        <v/>
      </c>
      <c r="D559" t="inlineStr">
        <is>
          <t>Plinth Phase</t>
        </is>
      </c>
      <c r="E559" t="inlineStr">
        <is>
          <t>Professional Fees</t>
        </is>
      </c>
      <c r="F559" t="inlineStr">
        <is>
          <t>Tools/Equipment</t>
        </is>
      </c>
      <c r="G559" t="inlineStr">
        <is>
          <t>Mixer machine — Equipment (Papa notebook)</t>
        </is>
      </c>
      <c r="H559" t="inlineStr">
        <is>
          <t>Econ Builder</t>
        </is>
      </c>
      <c r="I559" t="n">
        <v>1</v>
      </c>
      <c r="J559" t="inlineStr">
        <is>
          <t>Lumpsum</t>
        </is>
      </c>
      <c r="K559" t="n">
        <v>10000</v>
      </c>
      <c r="L559">
        <f>IF(OR(I559="",K559=""),"",I559*K559)</f>
        <v/>
      </c>
      <c r="N559">
        <f>M559*L559</f>
        <v/>
      </c>
      <c r="O559">
        <f>IF(L559="","",IF(M559="",L559,L559*(1-M559)))</f>
        <v/>
      </c>
    </row>
    <row r="560">
      <c r="A560" t="n">
        <v>568</v>
      </c>
      <c r="B560" s="128" t="n">
        <v>46190</v>
      </c>
      <c r="C560">
        <f>IF(B560="","",TEXT(B560,"MMM-YYYY"))</f>
        <v/>
      </c>
      <c r="D560" t="inlineStr">
        <is>
          <t>Plinth Phase</t>
        </is>
      </c>
      <c r="E560" t="inlineStr">
        <is>
          <t>Professional Fees</t>
        </is>
      </c>
      <c r="F560" t="inlineStr">
        <is>
          <t>Fabrication</t>
        </is>
      </c>
      <c r="G560" t="inlineStr">
        <is>
          <t>Chhotu Lohawala — Steel/Iron (Loha) (Papa notebook)</t>
        </is>
      </c>
      <c r="H560" t="inlineStr">
        <is>
          <t>Econ Builder</t>
        </is>
      </c>
      <c r="I560" t="n">
        <v>1</v>
      </c>
      <c r="J560" t="inlineStr">
        <is>
          <t>Lumpsum</t>
        </is>
      </c>
      <c r="K560" t="n">
        <v>5000</v>
      </c>
      <c r="L560">
        <f>IF(OR(I560="",K560=""),"",I560*K560)</f>
        <v/>
      </c>
      <c r="N560">
        <f>M560*L560</f>
        <v/>
      </c>
      <c r="O560">
        <f>IF(L560="","",IF(M560="",L560,L560*(1-M560)))</f>
        <v/>
      </c>
    </row>
    <row r="561">
      <c r="A561" t="n">
        <v>569</v>
      </c>
      <c r="B561" s="128" t="n">
        <v>46193</v>
      </c>
      <c r="C561">
        <f>IF(B561="","",TEXT(B561,"MMM-YYYY"))</f>
        <v/>
      </c>
      <c r="D561" t="inlineStr">
        <is>
          <t>Plinth Phase</t>
        </is>
      </c>
      <c r="E561" t="inlineStr">
        <is>
          <t>Professional Fees</t>
        </is>
      </c>
      <c r="F561" t="inlineStr">
        <is>
          <t>Water Tank</t>
        </is>
      </c>
      <c r="G561" t="inlineStr">
        <is>
          <t>Tank bala — Water Tank/Materials (Papa notebook)</t>
        </is>
      </c>
      <c r="H561" t="inlineStr">
        <is>
          <t>Econ Builder</t>
        </is>
      </c>
      <c r="I561" t="n">
        <v>1</v>
      </c>
      <c r="J561" t="inlineStr">
        <is>
          <t>Lumpsum</t>
        </is>
      </c>
      <c r="K561" t="n">
        <v>10000</v>
      </c>
      <c r="L561">
        <f>IF(OR(I561="",K561=""),"",I561*K561)</f>
        <v/>
      </c>
      <c r="N561">
        <f>M561*L561</f>
        <v/>
      </c>
      <c r="O561">
        <f>IF(L561="","",IF(M561="",L561,L561*(1-M561)))</f>
        <v/>
      </c>
    </row>
    <row r="562">
      <c r="A562" t="n">
        <v>570</v>
      </c>
      <c r="B562" s="128" t="n">
        <v>46200</v>
      </c>
      <c r="C562">
        <f>IF(B562="","",TEXT(B562,"MMM-YYYY"))</f>
        <v/>
      </c>
      <c r="D562" t="inlineStr">
        <is>
          <t>Plinth Phase</t>
        </is>
      </c>
      <c r="E562" t="inlineStr">
        <is>
          <t>Professional Fees</t>
        </is>
      </c>
      <c r="F562" t="inlineStr">
        <is>
          <t>Site Labour</t>
        </is>
      </c>
      <c r="G562" t="inlineStr">
        <is>
          <t>Labour — Labour (Papa notebook)</t>
        </is>
      </c>
      <c r="H562" t="inlineStr">
        <is>
          <t>Econ Builder</t>
        </is>
      </c>
      <c r="I562" t="n">
        <v>1</v>
      </c>
      <c r="J562" t="inlineStr">
        <is>
          <t>Lumpsum</t>
        </is>
      </c>
      <c r="K562" t="n">
        <v>500</v>
      </c>
      <c r="L562">
        <f>IF(OR(I562="",K562=""),"",I562*K562)</f>
        <v/>
      </c>
      <c r="N562">
        <f>M562*L562</f>
        <v/>
      </c>
      <c r="O562">
        <f>IF(L562="","",IF(M562="",L562,L562*(1-M562)))</f>
        <v/>
      </c>
    </row>
    <row r="563">
      <c r="A563" t="n">
        <v>571</v>
      </c>
      <c r="B563" s="128" t="n">
        <v>46203</v>
      </c>
      <c r="C563">
        <f>IF(B563="","",TEXT(B563,"MMM-YYYY"))</f>
        <v/>
      </c>
      <c r="D563" t="inlineStr">
        <is>
          <t>Plinth Phase</t>
        </is>
      </c>
      <c r="E563" t="inlineStr">
        <is>
          <t>Professional Fees</t>
        </is>
      </c>
      <c r="F563" t="inlineStr">
        <is>
          <t>Site Labour</t>
        </is>
      </c>
      <c r="G563" t="inlineStr">
        <is>
          <t>Santosh — Labour/Supervisor (Papa notebook)</t>
        </is>
      </c>
      <c r="H563" t="inlineStr">
        <is>
          <t>Econ Builder</t>
        </is>
      </c>
      <c r="I563" t="n">
        <v>1</v>
      </c>
      <c r="J563" t="inlineStr">
        <is>
          <t>Lumpsum</t>
        </is>
      </c>
      <c r="K563" t="n">
        <v>100</v>
      </c>
      <c r="L563">
        <f>IF(OR(I563="",K563=""),"",I563*K563)</f>
        <v/>
      </c>
      <c r="N563">
        <f>M563*L563</f>
        <v/>
      </c>
      <c r="O563">
        <f>IF(L563="","",IF(M563="",L563,L563*(1-M563)))</f>
        <v/>
      </c>
    </row>
    <row r="564">
      <c r="A564" t="n">
        <v>572</v>
      </c>
      <c r="B564" s="128" t="n">
        <v>46220</v>
      </c>
      <c r="C564">
        <f>IF(B564="","",TEXT(B564,"MMM-YYYY"))</f>
        <v/>
      </c>
      <c r="D564" t="inlineStr">
        <is>
          <t>Plinth Phase</t>
        </is>
      </c>
      <c r="E564" t="inlineStr">
        <is>
          <t>Professional Fees</t>
        </is>
      </c>
      <c r="F564" t="inlineStr">
        <is>
          <t>Fabrication</t>
        </is>
      </c>
      <c r="G564" t="inlineStr">
        <is>
          <t>Chhotu Lohawala — Steel/Iron (Loha) (Papa notebook)</t>
        </is>
      </c>
      <c r="H564" t="inlineStr">
        <is>
          <t>Econ Builder</t>
        </is>
      </c>
      <c r="I564" t="n">
        <v>1</v>
      </c>
      <c r="J564" t="inlineStr">
        <is>
          <t>Lumpsum</t>
        </is>
      </c>
      <c r="K564" t="n">
        <v>15000</v>
      </c>
      <c r="L564">
        <f>IF(OR(I564="",K564=""),"",I564*K564)</f>
        <v/>
      </c>
      <c r="N564">
        <f>M564*L564</f>
        <v/>
      </c>
      <c r="O564">
        <f>IF(L564="","",IF(M564="",L564,L564*(1-M564)))</f>
        <v/>
      </c>
    </row>
    <row r="565">
      <c r="A565" t="n">
        <v>573</v>
      </c>
      <c r="B565" s="128" t="n">
        <v>46221</v>
      </c>
      <c r="C565">
        <f>IF(B565="","",TEXT(B565,"MMM-YYYY"))</f>
        <v/>
      </c>
      <c r="D565" t="inlineStr">
        <is>
          <t>Plinth Phase</t>
        </is>
      </c>
      <c r="E565" t="inlineStr">
        <is>
          <t>Professional Fees</t>
        </is>
      </c>
      <c r="F565" t="inlineStr">
        <is>
          <t>Site Labour</t>
        </is>
      </c>
      <c r="G565" t="inlineStr">
        <is>
          <t>Santosh — Labour/Payment (Papa notebook)</t>
        </is>
      </c>
      <c r="H565" t="inlineStr">
        <is>
          <t>Econ Builder</t>
        </is>
      </c>
      <c r="I565" t="n">
        <v>1</v>
      </c>
      <c r="J565" t="inlineStr">
        <is>
          <t>Lumpsum</t>
        </is>
      </c>
      <c r="K565" t="n">
        <v>18000</v>
      </c>
      <c r="L565">
        <f>IF(OR(I565="",K565=""),"",I565*K565)</f>
        <v/>
      </c>
      <c r="N565">
        <f>M565*L565</f>
        <v/>
      </c>
      <c r="O565">
        <f>IF(L565="","",IF(M565="",L565,L565*(1-M565)))</f>
        <v/>
      </c>
    </row>
    <row r="566">
      <c r="A566" t="n">
        <v>574</v>
      </c>
      <c r="B566" s="128" t="n">
        <v>46223</v>
      </c>
      <c r="C566">
        <f>IF(B566="","",TEXT(B566,"MMM-YYYY"))</f>
        <v/>
      </c>
      <c r="D566" t="inlineStr">
        <is>
          <t>Plinth Phase</t>
        </is>
      </c>
      <c r="E566" t="inlineStr">
        <is>
          <t>Professional Fees</t>
        </is>
      </c>
      <c r="F566" t="inlineStr">
        <is>
          <t>Fabrication</t>
        </is>
      </c>
      <c r="G566" t="inlineStr">
        <is>
          <t>Santosh (Chhotu) — Steel/Iron (Chhotu) (Papa notebook)</t>
        </is>
      </c>
      <c r="H566" t="inlineStr">
        <is>
          <t>Econ Builder</t>
        </is>
      </c>
      <c r="I566" t="n">
        <v>1</v>
      </c>
      <c r="J566" t="inlineStr">
        <is>
          <t>Lumpsum</t>
        </is>
      </c>
      <c r="K566" t="n">
        <v>5000</v>
      </c>
      <c r="L566">
        <f>IF(OR(I566="",K566=""),"",I566*K566)</f>
        <v/>
      </c>
      <c r="N566">
        <f>M566*L566</f>
        <v/>
      </c>
      <c r="O566">
        <f>IF(L566="","",IF(M566="",L566,L566*(1-M566)))</f>
        <v/>
      </c>
    </row>
    <row r="567">
      <c r="A567" t="n">
        <v>575</v>
      </c>
      <c r="B567" s="128" t="n">
        <v>46228</v>
      </c>
      <c r="C567">
        <f>IF(B567="","",TEXT(B567,"MMM-YYYY"))</f>
        <v/>
      </c>
      <c r="D567" t="inlineStr">
        <is>
          <t>Plinth Phase</t>
        </is>
      </c>
      <c r="E567" t="inlineStr">
        <is>
          <t>Professional Fees</t>
        </is>
      </c>
      <c r="F567" t="inlineStr">
        <is>
          <t>Site Labour</t>
        </is>
      </c>
      <c r="G567" t="inlineStr">
        <is>
          <t>Santosh (Pintu) — Labour/Advance (Papa notebook)</t>
        </is>
      </c>
      <c r="H567" t="inlineStr">
        <is>
          <t>Econ Builder</t>
        </is>
      </c>
      <c r="I567" t="n">
        <v>1</v>
      </c>
      <c r="J567" t="inlineStr">
        <is>
          <t>Lumpsum</t>
        </is>
      </c>
      <c r="K567" t="n">
        <v>200</v>
      </c>
      <c r="L567">
        <f>IF(OR(I567="",K567=""),"",I567*K567)</f>
        <v/>
      </c>
      <c r="N567">
        <f>M567*L567</f>
        <v/>
      </c>
      <c r="O567">
        <f>IF(L567="","",IF(M567="",L567,L567*(1-M567)))</f>
        <v/>
      </c>
    </row>
    <row r="568">
      <c r="A568" t="n">
        <v>576</v>
      </c>
      <c r="B568" s="128" t="n">
        <v>46228</v>
      </c>
      <c r="C568">
        <f>IF(B568="","",TEXT(B568,"MMM-YYYY"))</f>
        <v/>
      </c>
      <c r="D568" t="inlineStr">
        <is>
          <t>Plinth Phase</t>
        </is>
      </c>
      <c r="E568" t="inlineStr">
        <is>
          <t>Professional Fees</t>
        </is>
      </c>
      <c r="F568" t="inlineStr">
        <is>
          <t>Site Labour</t>
        </is>
      </c>
      <c r="G568" t="inlineStr">
        <is>
          <t>Santosh (Pintu) — Labour/Advance (Papa notebook)</t>
        </is>
      </c>
      <c r="H568" t="inlineStr">
        <is>
          <t>Econ Builder</t>
        </is>
      </c>
      <c r="I568" t="n">
        <v>1</v>
      </c>
      <c r="J568" t="inlineStr">
        <is>
          <t>Lumpsum</t>
        </is>
      </c>
      <c r="K568" t="n">
        <v>100</v>
      </c>
      <c r="L568">
        <f>IF(OR(I568="",K568=""),"",I568*K568)</f>
        <v/>
      </c>
      <c r="N568">
        <f>M568*L568</f>
        <v/>
      </c>
      <c r="O568">
        <f>IF(L568="","",IF(M568="",L568,L568*(1-M568)))</f>
        <v/>
      </c>
    </row>
    <row r="569">
      <c r="A569" t="n">
        <v>577</v>
      </c>
      <c r="B569" s="128" t="n">
        <v>46229</v>
      </c>
      <c r="C569">
        <f>IF(B569="","",TEXT(B569,"MMM-YYYY"))</f>
        <v/>
      </c>
      <c r="D569" t="inlineStr">
        <is>
          <t>Plinth Phase</t>
        </is>
      </c>
      <c r="E569" t="inlineStr">
        <is>
          <t>Professional Fees</t>
        </is>
      </c>
      <c r="F569" t="inlineStr">
        <is>
          <t>Site Labour</t>
        </is>
      </c>
      <c r="G569" t="inlineStr">
        <is>
          <t>Santosh (Pintu) — Labour/Advance (Papa notebook)</t>
        </is>
      </c>
      <c r="H569" t="inlineStr">
        <is>
          <t>Econ Builder</t>
        </is>
      </c>
      <c r="I569" t="n">
        <v>1</v>
      </c>
      <c r="J569" t="inlineStr">
        <is>
          <t>Lumpsum</t>
        </is>
      </c>
      <c r="K569" t="n">
        <v>200</v>
      </c>
      <c r="L569">
        <f>IF(OR(I569="",K569=""),"",I569*K569)</f>
        <v/>
      </c>
      <c r="N569">
        <f>M569*L569</f>
        <v/>
      </c>
      <c r="O569">
        <f>IF(L569="","",IF(M569="",L569,L569*(1-M569)))</f>
        <v/>
      </c>
    </row>
    <row r="570">
      <c r="A570" t="n">
        <v>578</v>
      </c>
      <c r="B570" s="128" t="n">
        <v>46229</v>
      </c>
      <c r="C570">
        <f>IF(B570="","",TEXT(B570,"MMM-YYYY"))</f>
        <v/>
      </c>
      <c r="D570" t="inlineStr">
        <is>
          <t>Plinth Phase</t>
        </is>
      </c>
      <c r="E570" t="inlineStr">
        <is>
          <t>Professional Fees</t>
        </is>
      </c>
      <c r="F570" t="inlineStr">
        <is>
          <t>Site Labour</t>
        </is>
      </c>
      <c r="G570" t="inlineStr">
        <is>
          <t>Santosh (Baiju) — Labour/Baiju (Papa notebook)</t>
        </is>
      </c>
      <c r="H570" t="inlineStr">
        <is>
          <t>Econ Builder</t>
        </is>
      </c>
      <c r="I570" t="n">
        <v>1</v>
      </c>
      <c r="J570" t="inlineStr">
        <is>
          <t>Lumpsum</t>
        </is>
      </c>
      <c r="K570" t="n">
        <v>500</v>
      </c>
      <c r="L570">
        <f>IF(OR(I570="",K570=""),"",I570*K570)</f>
        <v/>
      </c>
      <c r="N570">
        <f>M570*L570</f>
        <v/>
      </c>
      <c r="O570">
        <f>IF(L570="","",IF(M570="",L570,L570*(1-M570)))</f>
        <v/>
      </c>
    </row>
    <row r="571">
      <c r="A571" t="n">
        <v>579</v>
      </c>
      <c r="B571" s="128" t="n">
        <v>46231</v>
      </c>
      <c r="C571">
        <f>IF(B571="","",TEXT(B571,"MMM-YYYY"))</f>
        <v/>
      </c>
      <c r="D571" t="inlineStr">
        <is>
          <t>Plinth Phase</t>
        </is>
      </c>
      <c r="E571" t="inlineStr">
        <is>
          <t>Professional Fees</t>
        </is>
      </c>
      <c r="F571" t="inlineStr">
        <is>
          <t>Site Labour</t>
        </is>
      </c>
      <c r="G571" t="inlineStr">
        <is>
          <t>Santosh (Baiju) — Labour/Baiju (Papa notebook)</t>
        </is>
      </c>
      <c r="H571" t="inlineStr">
        <is>
          <t>Econ Builder</t>
        </is>
      </c>
      <c r="I571" t="n">
        <v>1</v>
      </c>
      <c r="J571" t="inlineStr">
        <is>
          <t>Lumpsum</t>
        </is>
      </c>
      <c r="K571" t="n">
        <v>30000</v>
      </c>
      <c r="L571">
        <f>IF(OR(I571="",K571=""),"",I571*K571)</f>
        <v/>
      </c>
      <c r="N571">
        <f>M571*L571</f>
        <v/>
      </c>
      <c r="O571">
        <f>IF(L571="","",IF(M571="",L571,L571*(1-M571)))</f>
        <v/>
      </c>
    </row>
    <row r="572">
      <c r="A572" t="n">
        <v>580</v>
      </c>
      <c r="B572" s="128" t="n">
        <v>46231</v>
      </c>
      <c r="C572">
        <f>IF(B572="","",TEXT(B572,"MMM-YYYY"))</f>
        <v/>
      </c>
      <c r="D572" t="inlineStr">
        <is>
          <t>Plinth Phase</t>
        </is>
      </c>
      <c r="E572" t="inlineStr">
        <is>
          <t>Professional Fees</t>
        </is>
      </c>
      <c r="F572" t="inlineStr">
        <is>
          <t>Site Labour</t>
        </is>
      </c>
      <c r="G572" t="inlineStr">
        <is>
          <t>Santosh (Pintu) — Labour/Pintu (Papa notebook)</t>
        </is>
      </c>
      <c r="H572" t="inlineStr">
        <is>
          <t>Econ Builder</t>
        </is>
      </c>
      <c r="I572" t="n">
        <v>1</v>
      </c>
      <c r="J572" t="inlineStr">
        <is>
          <t>Lumpsum</t>
        </is>
      </c>
      <c r="K572" t="n">
        <v>500</v>
      </c>
      <c r="L572">
        <f>IF(OR(I572="",K572=""),"",I572*K572)</f>
        <v/>
      </c>
      <c r="N572">
        <f>M572*L572</f>
        <v/>
      </c>
      <c r="O572">
        <f>IF(L572="","",IF(M572="",L572,L572*(1-M572)))</f>
        <v/>
      </c>
    </row>
    <row r="573">
      <c r="A573" t="n">
        <v>581</v>
      </c>
      <c r="B573" s="128" t="n">
        <v>46231</v>
      </c>
      <c r="C573">
        <f>IF(B573="","",TEXT(B573,"MMM-YYYY"))</f>
        <v/>
      </c>
      <c r="D573" t="inlineStr">
        <is>
          <t>Plinth Phase</t>
        </is>
      </c>
      <c r="E573" t="inlineStr">
        <is>
          <t>Professional Fees</t>
        </is>
      </c>
      <c r="F573" t="inlineStr">
        <is>
          <t>Site Labour</t>
        </is>
      </c>
      <c r="G573" t="inlineStr">
        <is>
          <t>Santosh (Labor payment) — Labour Payment (Papa notebook)</t>
        </is>
      </c>
      <c r="H573" t="inlineStr">
        <is>
          <t>Econ Builder</t>
        </is>
      </c>
      <c r="I573" t="n">
        <v>1</v>
      </c>
      <c r="J573" t="inlineStr">
        <is>
          <t>Lumpsum</t>
        </is>
      </c>
      <c r="K573" t="n">
        <v>6200</v>
      </c>
      <c r="L573">
        <f>IF(OR(I573="",K573=""),"",I573*K573)</f>
        <v/>
      </c>
      <c r="N573">
        <f>M573*L573</f>
        <v/>
      </c>
      <c r="O573">
        <f>IF(L573="","",IF(M573="",L573,L573*(1-M573)))</f>
        <v/>
      </c>
    </row>
    <row r="574">
      <c r="A574" t="n">
        <v>582</v>
      </c>
      <c r="B574" s="128" t="n">
        <v>46234</v>
      </c>
      <c r="C574">
        <f>IF(B574="","",TEXT(B574,"MMM-YYYY"))</f>
        <v/>
      </c>
      <c r="D574" t="inlineStr">
        <is>
          <t>Plinth Phase</t>
        </is>
      </c>
      <c r="E574" t="inlineStr">
        <is>
          <t>Professional Fees</t>
        </is>
      </c>
      <c r="F574" t="inlineStr">
        <is>
          <t>Site Labour</t>
        </is>
      </c>
      <c r="G574" t="inlineStr">
        <is>
          <t>Santosh — Labour/Payment (Papa notebook)</t>
        </is>
      </c>
      <c r="H574" t="inlineStr">
        <is>
          <t>Econ Builder</t>
        </is>
      </c>
      <c r="I574" t="n">
        <v>1</v>
      </c>
      <c r="J574" t="inlineStr">
        <is>
          <t>Lumpsum</t>
        </is>
      </c>
      <c r="K574" t="n">
        <v>4000</v>
      </c>
      <c r="L574">
        <f>IF(OR(I574="",K574=""),"",I574*K574)</f>
        <v/>
      </c>
      <c r="N574">
        <f>M574*L574</f>
        <v/>
      </c>
      <c r="O574">
        <f>IF(L574="","",IF(M574="",L574,L574*(1-M574)))</f>
        <v/>
      </c>
    </row>
    <row r="575">
      <c r="A575" t="n">
        <v>583</v>
      </c>
      <c r="B575" s="128" t="n">
        <v>46240</v>
      </c>
      <c r="C575">
        <f>IF(B575="","",TEXT(B575,"MMM-YYYY"))</f>
        <v/>
      </c>
      <c r="D575" t="inlineStr">
        <is>
          <t>Plinth Phase</t>
        </is>
      </c>
      <c r="E575" t="inlineStr">
        <is>
          <t>Professional Fees</t>
        </is>
      </c>
      <c r="F575" t="inlineStr">
        <is>
          <t>Site Labour</t>
        </is>
      </c>
      <c r="G575" t="inlineStr">
        <is>
          <t>Santosh (Pintu) — Labour (Papa notebook)</t>
        </is>
      </c>
      <c r="H575" t="inlineStr">
        <is>
          <t>Econ Builder</t>
        </is>
      </c>
      <c r="I575" t="n">
        <v>1</v>
      </c>
      <c r="J575" t="inlineStr">
        <is>
          <t>Lumpsum</t>
        </is>
      </c>
      <c r="K575" t="n">
        <v>500</v>
      </c>
      <c r="L575">
        <f>IF(OR(I575="",K575=""),"",I575*K575)</f>
        <v/>
      </c>
      <c r="N575">
        <f>M575*L575</f>
        <v/>
      </c>
      <c r="O575">
        <f>IF(L575="","",IF(M575="",L575,L575*(1-M575)))</f>
        <v/>
      </c>
    </row>
    <row r="576">
      <c r="A576" t="n">
        <v>584</v>
      </c>
      <c r="B576" s="128" t="n">
        <v>46240</v>
      </c>
      <c r="C576">
        <f>IF(B576="","",TEXT(B576,"MMM-YYYY"))</f>
        <v/>
      </c>
      <c r="D576" t="inlineStr">
        <is>
          <t>Plinth Phase</t>
        </is>
      </c>
      <c r="E576" t="inlineStr">
        <is>
          <t>Professional Fees</t>
        </is>
      </c>
      <c r="F576" t="inlineStr">
        <is>
          <t>Site Labour</t>
        </is>
      </c>
      <c r="G576" t="inlineStr">
        <is>
          <t>Santosh (Pintu) — Labour (Papa notebook)</t>
        </is>
      </c>
      <c r="H576" t="inlineStr">
        <is>
          <t>Econ Builder</t>
        </is>
      </c>
      <c r="I576" t="n">
        <v>1</v>
      </c>
      <c r="J576" t="inlineStr">
        <is>
          <t>Lumpsum</t>
        </is>
      </c>
      <c r="K576" t="n">
        <v>100</v>
      </c>
      <c r="L576">
        <f>IF(OR(I576="",K576=""),"",I576*K576)</f>
        <v/>
      </c>
      <c r="N576">
        <f>M576*L576</f>
        <v/>
      </c>
      <c r="O576">
        <f>IF(L576="","",IF(M576="",L576,L576*(1-M576)))</f>
        <v/>
      </c>
    </row>
    <row r="577">
      <c r="A577" t="n">
        <v>585</v>
      </c>
      <c r="B577" s="128" t="n">
        <v>46240</v>
      </c>
      <c r="C577">
        <f>IF(B577="","",TEXT(B577,"MMM-YYYY"))</f>
        <v/>
      </c>
      <c r="D577" t="inlineStr">
        <is>
          <t>Plinth Phase</t>
        </is>
      </c>
      <c r="E577" t="inlineStr">
        <is>
          <t>Professional Fees</t>
        </is>
      </c>
      <c r="F577" t="inlineStr">
        <is>
          <t>Site Labour</t>
        </is>
      </c>
      <c r="G577" t="inlineStr">
        <is>
          <t>Santosh (Pintu) — Labour (Papa notebook)</t>
        </is>
      </c>
      <c r="H577" t="inlineStr">
        <is>
          <t>Econ Builder</t>
        </is>
      </c>
      <c r="I577" t="n">
        <v>1</v>
      </c>
      <c r="J577" t="inlineStr">
        <is>
          <t>Lumpsum</t>
        </is>
      </c>
      <c r="K577" t="n">
        <v>500</v>
      </c>
      <c r="L577">
        <f>IF(OR(I577="",K577=""),"",I577*K577)</f>
        <v/>
      </c>
      <c r="N577">
        <f>M577*L577</f>
        <v/>
      </c>
      <c r="O577">
        <f>IF(L577="","",IF(M577="",L577,L577*(1-M577)))</f>
        <v/>
      </c>
    </row>
    <row r="578">
      <c r="A578" t="n">
        <v>586</v>
      </c>
      <c r="B578" s="128" t="n">
        <v>46241</v>
      </c>
      <c r="C578">
        <f>IF(B578="","",TEXT(B578,"MMM-YYYY"))</f>
        <v/>
      </c>
      <c r="D578" t="inlineStr">
        <is>
          <t>Plinth Phase</t>
        </is>
      </c>
      <c r="E578" t="inlineStr">
        <is>
          <t>Professional Fees</t>
        </is>
      </c>
      <c r="F578" t="inlineStr">
        <is>
          <t>Fabrication</t>
        </is>
      </c>
      <c r="G578" t="inlineStr">
        <is>
          <t>Santosh (Chhotu) — Steel/Iron (Chhotu) (Papa notebook)</t>
        </is>
      </c>
      <c r="H578" t="inlineStr">
        <is>
          <t>Econ Builder</t>
        </is>
      </c>
      <c r="I578" t="n">
        <v>1</v>
      </c>
      <c r="J578" t="inlineStr">
        <is>
          <t>Lumpsum</t>
        </is>
      </c>
      <c r="K578" t="n">
        <v>5000</v>
      </c>
      <c r="L578">
        <f>IF(OR(I578="",K578=""),"",I578*K578)</f>
        <v/>
      </c>
      <c r="N578">
        <f>M578*L578</f>
        <v/>
      </c>
      <c r="O578">
        <f>IF(L578="","",IF(M578="",L578,L578*(1-M578)))</f>
        <v/>
      </c>
    </row>
    <row r="579">
      <c r="A579" t="n">
        <v>587</v>
      </c>
      <c r="B579" s="128" t="n">
        <v>46241</v>
      </c>
      <c r="C579">
        <f>IF(B579="","",TEXT(B579,"MMM-YYYY"))</f>
        <v/>
      </c>
      <c r="D579" t="inlineStr">
        <is>
          <t>Plinth Phase</t>
        </is>
      </c>
      <c r="E579" t="inlineStr">
        <is>
          <t>Professional Fees</t>
        </is>
      </c>
      <c r="F579" t="inlineStr">
        <is>
          <t>Transport</t>
        </is>
      </c>
      <c r="G579" t="inlineStr">
        <is>
          <t>Petrol — Fuel/Site Expense (Papa notebook)</t>
        </is>
      </c>
      <c r="H579" t="inlineStr">
        <is>
          <t>Econ Builder</t>
        </is>
      </c>
      <c r="I579" t="n">
        <v>1</v>
      </c>
      <c r="J579" t="inlineStr">
        <is>
          <t>Lumpsum</t>
        </is>
      </c>
      <c r="K579" t="n">
        <v>100</v>
      </c>
      <c r="L579">
        <f>IF(OR(I579="",K579=""),"",I579*K579)</f>
        <v/>
      </c>
      <c r="N579">
        <f>M579*L579</f>
        <v/>
      </c>
      <c r="O579">
        <f>IF(L579="","",IF(M579="",L579,L579*(1-M579)))</f>
        <v/>
      </c>
    </row>
    <row r="580">
      <c r="A580" t="n">
        <v>588</v>
      </c>
      <c r="B580" s="128" t="n">
        <v>46241</v>
      </c>
      <c r="C580">
        <f>IF(B580="","",TEXT(B580,"MMM-YYYY"))</f>
        <v/>
      </c>
      <c r="D580" t="inlineStr">
        <is>
          <t>Plinth Phase</t>
        </is>
      </c>
      <c r="E580" t="inlineStr">
        <is>
          <t>Professional Fees</t>
        </is>
      </c>
      <c r="F580" t="inlineStr">
        <is>
          <t>Plywood/Shuttering</t>
        </is>
      </c>
      <c r="G580" t="inlineStr">
        <is>
          <t>4mm ply — Formwork/Material (Papa notebook)</t>
        </is>
      </c>
      <c r="H580" t="inlineStr">
        <is>
          <t>Econ Builder</t>
        </is>
      </c>
      <c r="I580" t="n">
        <v>1</v>
      </c>
      <c r="J580" t="inlineStr">
        <is>
          <t>Lumpsum</t>
        </is>
      </c>
      <c r="K580" t="n">
        <v>700</v>
      </c>
      <c r="L580">
        <f>IF(OR(I580="",K580=""),"",I580*K580)</f>
        <v/>
      </c>
      <c r="N580">
        <f>M580*L580</f>
        <v/>
      </c>
      <c r="O580">
        <f>IF(L580="","",IF(M580="",L580,L580*(1-M580)))</f>
        <v/>
      </c>
    </row>
    <row r="581">
      <c r="A581" t="n">
        <v>589</v>
      </c>
      <c r="B581" s="128" t="n">
        <v>46242</v>
      </c>
      <c r="C581">
        <f>IF(B581="","",TEXT(B581,"MMM-YYYY"))</f>
        <v/>
      </c>
      <c r="D581" t="inlineStr">
        <is>
          <t>Plinth Phase</t>
        </is>
      </c>
      <c r="E581" t="inlineStr">
        <is>
          <t>Professional Fees</t>
        </is>
      </c>
      <c r="F581" t="inlineStr">
        <is>
          <t>Fabrication</t>
        </is>
      </c>
      <c r="G581" t="inlineStr">
        <is>
          <t>Grilling — Fabrication/Grills (Papa notebook)</t>
        </is>
      </c>
      <c r="H581" t="inlineStr">
        <is>
          <t>Econ Builder</t>
        </is>
      </c>
      <c r="I581" t="n">
        <v>1</v>
      </c>
      <c r="J581" t="inlineStr">
        <is>
          <t>Lumpsum</t>
        </is>
      </c>
      <c r="K581" t="n">
        <v>1000</v>
      </c>
      <c r="L581">
        <f>IF(OR(I581="",K581=""),"",I581*K581)</f>
        <v/>
      </c>
      <c r="N581">
        <f>M581*L581</f>
        <v/>
      </c>
      <c r="O581">
        <f>IF(L581="","",IF(M581="",L581,L581*(1-M581)))</f>
        <v/>
      </c>
    </row>
    <row r="582">
      <c r="A582" t="n">
        <v>590</v>
      </c>
      <c r="B582" s="128" t="n">
        <v>46242</v>
      </c>
      <c r="C582">
        <f>IF(B582="","",TEXT(B582,"MMM-YYYY"))</f>
        <v/>
      </c>
      <c r="D582" t="inlineStr">
        <is>
          <t>Plinth Phase</t>
        </is>
      </c>
      <c r="E582" t="inlineStr">
        <is>
          <t>Professional Fees</t>
        </is>
      </c>
      <c r="F582" t="inlineStr">
        <is>
          <t>Site Labour</t>
        </is>
      </c>
      <c r="G582" t="inlineStr">
        <is>
          <t>Labour — Labour (Papa notebook)</t>
        </is>
      </c>
      <c r="H582" t="inlineStr">
        <is>
          <t>Econ Builder</t>
        </is>
      </c>
      <c r="I582" t="n">
        <v>1</v>
      </c>
      <c r="J582" t="inlineStr">
        <is>
          <t>Lumpsum</t>
        </is>
      </c>
      <c r="K582" t="n">
        <v>3400</v>
      </c>
      <c r="L582">
        <f>IF(OR(I582="",K582=""),"",I582*K582)</f>
        <v/>
      </c>
      <c r="N582">
        <f>M582*L582</f>
        <v/>
      </c>
      <c r="O582">
        <f>IF(L582="","",IF(M582="",L582,L582*(1-M582)))</f>
        <v/>
      </c>
    </row>
    <row r="583">
      <c r="A583" t="n">
        <v>591</v>
      </c>
      <c r="B583" s="128" t="n">
        <v>46243</v>
      </c>
      <c r="C583">
        <f>IF(B583="","",TEXT(B583,"MMM-YYYY"))</f>
        <v/>
      </c>
      <c r="D583" t="inlineStr">
        <is>
          <t>Plinth Phase</t>
        </is>
      </c>
      <c r="E583" t="inlineStr">
        <is>
          <t>Professional Fees</t>
        </is>
      </c>
      <c r="F583" t="inlineStr">
        <is>
          <t>Site Labour</t>
        </is>
      </c>
      <c r="G583" t="inlineStr">
        <is>
          <t>Baiju — Contractor/Labour (Papa notebook)</t>
        </is>
      </c>
      <c r="H583" t="inlineStr">
        <is>
          <t>Econ Builder</t>
        </is>
      </c>
      <c r="I583" t="n">
        <v>1</v>
      </c>
      <c r="J583" t="inlineStr">
        <is>
          <t>Lumpsum</t>
        </is>
      </c>
      <c r="K583" t="n">
        <v>15000</v>
      </c>
      <c r="L583">
        <f>IF(OR(I583="",K583=""),"",I583*K583)</f>
        <v/>
      </c>
      <c r="N583">
        <f>M583*L583</f>
        <v/>
      </c>
      <c r="O583">
        <f>IF(L583="","",IF(M583="",L583,L583*(1-M583)))</f>
        <v/>
      </c>
    </row>
    <row r="584">
      <c r="A584" t="n">
        <v>592</v>
      </c>
      <c r="B584" s="128" t="n">
        <v>46246</v>
      </c>
      <c r="C584">
        <f>IF(B584="","",TEXT(B584,"MMM-YYYY"))</f>
        <v/>
      </c>
      <c r="D584" t="inlineStr">
        <is>
          <t>Plinth Phase</t>
        </is>
      </c>
      <c r="E584" t="inlineStr">
        <is>
          <t>Professional Fees</t>
        </is>
      </c>
      <c r="F584" t="inlineStr">
        <is>
          <t>Site Labour</t>
        </is>
      </c>
      <c r="G584" t="inlineStr">
        <is>
          <t>Baiju — Contractor/Labour (Papa notebook)</t>
        </is>
      </c>
      <c r="H584" t="inlineStr">
        <is>
          <t>Econ Builder</t>
        </is>
      </c>
      <c r="I584" t="n">
        <v>1</v>
      </c>
      <c r="J584" t="inlineStr">
        <is>
          <t>Lumpsum</t>
        </is>
      </c>
      <c r="K584" t="n">
        <v>15000</v>
      </c>
      <c r="L584">
        <f>IF(OR(I584="",K584=""),"",I584*K584)</f>
        <v/>
      </c>
      <c r="N584">
        <f>M584*L584</f>
        <v/>
      </c>
      <c r="O584">
        <f>IF(L584="","",IF(M584="",L584,L584*(1-M584)))</f>
        <v/>
      </c>
    </row>
    <row r="585">
      <c r="A585" t="n">
        <v>593</v>
      </c>
      <c r="B585" s="128" t="n">
        <v>46248</v>
      </c>
      <c r="C585">
        <f>IF(B585="","",TEXT(B585,"MMM-YYYY"))</f>
        <v/>
      </c>
      <c r="D585" t="inlineStr">
        <is>
          <t>Plinth Phase</t>
        </is>
      </c>
      <c r="E585" t="inlineStr">
        <is>
          <t>Professional Fees</t>
        </is>
      </c>
      <c r="F585" t="inlineStr">
        <is>
          <t>Site Labour</t>
        </is>
      </c>
      <c r="G585" t="inlineStr">
        <is>
          <t>Paswan — Labour (Papa notebook)</t>
        </is>
      </c>
      <c r="H585" t="inlineStr">
        <is>
          <t>Econ Builder</t>
        </is>
      </c>
      <c r="I585" t="n">
        <v>1</v>
      </c>
      <c r="J585" t="inlineStr">
        <is>
          <t>Lumpsum</t>
        </is>
      </c>
      <c r="K585" t="n">
        <v>500</v>
      </c>
      <c r="L585">
        <f>IF(OR(I585="",K585=""),"",I585*K585)</f>
        <v/>
      </c>
      <c r="N585">
        <f>M585*L585</f>
        <v/>
      </c>
      <c r="O585">
        <f>IF(L585="","",IF(M585="",L585,L585*(1-M585)))</f>
        <v/>
      </c>
    </row>
    <row r="586">
      <c r="A586" t="n">
        <v>594</v>
      </c>
      <c r="B586" s="128" t="n">
        <v>46252</v>
      </c>
      <c r="C586">
        <f>IF(B586="","",TEXT(B586,"MMM-YYYY"))</f>
        <v/>
      </c>
      <c r="D586" t="inlineStr">
        <is>
          <t>Plinth Phase</t>
        </is>
      </c>
      <c r="E586" t="inlineStr">
        <is>
          <t>Professional Fees</t>
        </is>
      </c>
      <c r="F586" t="inlineStr">
        <is>
          <t>Site Labour</t>
        </is>
      </c>
      <c r="G586" t="inlineStr">
        <is>
          <t>Mukesh Kr — Site Staff/Material (Papa notebook)</t>
        </is>
      </c>
      <c r="H586" t="inlineStr">
        <is>
          <t>Econ Builder</t>
        </is>
      </c>
      <c r="I586" t="n">
        <v>1</v>
      </c>
      <c r="J586" t="inlineStr">
        <is>
          <t>Lumpsum</t>
        </is>
      </c>
      <c r="K586" t="n">
        <v>3300</v>
      </c>
      <c r="L586">
        <f>IF(OR(I586="",K586=""),"",I586*K586)</f>
        <v/>
      </c>
      <c r="N586">
        <f>M586*L586</f>
        <v/>
      </c>
      <c r="O586">
        <f>IF(L586="","",IF(M586="",L586,L586*(1-M586)))</f>
        <v/>
      </c>
    </row>
    <row r="587">
      <c r="A587" t="n">
        <v>595</v>
      </c>
      <c r="B587" s="128" t="n">
        <v>46256</v>
      </c>
      <c r="C587">
        <f>IF(B587="","",TEXT(B587,"MMM-YYYY"))</f>
        <v/>
      </c>
      <c r="D587" t="inlineStr">
        <is>
          <t>Plinth Phase</t>
        </is>
      </c>
      <c r="E587" t="inlineStr">
        <is>
          <t>Professional Fees</t>
        </is>
      </c>
      <c r="F587" t="inlineStr">
        <is>
          <t>Site Labour</t>
        </is>
      </c>
      <c r="G587" t="inlineStr">
        <is>
          <t>Paswan — Labour (Papa notebook)</t>
        </is>
      </c>
      <c r="H587" t="inlineStr">
        <is>
          <t>Econ Builder</t>
        </is>
      </c>
      <c r="I587" t="n">
        <v>1</v>
      </c>
      <c r="J587" t="inlineStr">
        <is>
          <t>Lumpsum</t>
        </is>
      </c>
      <c r="K587" t="n">
        <v>1000</v>
      </c>
      <c r="L587">
        <f>IF(OR(I587="",K587=""),"",I587*K587)</f>
        <v/>
      </c>
      <c r="N587">
        <f>M587*L587</f>
        <v/>
      </c>
      <c r="O587">
        <f>IF(L587="","",IF(M587="",L587,L587*(1-M587)))</f>
        <v/>
      </c>
    </row>
    <row r="588">
      <c r="A588" t="n">
        <v>596</v>
      </c>
      <c r="B588" s="128" t="n">
        <v>46256</v>
      </c>
      <c r="C588">
        <f>IF(B588="","",TEXT(B588,"MMM-YYYY"))</f>
        <v/>
      </c>
      <c r="D588" t="inlineStr">
        <is>
          <t>Plinth Phase</t>
        </is>
      </c>
      <c r="E588" t="inlineStr">
        <is>
          <t>Professional Fees</t>
        </is>
      </c>
      <c r="F588" t="inlineStr">
        <is>
          <t>Fabrication</t>
        </is>
      </c>
      <c r="G588" t="inlineStr">
        <is>
          <t>Lohawala — Steel/Iron (Loha) (Papa notebook)</t>
        </is>
      </c>
      <c r="H588" t="inlineStr">
        <is>
          <t>Econ Builder</t>
        </is>
      </c>
      <c r="I588" t="n">
        <v>1</v>
      </c>
      <c r="J588" t="inlineStr">
        <is>
          <t>Lumpsum</t>
        </is>
      </c>
      <c r="K588" t="n">
        <v>1000</v>
      </c>
      <c r="L588">
        <f>IF(OR(I588="",K588=""),"",I588*K588)</f>
        <v/>
      </c>
      <c r="N588">
        <f>M588*L588</f>
        <v/>
      </c>
      <c r="O588">
        <f>IF(L588="","",IF(M588="",L588,L588*(1-M588)))</f>
        <v/>
      </c>
    </row>
    <row r="589">
      <c r="A589" t="n">
        <v>597</v>
      </c>
      <c r="B589" s="128" t="n">
        <v>46257</v>
      </c>
      <c r="C589">
        <f>IF(B589="","",TEXT(B589,"MMM-YYYY"))</f>
        <v/>
      </c>
      <c r="D589" t="inlineStr">
        <is>
          <t>Plinth Phase</t>
        </is>
      </c>
      <c r="E589" t="inlineStr">
        <is>
          <t>Professional Fees</t>
        </is>
      </c>
      <c r="F589" t="inlineStr">
        <is>
          <t>Site Labour</t>
        </is>
      </c>
      <c r="G589" t="inlineStr">
        <is>
          <t>Labour - 4 — Labour (4 workers) (Papa notebook)</t>
        </is>
      </c>
      <c r="H589" t="inlineStr">
        <is>
          <t>Econ Builder</t>
        </is>
      </c>
      <c r="I589" t="n">
        <v>1</v>
      </c>
      <c r="J589" t="inlineStr">
        <is>
          <t>Lumpsum</t>
        </is>
      </c>
      <c r="K589" t="n">
        <v>1600</v>
      </c>
      <c r="L589">
        <f>IF(OR(I589="",K589=""),"",I589*K589)</f>
        <v/>
      </c>
      <c r="N589">
        <f>M589*L589</f>
        <v/>
      </c>
      <c r="O589">
        <f>IF(L589="","",IF(M589="",L589,L589*(1-M589)))</f>
        <v/>
      </c>
    </row>
    <row r="590">
      <c r="A590" t="n">
        <v>598</v>
      </c>
      <c r="B590" s="128" t="n">
        <v>46259</v>
      </c>
      <c r="C590">
        <f>IF(B590="","",TEXT(B590,"MMM-YYYY"))</f>
        <v/>
      </c>
      <c r="D590" t="inlineStr">
        <is>
          <t>Plinth Phase</t>
        </is>
      </c>
      <c r="E590" t="inlineStr">
        <is>
          <t>Professional Fees</t>
        </is>
      </c>
      <c r="F590" t="inlineStr">
        <is>
          <t>Fabrication</t>
        </is>
      </c>
      <c r="G590" t="inlineStr">
        <is>
          <t>Chhotu — Steel/Iron (Loha) (Papa notebook)</t>
        </is>
      </c>
      <c r="H590" t="inlineStr">
        <is>
          <t>Econ Builder</t>
        </is>
      </c>
      <c r="I590" t="n">
        <v>1</v>
      </c>
      <c r="J590" t="inlineStr">
        <is>
          <t>Lumpsum</t>
        </is>
      </c>
      <c r="K590" t="n">
        <v>8000</v>
      </c>
      <c r="L590">
        <f>IF(OR(I590="",K590=""),"",I590*K590)</f>
        <v/>
      </c>
      <c r="N590">
        <f>M590*L590</f>
        <v/>
      </c>
      <c r="O590">
        <f>IF(L590="","",IF(M590="",L590,L590*(1-M590)))</f>
        <v/>
      </c>
    </row>
    <row r="591">
      <c r="A591" t="n">
        <v>599</v>
      </c>
      <c r="B591" s="128" t="n">
        <v>46264</v>
      </c>
      <c r="C591">
        <f>IF(B591="","",TEXT(B591,"MMM-YYYY"))</f>
        <v/>
      </c>
      <c r="D591" t="inlineStr">
        <is>
          <t>Plinth Phase</t>
        </is>
      </c>
      <c r="E591" t="inlineStr">
        <is>
          <t>Professional Fees</t>
        </is>
      </c>
      <c r="F591" t="inlineStr">
        <is>
          <t>Site Labour</t>
        </is>
      </c>
      <c r="G591" t="inlineStr">
        <is>
          <t>Santosh — Labour/Payment (Papa notebook)</t>
        </is>
      </c>
      <c r="H591" t="inlineStr">
        <is>
          <t>Econ Builder</t>
        </is>
      </c>
      <c r="I591" t="n">
        <v>1</v>
      </c>
      <c r="J591" t="inlineStr">
        <is>
          <t>Lumpsum</t>
        </is>
      </c>
      <c r="K591" t="n">
        <v>2000</v>
      </c>
      <c r="L591">
        <f>IF(OR(I591="",K591=""),"",I591*K591)</f>
        <v/>
      </c>
      <c r="N591">
        <f>M591*L591</f>
        <v/>
      </c>
      <c r="O591">
        <f>IF(L591="","",IF(M591="",L591,L591*(1-M591)))</f>
        <v/>
      </c>
    </row>
    <row r="592">
      <c r="A592" t="n">
        <v>600</v>
      </c>
      <c r="B592" s="128" t="n">
        <v>46264</v>
      </c>
      <c r="C592">
        <f>IF(B592="","",TEXT(B592,"MMM-YYYY"))</f>
        <v/>
      </c>
      <c r="D592" t="inlineStr">
        <is>
          <t>Plinth Phase</t>
        </is>
      </c>
      <c r="E592" t="inlineStr">
        <is>
          <t>Professional Fees</t>
        </is>
      </c>
      <c r="F592" t="inlineStr">
        <is>
          <t>Site Labour</t>
        </is>
      </c>
      <c r="G592" t="inlineStr">
        <is>
          <t>Santosh — Labour/Payment (Papa notebook)</t>
        </is>
      </c>
      <c r="H592" t="inlineStr">
        <is>
          <t>Econ Builder</t>
        </is>
      </c>
      <c r="I592" t="n">
        <v>1</v>
      </c>
      <c r="J592" t="inlineStr">
        <is>
          <t>Lumpsum</t>
        </is>
      </c>
      <c r="K592" t="n">
        <v>100</v>
      </c>
      <c r="L592">
        <f>IF(OR(I592="",K592=""),"",I592*K592)</f>
        <v/>
      </c>
      <c r="N592">
        <f>M592*L592</f>
        <v/>
      </c>
      <c r="O592">
        <f>IF(L592="","",IF(M592="",L592,L592*(1-M592)))</f>
        <v/>
      </c>
    </row>
    <row r="593">
      <c r="A593" t="n">
        <v>601</v>
      </c>
      <c r="B593" s="128" t="n">
        <v>46266</v>
      </c>
      <c r="C593">
        <f>IF(B593="","",TEXT(B593,"MMM-YYYY"))</f>
        <v/>
      </c>
      <c r="D593" t="inlineStr">
        <is>
          <t>Plinth Phase</t>
        </is>
      </c>
      <c r="E593" t="inlineStr">
        <is>
          <t>Professional Fees</t>
        </is>
      </c>
      <c r="F593" t="inlineStr">
        <is>
          <t>Misc Expense</t>
        </is>
      </c>
      <c r="G593" t="inlineStr">
        <is>
          <t>Mama — Expense (Papa notebook)</t>
        </is>
      </c>
      <c r="H593" t="inlineStr">
        <is>
          <t>Econ Builder</t>
        </is>
      </c>
      <c r="I593" t="n">
        <v>1</v>
      </c>
      <c r="J593" t="inlineStr">
        <is>
          <t>Lumpsum</t>
        </is>
      </c>
      <c r="K593" t="n">
        <v>500</v>
      </c>
      <c r="L593">
        <f>IF(OR(I593="",K593=""),"",I593*K593)</f>
        <v/>
      </c>
      <c r="N593">
        <f>M593*L593</f>
        <v/>
      </c>
      <c r="O593">
        <f>IF(L593="","",IF(M593="",L593,L593*(1-M593)))</f>
        <v/>
      </c>
    </row>
    <row r="594">
      <c r="A594" t="n">
        <v>602</v>
      </c>
      <c r="B594" s="128" t="n">
        <v>46267</v>
      </c>
      <c r="C594">
        <f>IF(B594="","",TEXT(B594,"MMM-YYYY"))</f>
        <v/>
      </c>
      <c r="D594" t="inlineStr">
        <is>
          <t>Plinth Phase</t>
        </is>
      </c>
      <c r="E594" t="inlineStr">
        <is>
          <t>Professional Fees</t>
        </is>
      </c>
      <c r="F594" t="inlineStr">
        <is>
          <t>Site Labour</t>
        </is>
      </c>
      <c r="G594" t="inlineStr">
        <is>
          <t>Santosh — Labour (Papa notebook)</t>
        </is>
      </c>
      <c r="H594" t="inlineStr">
        <is>
          <t>Econ Builder</t>
        </is>
      </c>
      <c r="I594" t="n">
        <v>1</v>
      </c>
      <c r="J594" t="inlineStr">
        <is>
          <t>Lumpsum</t>
        </is>
      </c>
      <c r="K594" t="n">
        <v>1000</v>
      </c>
      <c r="L594">
        <f>IF(OR(I594="",K594=""),"",I594*K594)</f>
        <v/>
      </c>
      <c r="N594">
        <f>M594*L594</f>
        <v/>
      </c>
      <c r="O594">
        <f>IF(L594="","",IF(M594="",L594,L594*(1-M594)))</f>
        <v/>
      </c>
    </row>
    <row r="595">
      <c r="A595" t="n">
        <v>603</v>
      </c>
      <c r="B595" s="128" t="n">
        <v>46267</v>
      </c>
      <c r="C595">
        <f>IF(B595="","",TEXT(B595,"MMM-YYYY"))</f>
        <v/>
      </c>
      <c r="D595" t="inlineStr">
        <is>
          <t>Plinth Phase</t>
        </is>
      </c>
      <c r="E595" t="inlineStr">
        <is>
          <t>Professional Fees</t>
        </is>
      </c>
      <c r="F595" t="inlineStr">
        <is>
          <t>Daily Labour-Unloading</t>
        </is>
      </c>
      <c r="G595" t="inlineStr">
        <is>
          <t>Labour (brick) — Material Unloading/Masonry (Papa notebook)</t>
        </is>
      </c>
      <c r="H595" t="inlineStr">
        <is>
          <t>Econ Builder</t>
        </is>
      </c>
      <c r="I595" t="n">
        <v>1</v>
      </c>
      <c r="J595" t="inlineStr">
        <is>
          <t>Lumpsum</t>
        </is>
      </c>
      <c r="K595" t="n">
        <v>1600</v>
      </c>
      <c r="L595">
        <f>IF(OR(I595="",K595=""),"",I595*K595)</f>
        <v/>
      </c>
      <c r="N595">
        <f>M595*L595</f>
        <v/>
      </c>
      <c r="O595">
        <f>IF(L595="","",IF(M595="",L595,L595*(1-M595)))</f>
        <v/>
      </c>
    </row>
    <row r="596">
      <c r="A596" t="n">
        <v>604</v>
      </c>
      <c r="B596" s="128" t="n">
        <v>46268</v>
      </c>
      <c r="C596">
        <f>IF(B596="","",TEXT(B596,"MMM-YYYY"))</f>
        <v/>
      </c>
      <c r="D596" t="inlineStr">
        <is>
          <t>Plinth Phase</t>
        </is>
      </c>
      <c r="E596" t="inlineStr">
        <is>
          <t>Professional Fees</t>
        </is>
      </c>
      <c r="F596" t="inlineStr">
        <is>
          <t>Site Labour</t>
        </is>
      </c>
      <c r="G596" t="inlineStr">
        <is>
          <t>Santosh — Labour (Papa notebook)</t>
        </is>
      </c>
      <c r="H596" t="inlineStr">
        <is>
          <t>Econ Builder</t>
        </is>
      </c>
      <c r="I596" t="n">
        <v>1</v>
      </c>
      <c r="J596" t="inlineStr">
        <is>
          <t>Lumpsum</t>
        </is>
      </c>
      <c r="K596" t="n">
        <v>2000</v>
      </c>
      <c r="L596">
        <f>IF(OR(I596="",K596=""),"",I596*K596)</f>
        <v/>
      </c>
      <c r="N596">
        <f>M596*L596</f>
        <v/>
      </c>
      <c r="O596">
        <f>IF(L596="","",IF(M596="",L596,L596*(1-M596)))</f>
        <v/>
      </c>
    </row>
    <row r="597">
      <c r="A597" t="n">
        <v>605</v>
      </c>
      <c r="B597" s="128" t="n">
        <v>46269</v>
      </c>
      <c r="C597">
        <f>IF(B597="","",TEXT(B597,"MMM-YYYY"))</f>
        <v/>
      </c>
      <c r="D597" t="inlineStr">
        <is>
          <t>Plinth Phase</t>
        </is>
      </c>
      <c r="E597" t="inlineStr">
        <is>
          <t>Professional Fees</t>
        </is>
      </c>
      <c r="F597" t="inlineStr">
        <is>
          <t>Site Labour</t>
        </is>
      </c>
      <c r="G597" t="inlineStr">
        <is>
          <t>Santosh — Labour (Papa notebook)</t>
        </is>
      </c>
      <c r="H597" t="inlineStr">
        <is>
          <t>Econ Builder</t>
        </is>
      </c>
      <c r="I597" t="n">
        <v>1</v>
      </c>
      <c r="J597" t="inlineStr">
        <is>
          <t>Lumpsum</t>
        </is>
      </c>
      <c r="K597" t="n">
        <v>1100</v>
      </c>
      <c r="L597">
        <f>IF(OR(I597="",K597=""),"",I597*K597)</f>
        <v/>
      </c>
      <c r="N597">
        <f>M597*L597</f>
        <v/>
      </c>
      <c r="O597">
        <f>IF(L597="","",IF(M597="",L597,L597*(1-M597)))</f>
        <v/>
      </c>
    </row>
    <row r="598">
      <c r="A598" t="n">
        <v>606</v>
      </c>
      <c r="B598" s="128" t="n">
        <v>46269</v>
      </c>
      <c r="C598">
        <f>IF(B598="","",TEXT(B598,"MMM-YYYY"))</f>
        <v/>
      </c>
      <c r="D598" t="inlineStr">
        <is>
          <t>Plinth Phase</t>
        </is>
      </c>
      <c r="E598" t="inlineStr">
        <is>
          <t>Professional Fees</t>
        </is>
      </c>
      <c r="F598" t="inlineStr">
        <is>
          <t>Site Labour</t>
        </is>
      </c>
      <c r="G598" t="inlineStr">
        <is>
          <t>Labour — Labour (Papa notebook)</t>
        </is>
      </c>
      <c r="H598" t="inlineStr">
        <is>
          <t>Econ Builder</t>
        </is>
      </c>
      <c r="I598" t="n">
        <v>1</v>
      </c>
      <c r="J598" t="inlineStr">
        <is>
          <t>Lumpsum</t>
        </is>
      </c>
      <c r="K598" t="n">
        <v>1600</v>
      </c>
      <c r="L598">
        <f>IF(OR(I598="",K598=""),"",I598*K598)</f>
        <v/>
      </c>
      <c r="N598">
        <f>M598*L598</f>
        <v/>
      </c>
      <c r="O598">
        <f>IF(L598="","",IF(M598="",L598,L598*(1-M598)))</f>
        <v/>
      </c>
    </row>
    <row r="599">
      <c r="A599" t="n">
        <v>607</v>
      </c>
      <c r="B599" s="128" t="n">
        <v>46274</v>
      </c>
      <c r="C599">
        <f>IF(B599="","",TEXT(B599,"MMM-YYYY"))</f>
        <v/>
      </c>
      <c r="D599" t="inlineStr">
        <is>
          <t>Plinth Phase</t>
        </is>
      </c>
      <c r="E599" t="inlineStr">
        <is>
          <t>Professional Fees</t>
        </is>
      </c>
      <c r="F599" t="inlineStr">
        <is>
          <t>Site Labour</t>
        </is>
      </c>
      <c r="G599" t="inlineStr">
        <is>
          <t>Santosh — Labour (Papa notebook)</t>
        </is>
      </c>
      <c r="H599" t="inlineStr">
        <is>
          <t>Econ Builder</t>
        </is>
      </c>
      <c r="I599" t="n">
        <v>1</v>
      </c>
      <c r="J599" t="inlineStr">
        <is>
          <t>Lumpsum</t>
        </is>
      </c>
      <c r="K599" t="n">
        <v>2000</v>
      </c>
      <c r="L599">
        <f>IF(OR(I599="",K599=""),"",I599*K599)</f>
        <v/>
      </c>
      <c r="N599">
        <f>M599*L599</f>
        <v/>
      </c>
      <c r="O599">
        <f>IF(L599="","",IF(M599="",L599,L599*(1-M599)))</f>
        <v/>
      </c>
    </row>
    <row r="600">
      <c r="A600" t="n">
        <v>608</v>
      </c>
      <c r="B600" s="128" t="n">
        <v>46274</v>
      </c>
      <c r="C600">
        <f>IF(B600="","",TEXT(B600,"MMM-YYYY"))</f>
        <v/>
      </c>
      <c r="D600" t="inlineStr">
        <is>
          <t>Plinth Phase</t>
        </is>
      </c>
      <c r="E600" t="inlineStr">
        <is>
          <t>Professional Fees</t>
        </is>
      </c>
      <c r="F600" t="inlineStr">
        <is>
          <t>Daily Labour-Unloading</t>
        </is>
      </c>
      <c r="G600" t="inlineStr">
        <is>
          <t>Labour (brick) — Material Unloading/Masonry (Papa notebook)</t>
        </is>
      </c>
      <c r="H600" t="inlineStr">
        <is>
          <t>Econ Builder</t>
        </is>
      </c>
      <c r="I600" t="n">
        <v>1</v>
      </c>
      <c r="J600" t="inlineStr">
        <is>
          <t>Lumpsum</t>
        </is>
      </c>
      <c r="K600" t="n">
        <v>700</v>
      </c>
      <c r="L600">
        <f>IF(OR(I600="",K600=""),"",I600*K600)</f>
        <v/>
      </c>
      <c r="N600">
        <f>M600*L600</f>
        <v/>
      </c>
      <c r="O600">
        <f>IF(L600="","",IF(M600="",L600,L600*(1-M600)))</f>
        <v/>
      </c>
    </row>
    <row r="601">
      <c r="A601" t="n">
        <v>609</v>
      </c>
      <c r="B601" s="128" t="n">
        <v>46274</v>
      </c>
      <c r="C601">
        <f>IF(B601="","",TEXT(B601,"MMM-YYYY"))</f>
        <v/>
      </c>
      <c r="D601" t="inlineStr">
        <is>
          <t>Plinth Phase</t>
        </is>
      </c>
      <c r="E601" t="inlineStr">
        <is>
          <t>Professional Fees</t>
        </is>
      </c>
      <c r="F601" t="inlineStr">
        <is>
          <t>Shuttering Labour</t>
        </is>
      </c>
      <c r="G601" t="inlineStr">
        <is>
          <t>Shuttering — Formwork/Shuttering (Papa notebook)</t>
        </is>
      </c>
      <c r="H601" t="inlineStr">
        <is>
          <t>Econ Builder</t>
        </is>
      </c>
      <c r="I601" t="n">
        <v>1</v>
      </c>
      <c r="J601" t="inlineStr">
        <is>
          <t>Lumpsum</t>
        </is>
      </c>
      <c r="K601" t="n">
        <v>30000</v>
      </c>
      <c r="L601">
        <f>IF(OR(I601="",K601=""),"",I601*K601)</f>
        <v/>
      </c>
      <c r="N601">
        <f>M601*L601</f>
        <v/>
      </c>
      <c r="O601">
        <f>IF(L601="","",IF(M601="",L601,L601*(1-M601)))</f>
        <v/>
      </c>
    </row>
    <row r="602">
      <c r="A602" t="n">
        <v>610</v>
      </c>
      <c r="B602" s="128" t="n">
        <v>46275</v>
      </c>
      <c r="C602">
        <f>IF(B602="","",TEXT(B602,"MMM-YYYY"))</f>
        <v/>
      </c>
      <c r="D602" t="inlineStr">
        <is>
          <t>Plinth Phase</t>
        </is>
      </c>
      <c r="E602" t="inlineStr">
        <is>
          <t>Professional Fees</t>
        </is>
      </c>
      <c r="F602" t="inlineStr">
        <is>
          <t>Shuttering Labour</t>
        </is>
      </c>
      <c r="G602" t="inlineStr">
        <is>
          <t>Shuttering — Formwork/Shuttering (Papa notebook)</t>
        </is>
      </c>
      <c r="H602" t="inlineStr">
        <is>
          <t>Econ Builder</t>
        </is>
      </c>
      <c r="I602" t="n">
        <v>1</v>
      </c>
      <c r="J602" t="inlineStr">
        <is>
          <t>Lumpsum</t>
        </is>
      </c>
      <c r="K602" t="n">
        <v>20000</v>
      </c>
      <c r="L602">
        <f>IF(OR(I602="",K602=""),"",I602*K602)</f>
        <v/>
      </c>
      <c r="N602">
        <f>M602*L602</f>
        <v/>
      </c>
      <c r="O602">
        <f>IF(L602="","",IF(M602="",L602,L602*(1-M602)))</f>
        <v/>
      </c>
    </row>
    <row r="603">
      <c r="A603" t="n">
        <v>611</v>
      </c>
      <c r="B603" s="128" t="n">
        <v>46278</v>
      </c>
      <c r="C603">
        <f>IF(B603="","",TEXT(B603,"MMM-YYYY"))</f>
        <v/>
      </c>
      <c r="D603" t="inlineStr">
        <is>
          <t>Plinth Phase</t>
        </is>
      </c>
      <c r="E603" t="inlineStr">
        <is>
          <t>Professional Fees</t>
        </is>
      </c>
      <c r="F603" t="inlineStr">
        <is>
          <t>Tools/Equipment</t>
        </is>
      </c>
      <c r="G603" t="inlineStr">
        <is>
          <t>Hammer bala — Tools/Labour (Papa notebook)</t>
        </is>
      </c>
      <c r="H603" t="inlineStr">
        <is>
          <t>Econ Builder</t>
        </is>
      </c>
      <c r="I603" t="n">
        <v>1</v>
      </c>
      <c r="J603" t="inlineStr">
        <is>
          <t>Lumpsum</t>
        </is>
      </c>
      <c r="K603" t="n">
        <v>1400</v>
      </c>
      <c r="L603">
        <f>IF(OR(I603="",K603=""),"",I603*K603)</f>
        <v/>
      </c>
      <c r="N603">
        <f>M603*L603</f>
        <v/>
      </c>
      <c r="O603">
        <f>IF(L603="","",IF(M603="",L603,L603*(1-M603)))</f>
        <v/>
      </c>
    </row>
    <row r="604">
      <c r="A604" t="n">
        <v>612</v>
      </c>
      <c r="B604" s="128" t="n">
        <v>46281</v>
      </c>
      <c r="C604">
        <f>IF(B604="","",TEXT(B604,"MMM-YYYY"))</f>
        <v/>
      </c>
      <c r="D604" t="inlineStr">
        <is>
          <t>Plinth Phase</t>
        </is>
      </c>
      <c r="E604" t="inlineStr">
        <is>
          <t>Professional Fees</t>
        </is>
      </c>
      <c r="F604" t="inlineStr">
        <is>
          <t>Shuttering Labour</t>
        </is>
      </c>
      <c r="G604" t="inlineStr">
        <is>
          <t>Shuttering — Formwork/Shuttering (Papa notebook)</t>
        </is>
      </c>
      <c r="H604" t="inlineStr">
        <is>
          <t>Econ Builder</t>
        </is>
      </c>
      <c r="I604" t="n">
        <v>1</v>
      </c>
      <c r="J604" t="inlineStr">
        <is>
          <t>Lumpsum</t>
        </is>
      </c>
      <c r="K604" t="n">
        <v>5000</v>
      </c>
      <c r="L604">
        <f>IF(OR(I604="",K604=""),"",I604*K604)</f>
        <v/>
      </c>
      <c r="N604">
        <f>M604*L604</f>
        <v/>
      </c>
      <c r="O604">
        <f>IF(L604="","",IF(M604="",L604,L604*(1-M604)))</f>
        <v/>
      </c>
    </row>
    <row r="605">
      <c r="A605" t="n">
        <v>613</v>
      </c>
      <c r="B605" s="128" t="n">
        <v>46281</v>
      </c>
      <c r="C605">
        <f>IF(B605="","",TEXT(B605,"MMM-YYYY"))</f>
        <v/>
      </c>
      <c r="D605" t="inlineStr">
        <is>
          <t>Plinth Phase</t>
        </is>
      </c>
      <c r="E605" t="inlineStr">
        <is>
          <t>Professional Fees</t>
        </is>
      </c>
      <c r="F605" t="inlineStr">
        <is>
          <t>Shuttering Labour</t>
        </is>
      </c>
      <c r="G605" t="inlineStr">
        <is>
          <t>Shuttering — Formwork/Shuttering (Papa notebook)</t>
        </is>
      </c>
      <c r="H605" t="inlineStr">
        <is>
          <t>Econ Builder</t>
        </is>
      </c>
      <c r="I605" t="n">
        <v>1</v>
      </c>
      <c r="J605" t="inlineStr">
        <is>
          <t>Lumpsum</t>
        </is>
      </c>
      <c r="K605" t="n">
        <v>15000</v>
      </c>
      <c r="L605">
        <f>IF(OR(I605="",K605=""),"",I605*K605)</f>
        <v/>
      </c>
      <c r="N605">
        <f>M605*L605</f>
        <v/>
      </c>
      <c r="O605">
        <f>IF(L605="","",IF(M605="",L605,L605*(1-M605)))</f>
        <v/>
      </c>
    </row>
    <row r="606">
      <c r="A606" t="n">
        <v>614</v>
      </c>
      <c r="B606" s="128" t="n">
        <v>46287</v>
      </c>
      <c r="C606">
        <f>IF(B606="","",TEXT(B606,"MMM-YYYY"))</f>
        <v/>
      </c>
      <c r="D606" t="inlineStr">
        <is>
          <t>Plinth Phase</t>
        </is>
      </c>
      <c r="E606" t="inlineStr">
        <is>
          <t>Building Materials</t>
        </is>
      </c>
      <c r="F606" t="inlineStr">
        <is>
          <t>Sand</t>
        </is>
      </c>
      <c r="G606" t="inlineStr">
        <is>
          <t>Sand Truck — 944 CFT @ ₹60.59/CFT</t>
        </is>
      </c>
      <c r="H606" t="inlineStr">
        <is>
          <t>Sand Truck Wala</t>
        </is>
      </c>
      <c r="I606" t="n">
        <v>944</v>
      </c>
      <c r="J606" t="inlineStr">
        <is>
          <t>CFT</t>
        </is>
      </c>
      <c r="K606" t="n">
        <v>60.59322033898305</v>
      </c>
      <c r="L606">
        <f>IF(OR(I606="",K606=""),"",I606*K606)</f>
        <v/>
      </c>
      <c r="N606">
        <f>M606*L606</f>
        <v/>
      </c>
      <c r="O606">
        <f>IF(L606="","",IF(M606="",L606,L606*(1-M606)))</f>
        <v/>
      </c>
    </row>
    <row r="607">
      <c r="A607" t="n">
        <v>615</v>
      </c>
      <c r="B607" s="128" t="n">
        <v>46293</v>
      </c>
      <c r="C607">
        <f>IF(B607="","",TEXT(B607,"MMM-YYYY"))</f>
        <v/>
      </c>
      <c r="D607" t="inlineStr">
        <is>
          <t>Plinth Phase</t>
        </is>
      </c>
      <c r="E607" t="inlineStr">
        <is>
          <t>Professional Fees</t>
        </is>
      </c>
      <c r="F607" t="inlineStr">
        <is>
          <t>Engineer Supervision</t>
        </is>
      </c>
      <c r="G607" t="inlineStr">
        <is>
          <t>Construction work done — general site supervision &amp; labour (Papa, 28-Sep)</t>
        </is>
      </c>
      <c r="H607" t="inlineStr">
        <is>
          <t>Econ Builder</t>
        </is>
      </c>
      <c r="I607" t="n">
        <v>1</v>
      </c>
      <c r="J607" t="inlineStr">
        <is>
          <t>Lumpsum</t>
        </is>
      </c>
      <c r="K607" t="n">
        <v>50000</v>
      </c>
      <c r="L607">
        <f>IF(OR(I607="",K607=""),"",I607*K607)</f>
        <v/>
      </c>
      <c r="N607">
        <f>M607*L607</f>
        <v/>
      </c>
      <c r="O607">
        <f>IF(L607="","",IF(M607="",L607,L607*(1-M607)))</f>
        <v/>
      </c>
    </row>
    <row r="608">
      <c r="A608" t="n">
        <v>616</v>
      </c>
      <c r="B608" s="128" t="n">
        <v>46296</v>
      </c>
      <c r="C608">
        <f>IF(B608="","",TEXT(B608,"MMM-YYYY"))</f>
        <v/>
      </c>
      <c r="D608" t="inlineStr">
        <is>
          <t>Plinth Phase</t>
        </is>
      </c>
      <c r="E608" t="inlineStr">
        <is>
          <t>Building Materials</t>
        </is>
      </c>
      <c r="F608" t="inlineStr">
        <is>
          <t>Concrete/Gitti</t>
        </is>
      </c>
      <c r="G608" t="inlineStr">
        <is>
          <t>Gitti delivery (qty not recorded)</t>
        </is>
      </c>
      <c r="H608" t="inlineStr">
        <is>
          <t>Concrete Supplier</t>
        </is>
      </c>
      <c r="I608" t="n">
        <v>1</v>
      </c>
      <c r="J608" t="inlineStr">
        <is>
          <t>Lumpsum</t>
        </is>
      </c>
      <c r="K608" t="n">
        <v>79500</v>
      </c>
      <c r="L608">
        <f>IF(OR(I608="",K608=""),"",I608*K608)</f>
        <v/>
      </c>
      <c r="N608">
        <f>M608*L608</f>
        <v/>
      </c>
      <c r="O608">
        <f>IF(L608="","",IF(M608="",L608,L608*(1-M608)))</f>
        <v/>
      </c>
    </row>
    <row r="609">
      <c r="A609" t="n">
        <v>617</v>
      </c>
      <c r="B609" s="128" t="n">
        <v>46300</v>
      </c>
      <c r="C609">
        <f>IF(B609="","",TEXT(B609,"MMM-YYYY"))</f>
        <v/>
      </c>
      <c r="D609" t="inlineStr">
        <is>
          <t>Plinth Phase</t>
        </is>
      </c>
      <c r="E609" t="inlineStr">
        <is>
          <t>Steel / Iron</t>
        </is>
      </c>
      <c r="F609" t="inlineStr">
        <is>
          <t>Tiscon 16mm</t>
        </is>
      </c>
      <c r="G609" t="inlineStr">
        <is>
          <t>Tiscon 16mm rod 6 pcs</t>
        </is>
      </c>
      <c r="H609" t="inlineStr">
        <is>
          <t>Pappu Hardware</t>
        </is>
      </c>
      <c r="I609" t="n">
        <v>6</v>
      </c>
      <c r="J609" t="inlineStr">
        <is>
          <t>pcs</t>
        </is>
      </c>
      <c r="K609" t="n">
        <v>1459.166666666667</v>
      </c>
      <c r="L609">
        <f>IF(OR(I609="",K609=""),"",I609*K609)</f>
        <v/>
      </c>
      <c r="N609">
        <f>M609*L609</f>
        <v/>
      </c>
      <c r="O609">
        <f>IF(L609="","",IF(M609="",L609,L609*(1-M609)))</f>
        <v/>
      </c>
    </row>
    <row r="610">
      <c r="A610" t="n">
        <v>618</v>
      </c>
      <c r="B610" s="128" t="n">
        <v>46300</v>
      </c>
      <c r="C610">
        <f>IF(B610="","",TEXT(B610,"MMM-YYYY"))</f>
        <v/>
      </c>
      <c r="D610" t="inlineStr">
        <is>
          <t>Plinth Phase</t>
        </is>
      </c>
      <c r="E610" t="inlineStr">
        <is>
          <t>Steel / Iron</t>
        </is>
      </c>
      <c r="F610" t="inlineStr">
        <is>
          <t>Tiscon 12mm</t>
        </is>
      </c>
      <c r="G610" t="inlineStr">
        <is>
          <t>Tiscon 12mm rod 50 pcs</t>
        </is>
      </c>
      <c r="H610" t="inlineStr">
        <is>
          <t>Pappu Hardware</t>
        </is>
      </c>
      <c r="I610" t="n">
        <v>50</v>
      </c>
      <c r="J610" t="inlineStr">
        <is>
          <t>pcs</t>
        </is>
      </c>
      <c r="K610" t="n">
        <v>819.84</v>
      </c>
      <c r="L610">
        <f>IF(OR(I610="",K610=""),"",I610*K610)</f>
        <v/>
      </c>
      <c r="N610">
        <f>M610*L610</f>
        <v/>
      </c>
      <c r="O610">
        <f>IF(L610="","",IF(M610="",L610,L610*(1-M610)))</f>
        <v/>
      </c>
    </row>
    <row r="611">
      <c r="A611" t="n">
        <v>619</v>
      </c>
      <c r="B611" s="128" t="n">
        <v>46300</v>
      </c>
      <c r="C611">
        <f>IF(B611="","",TEXT(B611,"MMM-YYYY"))</f>
        <v/>
      </c>
      <c r="D611" t="inlineStr">
        <is>
          <t>Plinth Phase</t>
        </is>
      </c>
      <c r="E611" t="inlineStr">
        <is>
          <t>Steel / Iron</t>
        </is>
      </c>
      <c r="F611" t="inlineStr">
        <is>
          <t>Tiscon 10mm</t>
        </is>
      </c>
      <c r="G611" t="inlineStr">
        <is>
          <t>Tiscon 10mm rod 260 pcs</t>
        </is>
      </c>
      <c r="H611" t="inlineStr">
        <is>
          <t>Pappu Hardware</t>
        </is>
      </c>
      <c r="I611" t="n">
        <v>260</v>
      </c>
      <c r="J611" t="inlineStr">
        <is>
          <t>pcs</t>
        </is>
      </c>
      <c r="K611" t="n">
        <v>580.8</v>
      </c>
      <c r="L611">
        <f>IF(OR(I611="",K611=""),"",I611*K611)</f>
        <v/>
      </c>
      <c r="N611">
        <f>M611*L611</f>
        <v/>
      </c>
      <c r="O611">
        <f>IF(L611="","",IF(M611="",L611,L611*(1-M611)))</f>
        <v/>
      </c>
    </row>
    <row r="612">
      <c r="A612" t="n">
        <v>620</v>
      </c>
      <c r="B612" s="128" t="n">
        <v>46300</v>
      </c>
      <c r="C612">
        <f>IF(B612="","",TEXT(B612,"MMM-YYYY"))</f>
        <v/>
      </c>
      <c r="D612" t="inlineStr">
        <is>
          <t>Plinth Phase</t>
        </is>
      </c>
      <c r="E612" t="inlineStr">
        <is>
          <t>Steel / Iron</t>
        </is>
      </c>
      <c r="F612" t="inlineStr">
        <is>
          <t>Tiscon 8mm</t>
        </is>
      </c>
      <c r="G612" t="inlineStr">
        <is>
          <t>Tiscon 8mm rod 202 pcs</t>
        </is>
      </c>
      <c r="H612" t="inlineStr">
        <is>
          <t>Pappu Hardware</t>
        </is>
      </c>
      <c r="I612" t="n">
        <v>202</v>
      </c>
      <c r="J612" t="inlineStr">
        <is>
          <t>pcs</t>
        </is>
      </c>
      <c r="K612" t="n">
        <v>380.1584158415841</v>
      </c>
      <c r="L612">
        <f>IF(OR(I612="",K612=""),"",I612*K612)</f>
        <v/>
      </c>
      <c r="N612">
        <f>M612*L612</f>
        <v/>
      </c>
      <c r="O612">
        <f>IF(L612="","",IF(M612="",L612,L612*(1-M612)))</f>
        <v/>
      </c>
    </row>
    <row r="613">
      <c r="A613" t="n">
        <v>621</v>
      </c>
      <c r="B613" s="128" t="n">
        <v>46300</v>
      </c>
      <c r="C613">
        <f>IF(B613="","",TEXT(B613,"MMM-YYYY"))</f>
        <v/>
      </c>
      <c r="D613" t="inlineStr">
        <is>
          <t>Plinth Phase</t>
        </is>
      </c>
      <c r="E613" t="inlineStr">
        <is>
          <t>Steel / Iron</t>
        </is>
      </c>
      <c r="F613" t="inlineStr">
        <is>
          <t>Tiscon 6mm</t>
        </is>
      </c>
      <c r="G613" t="inlineStr">
        <is>
          <t>Tiscon 6mm rod 50 pcs</t>
        </is>
      </c>
      <c r="H613" t="inlineStr">
        <is>
          <t>Pappu Hardware</t>
        </is>
      </c>
      <c r="I613" t="n">
        <v>50</v>
      </c>
      <c r="J613" t="inlineStr">
        <is>
          <t>pcs</t>
        </is>
      </c>
      <c r="K613" t="n">
        <v>233</v>
      </c>
      <c r="L613">
        <f>IF(OR(I613="",K613=""),"",I613*K613)</f>
        <v/>
      </c>
      <c r="N613">
        <f>M613*L613</f>
        <v/>
      </c>
      <c r="O613">
        <f>IF(L613="","",IF(M613="",L613,L613*(1-M613)))</f>
        <v/>
      </c>
    </row>
    <row r="614">
      <c r="A614" t="n">
        <v>622</v>
      </c>
      <c r="B614" s="128" t="n">
        <v>46300</v>
      </c>
      <c r="C614">
        <f>IF(B614="","",TEXT(B614,"MMM-YYYY"))</f>
        <v/>
      </c>
      <c r="D614" t="inlineStr">
        <is>
          <t>Plinth Phase</t>
        </is>
      </c>
      <c r="E614" t="inlineStr">
        <is>
          <t>Building Materials</t>
        </is>
      </c>
      <c r="F614" t="inlineStr">
        <is>
          <t>Binding Wire</t>
        </is>
      </c>
      <c r="G614" t="inlineStr">
        <is>
          <t>Binding wire</t>
        </is>
      </c>
      <c r="H614" t="inlineStr">
        <is>
          <t>Pappu Hardware</t>
        </is>
      </c>
      <c r="I614" t="n">
        <v>1</v>
      </c>
      <c r="J614" t="inlineStr">
        <is>
          <t>Lumpsum</t>
        </is>
      </c>
      <c r="K614" t="n">
        <v>1700</v>
      </c>
      <c r="L614">
        <f>IF(OR(I614="",K614=""),"",I614*K614)</f>
        <v/>
      </c>
      <c r="N614">
        <f>M614*L614</f>
        <v/>
      </c>
      <c r="O614">
        <f>IF(L614="","",IF(M614="",L614,L614*(1-M614)))</f>
        <v/>
      </c>
    </row>
    <row r="615">
      <c r="A615" t="n">
        <v>623</v>
      </c>
      <c r="B615" s="128" t="n">
        <v>46300</v>
      </c>
      <c r="C615">
        <f>IF(B615="","",TEXT(B615,"MMM-YYYY"))</f>
        <v/>
      </c>
      <c r="D615" t="inlineStr">
        <is>
          <t>Plinth Phase</t>
        </is>
      </c>
      <c r="E615" t="inlineStr">
        <is>
          <t>Steel / Iron</t>
        </is>
      </c>
      <c r="F615" t="inlineStr">
        <is>
          <t>Wire</t>
        </is>
      </c>
      <c r="G615" t="inlineStr">
        <is>
          <t>Wire</t>
        </is>
      </c>
      <c r="H615" t="inlineStr">
        <is>
          <t>Pappu Hardware</t>
        </is>
      </c>
      <c r="I615" t="n">
        <v>1</v>
      </c>
      <c r="J615" t="inlineStr">
        <is>
          <t>Lumpsum</t>
        </is>
      </c>
      <c r="K615" t="n">
        <v>3300</v>
      </c>
      <c r="L615">
        <f>IF(OR(I615="",K615=""),"",I615*K615)</f>
        <v/>
      </c>
      <c r="N615">
        <f>M615*L615</f>
        <v/>
      </c>
      <c r="O615">
        <f>IF(L615="","",IF(M615="",L615,L615*(1-M615)))</f>
        <v/>
      </c>
    </row>
    <row r="616">
      <c r="A616" t="n">
        <v>624</v>
      </c>
      <c r="B616" s="128" t="n">
        <v>46300</v>
      </c>
      <c r="C616">
        <f>IF(B616="","",TEXT(B616,"MMM-YYYY"))</f>
        <v/>
      </c>
      <c r="D616" t="inlineStr">
        <is>
          <t>Plinth Phase</t>
        </is>
      </c>
      <c r="E616" t="inlineStr">
        <is>
          <t>Labour</t>
        </is>
      </c>
      <c r="F616" t="inlineStr">
        <is>
          <t>Site Labour</t>
        </is>
      </c>
      <c r="G616" t="inlineStr">
        <is>
          <t>Labour</t>
        </is>
      </c>
      <c r="H616" t="inlineStr">
        <is>
          <t>Pappu Hardware</t>
        </is>
      </c>
      <c r="I616" t="n">
        <v>1</v>
      </c>
      <c r="J616" t="inlineStr">
        <is>
          <t>Lumpsum</t>
        </is>
      </c>
      <c r="K616" t="n">
        <v>900</v>
      </c>
      <c r="L616">
        <f>IF(OR(I616="",K616=""),"",I616*K616)</f>
        <v/>
      </c>
      <c r="N616">
        <f>M616*L616</f>
        <v/>
      </c>
      <c r="O616">
        <f>IF(L616="","",IF(M616="",L616,L616*(1-M616)))</f>
        <v/>
      </c>
    </row>
    <row r="617">
      <c r="A617" t="n">
        <v>625</v>
      </c>
      <c r="B617" s="128" t="n">
        <v>46300</v>
      </c>
      <c r="C617">
        <f>IF(B617="","",TEXT(B617,"MMM-YYYY"))</f>
        <v/>
      </c>
      <c r="D617" t="inlineStr">
        <is>
          <t>Plinth Phase</t>
        </is>
      </c>
      <c r="E617" t="inlineStr">
        <is>
          <t>Steel / Iron</t>
        </is>
      </c>
      <c r="F617" t="inlineStr">
        <is>
          <t>Tiscon 8mm</t>
        </is>
      </c>
      <c r="G617" t="inlineStr">
        <is>
          <t>Tiscon 8mm rod 60 pcs</t>
        </is>
      </c>
      <c r="H617" t="inlineStr">
        <is>
          <t>Pappu Hardware</t>
        </is>
      </c>
      <c r="I617" t="n">
        <v>60</v>
      </c>
      <c r="J617" t="inlineStr">
        <is>
          <t>pcs</t>
        </is>
      </c>
      <c r="K617" t="n">
        <v>391.6833333333333</v>
      </c>
      <c r="L617">
        <f>IF(OR(I617="",K617=""),"",I617*K617)</f>
        <v/>
      </c>
      <c r="N617">
        <f>M617*L617</f>
        <v/>
      </c>
      <c r="O617">
        <f>IF(L617="","",IF(M617="",L617,L617*(1-M617)))</f>
        <v/>
      </c>
    </row>
    <row r="618">
      <c r="A618" t="n">
        <v>626</v>
      </c>
      <c r="B618" s="128" t="n">
        <v>46300</v>
      </c>
      <c r="C618">
        <f>IF(B618="","",TEXT(B618,"MMM-YYYY"))</f>
        <v/>
      </c>
      <c r="D618" t="inlineStr">
        <is>
          <t>Plinth Phase</t>
        </is>
      </c>
      <c r="E618" t="inlineStr">
        <is>
          <t>Labour</t>
        </is>
      </c>
      <c r="F618" t="inlineStr">
        <is>
          <t>Site Labour</t>
        </is>
      </c>
      <c r="G618" t="inlineStr">
        <is>
          <t>Labour</t>
        </is>
      </c>
      <c r="H618" t="inlineStr">
        <is>
          <t>Pappu Hardware</t>
        </is>
      </c>
      <c r="I618" t="n">
        <v>1</v>
      </c>
      <c r="J618" t="inlineStr">
        <is>
          <t>Lumpsum</t>
        </is>
      </c>
      <c r="K618" t="n">
        <v>350</v>
      </c>
      <c r="L618">
        <f>IF(OR(I618="",K618=""),"",I618*K618)</f>
        <v/>
      </c>
      <c r="N618">
        <f>M618*L618</f>
        <v/>
      </c>
      <c r="O618">
        <f>IF(L618="","",IF(M618="",L618,L618*(1-M618)))</f>
        <v/>
      </c>
    </row>
    <row r="619">
      <c r="A619" t="n">
        <v>627</v>
      </c>
      <c r="B619" s="128" t="n">
        <v>46300</v>
      </c>
      <c r="C619">
        <f>IF(B619="","",TEXT(B619,"MMM-YYYY"))</f>
        <v/>
      </c>
      <c r="D619" t="inlineStr">
        <is>
          <t>Plinth Phase</t>
        </is>
      </c>
      <c r="E619" t="inlineStr">
        <is>
          <t>Steel / Iron</t>
        </is>
      </c>
      <c r="F619" t="inlineStr">
        <is>
          <t>Tiscon 6mm</t>
        </is>
      </c>
      <c r="G619" t="inlineStr">
        <is>
          <t>Tiscon 6mm rod 24 pcs</t>
        </is>
      </c>
      <c r="H619" t="inlineStr">
        <is>
          <t>Pappu Hardware</t>
        </is>
      </c>
      <c r="I619" t="n">
        <v>24</v>
      </c>
      <c r="J619" t="inlineStr">
        <is>
          <t>pcs</t>
        </is>
      </c>
      <c r="K619" t="n">
        <v>240</v>
      </c>
      <c r="L619">
        <f>IF(OR(I619="",K619=""),"",I619*K619)</f>
        <v/>
      </c>
      <c r="N619">
        <f>M619*L619</f>
        <v/>
      </c>
      <c r="O619">
        <f>IF(L619="","",IF(M619="",L619,L619*(1-M619)))</f>
        <v/>
      </c>
    </row>
    <row r="620">
      <c r="A620" t="n">
        <v>628</v>
      </c>
      <c r="B620" s="128" t="n">
        <v>46300</v>
      </c>
      <c r="C620">
        <f>IF(B620="","",TEXT(B620,"MMM-YYYY"))</f>
        <v/>
      </c>
      <c r="D620" t="inlineStr">
        <is>
          <t>Plinth Phase</t>
        </is>
      </c>
      <c r="E620" t="inlineStr">
        <is>
          <t>Labour</t>
        </is>
      </c>
      <c r="F620" t="inlineStr">
        <is>
          <t>Site Labour</t>
        </is>
      </c>
      <c r="G620" t="inlineStr">
        <is>
          <t>Labour</t>
        </is>
      </c>
      <c r="H620" t="inlineStr">
        <is>
          <t>Pappu Hardware</t>
        </is>
      </c>
      <c r="I620" t="n">
        <v>1</v>
      </c>
      <c r="J620" t="inlineStr">
        <is>
          <t>Lumpsum</t>
        </is>
      </c>
      <c r="K620" t="n">
        <v>340</v>
      </c>
      <c r="L620">
        <f>IF(OR(I620="",K620=""),"",I620*K620)</f>
        <v/>
      </c>
      <c r="N620">
        <f>M620*L620</f>
        <v/>
      </c>
      <c r="O620">
        <f>IF(L620="","",IF(M620="",L620,L620*(1-M620)))</f>
        <v/>
      </c>
    </row>
    <row r="621">
      <c r="A621" t="n">
        <v>629</v>
      </c>
      <c r="B621" s="128" t="n">
        <v>46300</v>
      </c>
      <c r="C621">
        <f>IF(B621="","",TEXT(B621,"MMM-YYYY"))</f>
        <v/>
      </c>
      <c r="D621" t="inlineStr">
        <is>
          <t>Plinth Phase</t>
        </is>
      </c>
      <c r="E621" t="inlineStr">
        <is>
          <t>Steel / Iron</t>
        </is>
      </c>
      <c r="F621" t="inlineStr">
        <is>
          <t>Tiscon 6mm</t>
        </is>
      </c>
      <c r="G621" t="inlineStr">
        <is>
          <t>Tiscon 6mm rod 48 pcs</t>
        </is>
      </c>
      <c r="H621" t="inlineStr">
        <is>
          <t>Pappu Hardware</t>
        </is>
      </c>
      <c r="I621" t="n">
        <v>48</v>
      </c>
      <c r="J621" t="inlineStr">
        <is>
          <t>pcs</t>
        </is>
      </c>
      <c r="K621" t="n">
        <v>240</v>
      </c>
      <c r="L621">
        <f>IF(OR(I621="",K621=""),"",I621*K621)</f>
        <v/>
      </c>
      <c r="N621">
        <f>M621*L621</f>
        <v/>
      </c>
      <c r="O621">
        <f>IF(L621="","",IF(M621="",L621,L621*(1-M621)))</f>
        <v/>
      </c>
    </row>
    <row r="622">
      <c r="A622" t="n">
        <v>630</v>
      </c>
      <c r="B622" s="128" t="n">
        <v>46300</v>
      </c>
      <c r="C622">
        <f>IF(B622="","",TEXT(B622,"MMM-YYYY"))</f>
        <v/>
      </c>
      <c r="D622" t="inlineStr">
        <is>
          <t>Plinth Phase</t>
        </is>
      </c>
      <c r="E622" t="inlineStr">
        <is>
          <t>Steel / Iron</t>
        </is>
      </c>
      <c r="F622" t="inlineStr">
        <is>
          <t>Tiscon 12mm</t>
        </is>
      </c>
      <c r="G622" t="inlineStr">
        <is>
          <t>Tiscon 12mm rod 6 pcs</t>
        </is>
      </c>
      <c r="H622" t="inlineStr">
        <is>
          <t>Pappu Hardware</t>
        </is>
      </c>
      <c r="I622" t="n">
        <v>6</v>
      </c>
      <c r="J622" t="inlineStr">
        <is>
          <t>pcs</t>
        </is>
      </c>
      <c r="K622" t="n">
        <v>866</v>
      </c>
      <c r="L622">
        <f>IF(OR(I622="",K622=""),"",I622*K622)</f>
        <v/>
      </c>
      <c r="N622">
        <f>M622*L622</f>
        <v/>
      </c>
      <c r="O622">
        <f>IF(L622="","",IF(M622="",L622,L622*(1-M622)))</f>
        <v/>
      </c>
    </row>
    <row r="623">
      <c r="A623" t="n">
        <v>631</v>
      </c>
      <c r="B623" s="128" t="n">
        <v>46300</v>
      </c>
      <c r="C623">
        <f>IF(B623="","",TEXT(B623,"MMM-YYYY"))</f>
        <v/>
      </c>
      <c r="D623" t="inlineStr">
        <is>
          <t>Plinth Phase</t>
        </is>
      </c>
      <c r="E623" t="inlineStr">
        <is>
          <t>Labour</t>
        </is>
      </c>
      <c r="F623" t="inlineStr">
        <is>
          <t>Site Labour</t>
        </is>
      </c>
      <c r="G623" t="inlineStr">
        <is>
          <t>Labour</t>
        </is>
      </c>
      <c r="H623" t="inlineStr">
        <is>
          <t>Pappu Hardware</t>
        </is>
      </c>
      <c r="I623" t="n">
        <v>1</v>
      </c>
      <c r="J623" t="inlineStr">
        <is>
          <t>Lumpsum</t>
        </is>
      </c>
      <c r="K623" t="n">
        <v>350</v>
      </c>
      <c r="L623">
        <f>IF(OR(I623="",K623=""),"",I623*K623)</f>
        <v/>
      </c>
      <c r="N623">
        <f>M623*L623</f>
        <v/>
      </c>
      <c r="O623">
        <f>IF(L623="","",IF(M623="",L623,L623*(1-M623)))</f>
        <v/>
      </c>
    </row>
    <row r="624">
      <c r="A624" t="n">
        <v>632</v>
      </c>
      <c r="B624" s="128" t="n">
        <v>46300</v>
      </c>
      <c r="C624">
        <f>IF(B624="","",TEXT(B624,"MMM-YYYY"))</f>
        <v/>
      </c>
      <c r="D624" t="inlineStr">
        <is>
          <t>Plinth Phase</t>
        </is>
      </c>
      <c r="E624" t="inlineStr">
        <is>
          <t>Transport · Food · Misc</t>
        </is>
      </c>
      <c r="F624" t="inlineStr">
        <is>
          <t>Misc Expense</t>
        </is>
      </c>
      <c r="G624" t="inlineStr">
        <is>
          <t>Misc</t>
        </is>
      </c>
      <c r="H624" t="inlineStr">
        <is>
          <t>Pappu Hardware</t>
        </is>
      </c>
      <c r="I624" t="n">
        <v>1</v>
      </c>
      <c r="J624" t="inlineStr">
        <is>
          <t>Lumpsum</t>
        </is>
      </c>
      <c r="K624" t="n">
        <v>1170</v>
      </c>
      <c r="L624">
        <f>IF(OR(I624="",K624=""),"",I624*K624)</f>
        <v/>
      </c>
      <c r="N624">
        <f>M624*L624</f>
        <v/>
      </c>
      <c r="O624">
        <f>IF(L624="","",IF(M624="",L624,L624*(1-M624)))</f>
        <v/>
      </c>
    </row>
    <row r="625">
      <c r="A625" t="n">
        <v>633</v>
      </c>
      <c r="B625" s="128" t="n">
        <v>46300</v>
      </c>
      <c r="C625">
        <f>IF(B625="","",TEXT(B625,"MMM-YYYY"))</f>
        <v/>
      </c>
      <c r="D625" t="inlineStr">
        <is>
          <t>Plinth Phase</t>
        </is>
      </c>
      <c r="E625" t="inlineStr">
        <is>
          <t>Steel / Iron</t>
        </is>
      </c>
      <c r="F625" t="inlineStr">
        <is>
          <t>Rings</t>
        </is>
      </c>
      <c r="G625" t="inlineStr">
        <is>
          <t>Rings (stirrups)</t>
        </is>
      </c>
      <c r="H625" t="inlineStr">
        <is>
          <t>Pappu Hardware</t>
        </is>
      </c>
      <c r="I625" t="n">
        <v>1</v>
      </c>
      <c r="J625" t="inlineStr">
        <is>
          <t>Lumpsum</t>
        </is>
      </c>
      <c r="K625" t="n">
        <v>4040</v>
      </c>
      <c r="L625">
        <f>IF(OR(I625="",K625=""),"",I625*K625)</f>
        <v/>
      </c>
      <c r="N625">
        <f>M625*L625</f>
        <v/>
      </c>
      <c r="O625">
        <f>IF(L625="","",IF(M625="",L625,L625*(1-M625)))</f>
        <v/>
      </c>
    </row>
    <row r="626">
      <c r="A626" t="n">
        <v>634</v>
      </c>
      <c r="B626" s="128" t="n">
        <v>46300</v>
      </c>
      <c r="C626">
        <f>IF(B626="","",TEXT(B626,"MMM-YYYY"))</f>
        <v/>
      </c>
      <c r="D626" t="inlineStr">
        <is>
          <t>Plinth Phase</t>
        </is>
      </c>
      <c r="E626" t="inlineStr">
        <is>
          <t>Building Materials</t>
        </is>
      </c>
      <c r="F626" t="inlineStr">
        <is>
          <t>Cement</t>
        </is>
      </c>
      <c r="G626" t="inlineStr">
        <is>
          <t>Ultratech Weatherplus cement 300 bags @ ₹370</t>
        </is>
      </c>
      <c r="H626" t="inlineStr">
        <is>
          <t>Pappu Hardware</t>
        </is>
      </c>
      <c r="I626" t="n">
        <v>300</v>
      </c>
      <c r="J626" t="inlineStr">
        <is>
          <t>Bag</t>
        </is>
      </c>
      <c r="K626" t="n">
        <v>370</v>
      </c>
      <c r="L626">
        <f>IF(OR(I626="",K626=""),"",I626*K626)</f>
        <v/>
      </c>
      <c r="N626">
        <f>M626*L626</f>
        <v/>
      </c>
      <c r="O626">
        <f>IF(L626="","",IF(M626="",L626,L626*(1-M626)))</f>
        <v/>
      </c>
    </row>
    <row r="627">
      <c r="A627" t="n">
        <v>635</v>
      </c>
      <c r="B627" s="128" t="n">
        <v>46300</v>
      </c>
      <c r="C627">
        <f>IF(B627="","",TEXT(B627,"MMM-YYYY"))</f>
        <v/>
      </c>
      <c r="D627" t="inlineStr">
        <is>
          <t>Plinth Phase</t>
        </is>
      </c>
      <c r="E627" t="inlineStr">
        <is>
          <t>Labour</t>
        </is>
      </c>
      <c r="F627" t="inlineStr">
        <is>
          <t>Site Labour</t>
        </is>
      </c>
      <c r="G627" t="inlineStr">
        <is>
          <t>Labour</t>
        </is>
      </c>
      <c r="H627" t="inlineStr">
        <is>
          <t>Pappu Hardware</t>
        </is>
      </c>
      <c r="I627" t="n">
        <v>1</v>
      </c>
      <c r="J627" t="inlineStr">
        <is>
          <t>Lumpsum</t>
        </is>
      </c>
      <c r="K627" t="n">
        <v>900</v>
      </c>
      <c r="L627">
        <f>IF(OR(I627="",K627=""),"",I627*K627)</f>
        <v/>
      </c>
      <c r="N627">
        <f>M627*L627</f>
        <v/>
      </c>
      <c r="O627">
        <f>IF(L627="","",IF(M627="",L627,L627*(1-M627)))</f>
        <v/>
      </c>
    </row>
    <row r="628">
      <c r="A628" t="n">
        <v>636</v>
      </c>
      <c r="B628" s="128" t="n">
        <v>46300</v>
      </c>
      <c r="C628">
        <f>IF(B628="","",TEXT(B628,"MMM-YYYY"))</f>
        <v/>
      </c>
      <c r="D628" t="inlineStr">
        <is>
          <t>Plinth Phase</t>
        </is>
      </c>
      <c r="E628" t="inlineStr">
        <is>
          <t>Transport · Food · Misc</t>
        </is>
      </c>
      <c r="F628" t="inlineStr">
        <is>
          <t>Misc Expense</t>
        </is>
      </c>
      <c r="G628" t="inlineStr">
        <is>
          <t>Misc</t>
        </is>
      </c>
      <c r="H628" t="inlineStr">
        <is>
          <t>Pappu Hardware</t>
        </is>
      </c>
      <c r="I628" t="n">
        <v>1</v>
      </c>
      <c r="J628" t="inlineStr">
        <is>
          <t>Lumpsum</t>
        </is>
      </c>
      <c r="K628" t="n">
        <v>1200</v>
      </c>
      <c r="L628">
        <f>IF(OR(I628="",K628=""),"",I628*K628)</f>
        <v/>
      </c>
      <c r="N628">
        <f>M628*L628</f>
        <v/>
      </c>
      <c r="O628">
        <f>IF(L628="","",IF(M628="",L628,L628*(1-M628)))</f>
        <v/>
      </c>
    </row>
    <row r="629">
      <c r="A629" t="n">
        <v>637</v>
      </c>
      <c r="B629" s="128" t="n">
        <v>46300</v>
      </c>
      <c r="C629">
        <f>IF(B629="","",TEXT(B629,"MMM-YYYY"))</f>
        <v/>
      </c>
      <c r="D629" t="inlineStr">
        <is>
          <t>Plinth Phase</t>
        </is>
      </c>
      <c r="E629" t="inlineStr">
        <is>
          <t>Building Materials</t>
        </is>
      </c>
      <c r="F629" t="inlineStr">
        <is>
          <t>Dr Fixit</t>
        </is>
      </c>
      <c r="G629" t="inlineStr">
        <is>
          <t>Dr Fixit 40 litres</t>
        </is>
      </c>
      <c r="H629" t="inlineStr">
        <is>
          <t>Pappu Hardware</t>
        </is>
      </c>
      <c r="I629" t="n">
        <v>40</v>
      </c>
      <c r="J629" t="inlineStr">
        <is>
          <t>Litres</t>
        </is>
      </c>
      <c r="K629" t="n">
        <v>140</v>
      </c>
      <c r="L629">
        <f>IF(OR(I629="",K629=""),"",I629*K629)</f>
        <v/>
      </c>
      <c r="N629">
        <f>M629*L629</f>
        <v/>
      </c>
      <c r="O629">
        <f>IF(L629="","",IF(M629="",L629,L629*(1-M629)))</f>
        <v/>
      </c>
    </row>
    <row r="630">
      <c r="A630" t="n">
        <v>638</v>
      </c>
      <c r="B630" s="128" t="n">
        <v>46301</v>
      </c>
      <c r="C630">
        <f>IF(B630="","",TEXT(B630,"MMM-YYYY"))</f>
        <v/>
      </c>
      <c r="D630" t="inlineStr">
        <is>
          <t>Plinth Phase</t>
        </is>
      </c>
      <c r="E630" t="inlineStr">
        <is>
          <t>Steel / Iron</t>
        </is>
      </c>
      <c r="F630" t="inlineStr">
        <is>
          <t>Tiscon 12mm</t>
        </is>
      </c>
      <c r="G630" t="inlineStr">
        <is>
          <t>Tiscon 12mm rod 2 pcs @ ₹902 (4% disc → ₹865.92)</t>
        </is>
      </c>
      <c r="H630" t="inlineStr">
        <is>
          <t>Pappu Hardware</t>
        </is>
      </c>
      <c r="I630" t="n">
        <v>2</v>
      </c>
      <c r="J630" t="inlineStr">
        <is>
          <t>pcs</t>
        </is>
      </c>
      <c r="K630" t="n">
        <v>865.92</v>
      </c>
      <c r="L630">
        <f>IF(OR(I630="",K630=""),"",I630*K630)</f>
        <v/>
      </c>
      <c r="N630">
        <f>M630*L630</f>
        <v/>
      </c>
      <c r="O630">
        <f>IF(L630="","",IF(M630="",L630,L630*(1-M630)))</f>
        <v/>
      </c>
    </row>
    <row r="631">
      <c r="A631" t="n">
        <v>639</v>
      </c>
      <c r="B631" s="128" t="n">
        <v>46301</v>
      </c>
      <c r="C631">
        <f>IF(B631="","",TEXT(B631,"MMM-YYYY"))</f>
        <v/>
      </c>
      <c r="D631" t="inlineStr">
        <is>
          <t>Plinth Phase</t>
        </is>
      </c>
      <c r="E631" t="inlineStr">
        <is>
          <t>Steel / Iron</t>
        </is>
      </c>
      <c r="F631" t="inlineStr">
        <is>
          <t>Tiscon 10mm</t>
        </is>
      </c>
      <c r="G631" t="inlineStr">
        <is>
          <t>Tiscon 10mm rod 96 pcs @ ₹642 (4% disc → ₹616.32)</t>
        </is>
      </c>
      <c r="H631" t="inlineStr">
        <is>
          <t>Pappu Hardware</t>
        </is>
      </c>
      <c r="I631" t="n">
        <v>96</v>
      </c>
      <c r="J631" t="inlineStr">
        <is>
          <t>pcs</t>
        </is>
      </c>
      <c r="K631" t="n">
        <v>616.3200000000001</v>
      </c>
      <c r="L631">
        <f>IF(OR(I631="",K631=""),"",I631*K631)</f>
        <v/>
      </c>
      <c r="N631">
        <f>M631*L631</f>
        <v/>
      </c>
      <c r="O631">
        <f>IF(L631="","",IF(M631="",L631,L631*(1-M631)))</f>
        <v/>
      </c>
    </row>
    <row r="632">
      <c r="A632" t="n">
        <v>640</v>
      </c>
      <c r="B632" s="128" t="n">
        <v>46301</v>
      </c>
      <c r="C632">
        <f>IF(B632="","",TEXT(B632,"MMM-YYYY"))</f>
        <v/>
      </c>
      <c r="D632" t="inlineStr">
        <is>
          <t>Plinth Phase</t>
        </is>
      </c>
      <c r="E632" t="inlineStr">
        <is>
          <t>Labour</t>
        </is>
      </c>
      <c r="F632" t="inlineStr">
        <is>
          <t>Site Labour</t>
        </is>
      </c>
      <c r="G632" t="inlineStr">
        <is>
          <t>Labour</t>
        </is>
      </c>
      <c r="H632" t="inlineStr">
        <is>
          <t>Pappu Hardware</t>
        </is>
      </c>
      <c r="I632" t="n">
        <v>1</v>
      </c>
      <c r="J632" t="inlineStr">
        <is>
          <t>Lumpsum</t>
        </is>
      </c>
      <c r="K632" t="n">
        <v>430</v>
      </c>
      <c r="L632">
        <f>IF(OR(I632="",K632=""),"",I632*K632)</f>
        <v/>
      </c>
      <c r="N632">
        <f>M632*L632</f>
        <v/>
      </c>
      <c r="O632">
        <f>IF(L632="","",IF(M632="",L632,L632*(1-M632)))</f>
        <v/>
      </c>
    </row>
    <row r="633">
      <c r="A633" t="n">
        <v>641</v>
      </c>
      <c r="B633" s="128" t="n">
        <v>46302</v>
      </c>
      <c r="C633">
        <f>IF(B633="","",TEXT(B633,"MMM-YYYY"))</f>
        <v/>
      </c>
      <c r="D633" t="inlineStr">
        <is>
          <t>Plinth Phase</t>
        </is>
      </c>
      <c r="E633" t="inlineStr">
        <is>
          <t>Building Materials</t>
        </is>
      </c>
      <c r="F633" t="inlineStr">
        <is>
          <t>Wood</t>
        </is>
      </c>
      <c r="G633" t="inlineStr">
        <is>
          <t>5 inch 7 feet wood × 6 pcs (gate frame, C unit)</t>
        </is>
      </c>
      <c r="H633" t="inlineStr">
        <is>
          <t>Khutauna Chirai mill</t>
        </is>
      </c>
      <c r="I633" t="n">
        <v>4.375</v>
      </c>
      <c r="J633" t="inlineStr">
        <is>
          <t>cft</t>
        </is>
      </c>
      <c r="K633" t="n">
        <v>3300</v>
      </c>
      <c r="L633">
        <f>IF(OR(I633="",K633=""),"",I633*K633)</f>
        <v/>
      </c>
      <c r="N633">
        <f>M633*L633</f>
        <v/>
      </c>
      <c r="O633">
        <f>IF(L633="","",IF(M633="",L633,L633*(1-M633)))</f>
        <v/>
      </c>
      <c r="R633" t="inlineStr">
        <is>
          <t>C</t>
        </is>
      </c>
    </row>
    <row r="634">
      <c r="A634" t="n">
        <v>642</v>
      </c>
      <c r="B634" s="128" t="n">
        <v>46302</v>
      </c>
      <c r="C634">
        <f>IF(B634="","",TEXT(B634,"MMM-YYYY"))</f>
        <v/>
      </c>
      <c r="D634" t="inlineStr">
        <is>
          <t>Plinth Phase</t>
        </is>
      </c>
      <c r="E634" t="inlineStr">
        <is>
          <t>Building Materials</t>
        </is>
      </c>
      <c r="F634" t="inlineStr">
        <is>
          <t>Wood</t>
        </is>
      </c>
      <c r="G634" t="inlineStr">
        <is>
          <t>4 inch 7 feet wood × 10 pcs (gate frame, C unit)</t>
        </is>
      </c>
      <c r="H634" t="inlineStr">
        <is>
          <t>Khutauna Chirai mill</t>
        </is>
      </c>
      <c r="I634" t="n">
        <v>5.833333333333333</v>
      </c>
      <c r="J634" t="inlineStr">
        <is>
          <t>cft</t>
        </is>
      </c>
      <c r="K634" t="n">
        <v>3300</v>
      </c>
      <c r="L634">
        <f>IF(OR(I634="",K634=""),"",I634*K634)</f>
        <v/>
      </c>
      <c r="N634">
        <f>M634*L634</f>
        <v/>
      </c>
      <c r="O634">
        <f>IF(L634="","",IF(M634="",L634,L634*(1-M634)))</f>
        <v/>
      </c>
      <c r="R634" t="inlineStr">
        <is>
          <t>C</t>
        </is>
      </c>
    </row>
    <row r="635">
      <c r="A635" t="n">
        <v>643</v>
      </c>
      <c r="B635" s="128" t="n">
        <v>46302</v>
      </c>
      <c r="C635">
        <f>IF(B635="","",TEXT(B635,"MMM-YYYY"))</f>
        <v/>
      </c>
      <c r="D635" t="inlineStr">
        <is>
          <t>Plinth Phase</t>
        </is>
      </c>
      <c r="E635" t="inlineStr">
        <is>
          <t>Building Materials</t>
        </is>
      </c>
      <c r="F635" t="inlineStr">
        <is>
          <t>Wood</t>
        </is>
      </c>
      <c r="G635" t="inlineStr">
        <is>
          <t>5 inch 3.5 feet wood × 3 pcs (gate frame, C unit)</t>
        </is>
      </c>
      <c r="H635" t="inlineStr">
        <is>
          <t>Khutauna Chirai mill</t>
        </is>
      </c>
      <c r="I635" t="n">
        <v>1.09375</v>
      </c>
      <c r="J635" t="inlineStr">
        <is>
          <t>cft</t>
        </is>
      </c>
      <c r="K635" t="n">
        <v>3300</v>
      </c>
      <c r="L635">
        <f>IF(OR(I635="",K635=""),"",I635*K635)</f>
        <v/>
      </c>
      <c r="N635">
        <f>M635*L635</f>
        <v/>
      </c>
      <c r="O635">
        <f>IF(L635="","",IF(M635="",L635,L635*(1-M635)))</f>
        <v/>
      </c>
      <c r="R635" t="inlineStr">
        <is>
          <t>C</t>
        </is>
      </c>
    </row>
    <row r="636">
      <c r="A636" t="n">
        <v>644</v>
      </c>
      <c r="B636" s="128" t="n">
        <v>46302</v>
      </c>
      <c r="C636">
        <f>IF(B636="","",TEXT(B636,"MMM-YYYY"))</f>
        <v/>
      </c>
      <c r="D636" t="inlineStr">
        <is>
          <t>Plinth Phase</t>
        </is>
      </c>
      <c r="E636" t="inlineStr">
        <is>
          <t>Building Materials</t>
        </is>
      </c>
      <c r="F636" t="inlineStr">
        <is>
          <t>Wood</t>
        </is>
      </c>
      <c r="G636" t="inlineStr">
        <is>
          <t>4 inch 3.5 feet wood × 5 pcs (gate frame, C unit)</t>
        </is>
      </c>
      <c r="H636" t="inlineStr">
        <is>
          <t>Khutauna Chirai mill</t>
        </is>
      </c>
      <c r="I636" t="n">
        <v>1.458333333333333</v>
      </c>
      <c r="J636" t="inlineStr">
        <is>
          <t>cft</t>
        </is>
      </c>
      <c r="K636" t="n">
        <v>3300</v>
      </c>
      <c r="L636">
        <f>IF(OR(I636="",K636=""),"",I636*K636)</f>
        <v/>
      </c>
      <c r="N636">
        <f>M636*L636</f>
        <v/>
      </c>
      <c r="O636">
        <f>IF(L636="","",IF(M636="",L636,L636*(1-M636)))</f>
        <v/>
      </c>
      <c r="R636" t="inlineStr">
        <is>
          <t>C</t>
        </is>
      </c>
    </row>
    <row r="637">
      <c r="A637" t="n">
        <v>645</v>
      </c>
      <c r="B637" s="128" t="n">
        <v>46302</v>
      </c>
      <c r="C637">
        <f>IF(B637="","",TEXT(B637,"MMM-YYYY"))</f>
        <v/>
      </c>
      <c r="D637" t="inlineStr">
        <is>
          <t>Plinth Phase</t>
        </is>
      </c>
      <c r="E637" t="inlineStr">
        <is>
          <t>Labour</t>
        </is>
      </c>
      <c r="F637" t="inlineStr">
        <is>
          <t>Site Labour</t>
        </is>
      </c>
      <c r="G637" t="inlineStr">
        <is>
          <t>Labour (gate frame wood, C unit)</t>
        </is>
      </c>
      <c r="H637" t="inlineStr">
        <is>
          <t>Khutauna Chirai mill</t>
        </is>
      </c>
      <c r="I637" t="n">
        <v>1</v>
      </c>
      <c r="J637" t="inlineStr">
        <is>
          <t>Lumpsum</t>
        </is>
      </c>
      <c r="K637" t="n">
        <v>400</v>
      </c>
      <c r="L637">
        <f>IF(OR(I637="",K637=""),"",I637*K637)</f>
        <v/>
      </c>
      <c r="N637">
        <f>M637*L637</f>
        <v/>
      </c>
      <c r="O637">
        <f>IF(L637="","",IF(M637="",L637,L637*(1-M637)))</f>
        <v/>
      </c>
      <c r="R637" t="inlineStr">
        <is>
          <t>C</t>
        </is>
      </c>
    </row>
    <row r="638">
      <c r="A638" t="n">
        <v>646</v>
      </c>
      <c r="B638" s="128" t="n">
        <v>46302</v>
      </c>
      <c r="C638">
        <f>IF(B638="","",TEXT(B638,"MMM-YYYY"))</f>
        <v/>
      </c>
      <c r="D638" t="inlineStr">
        <is>
          <t>Plinth Phase</t>
        </is>
      </c>
      <c r="E638" t="inlineStr">
        <is>
          <t>Building Materials</t>
        </is>
      </c>
      <c r="F638" t="inlineStr">
        <is>
          <t>Wood</t>
        </is>
      </c>
      <c r="G638" t="inlineStr">
        <is>
          <t>5 inch 7 feet wood × 4 pcs (gate frame, B unit)</t>
        </is>
      </c>
      <c r="H638" t="inlineStr">
        <is>
          <t>Khutauna Chirai mill</t>
        </is>
      </c>
      <c r="I638" t="n">
        <v>2.916666666666667</v>
      </c>
      <c r="J638" t="inlineStr">
        <is>
          <t>cft</t>
        </is>
      </c>
      <c r="K638" t="n">
        <v>3300</v>
      </c>
      <c r="L638">
        <f>IF(OR(I638="",K638=""),"",I638*K638)</f>
        <v/>
      </c>
      <c r="N638">
        <f>M638*L638</f>
        <v/>
      </c>
      <c r="O638">
        <f>IF(L638="","",IF(M638="",L638,L638*(1-M638)))</f>
        <v/>
      </c>
      <c r="R638" t="inlineStr">
        <is>
          <t>B</t>
        </is>
      </c>
    </row>
    <row r="639">
      <c r="A639" t="n">
        <v>647</v>
      </c>
      <c r="B639" s="128" t="n">
        <v>46302</v>
      </c>
      <c r="C639">
        <f>IF(B639="","",TEXT(B639,"MMM-YYYY"))</f>
        <v/>
      </c>
      <c r="D639" t="inlineStr">
        <is>
          <t>Plinth Phase</t>
        </is>
      </c>
      <c r="E639" t="inlineStr">
        <is>
          <t>Building Materials</t>
        </is>
      </c>
      <c r="F639" t="inlineStr">
        <is>
          <t>Wood</t>
        </is>
      </c>
      <c r="G639" t="inlineStr">
        <is>
          <t>4 inch 7 feet wood × 6 pcs (gate frame, B unit)</t>
        </is>
      </c>
      <c r="H639" t="inlineStr">
        <is>
          <t>Khutauna Chirai mill</t>
        </is>
      </c>
      <c r="I639" t="n">
        <v>3.5</v>
      </c>
      <c r="J639" t="inlineStr">
        <is>
          <t>cft</t>
        </is>
      </c>
      <c r="K639" t="n">
        <v>3300</v>
      </c>
      <c r="L639">
        <f>IF(OR(I639="",K639=""),"",I639*K639)</f>
        <v/>
      </c>
      <c r="N639">
        <f>M639*L639</f>
        <v/>
      </c>
      <c r="O639">
        <f>IF(L639="","",IF(M639="",L639,L639*(1-M639)))</f>
        <v/>
      </c>
      <c r="R639" t="inlineStr">
        <is>
          <t>B</t>
        </is>
      </c>
    </row>
    <row r="640">
      <c r="A640" t="n">
        <v>648</v>
      </c>
      <c r="B640" s="128" t="n">
        <v>46302</v>
      </c>
      <c r="C640">
        <f>IF(B640="","",TEXT(B640,"MMM-YYYY"))</f>
        <v/>
      </c>
      <c r="D640" t="inlineStr">
        <is>
          <t>Plinth Phase</t>
        </is>
      </c>
      <c r="E640" t="inlineStr">
        <is>
          <t>Building Materials</t>
        </is>
      </c>
      <c r="F640" t="inlineStr">
        <is>
          <t>Wood</t>
        </is>
      </c>
      <c r="G640" t="inlineStr">
        <is>
          <t>5 inch 3.5 feet wood × 2 pcs (gate frame, B unit)</t>
        </is>
      </c>
      <c r="H640" t="inlineStr">
        <is>
          <t>Khutauna Chirai mill</t>
        </is>
      </c>
      <c r="I640" t="n">
        <v>0.7291666666666666</v>
      </c>
      <c r="J640" t="inlineStr">
        <is>
          <t>cft</t>
        </is>
      </c>
      <c r="K640" t="n">
        <v>3300</v>
      </c>
      <c r="L640">
        <f>IF(OR(I640="",K640=""),"",I640*K640)</f>
        <v/>
      </c>
      <c r="N640">
        <f>M640*L640</f>
        <v/>
      </c>
      <c r="O640">
        <f>IF(L640="","",IF(M640="",L640,L640*(1-M640)))</f>
        <v/>
      </c>
      <c r="R640" t="inlineStr">
        <is>
          <t>B</t>
        </is>
      </c>
    </row>
    <row r="641">
      <c r="A641" t="n">
        <v>649</v>
      </c>
      <c r="B641" s="128" t="n">
        <v>46302</v>
      </c>
      <c r="C641">
        <f>IF(B641="","",TEXT(B641,"MMM-YYYY"))</f>
        <v/>
      </c>
      <c r="D641" t="inlineStr">
        <is>
          <t>Plinth Phase</t>
        </is>
      </c>
      <c r="E641" t="inlineStr">
        <is>
          <t>Building Materials</t>
        </is>
      </c>
      <c r="F641" t="inlineStr">
        <is>
          <t>Wood</t>
        </is>
      </c>
      <c r="G641" t="inlineStr">
        <is>
          <t>4 inch 3.5 feet wood × 3 pcs (gate frame, B unit)</t>
        </is>
      </c>
      <c r="H641" t="inlineStr">
        <is>
          <t>Khutauna Chirai mill</t>
        </is>
      </c>
      <c r="I641" t="n">
        <v>0.875</v>
      </c>
      <c r="J641" t="inlineStr">
        <is>
          <t>cft</t>
        </is>
      </c>
      <c r="K641" t="n">
        <v>3300</v>
      </c>
      <c r="L641">
        <f>IF(OR(I641="",K641=""),"",I641*K641)</f>
        <v/>
      </c>
      <c r="N641">
        <f>M641*L641</f>
        <v/>
      </c>
      <c r="O641">
        <f>IF(L641="","",IF(M641="",L641,L641*(1-M641)))</f>
        <v/>
      </c>
      <c r="R641" t="inlineStr">
        <is>
          <t>B</t>
        </is>
      </c>
    </row>
    <row r="642">
      <c r="A642" t="n">
        <v>650</v>
      </c>
      <c r="B642" s="128" t="n">
        <v>46302</v>
      </c>
      <c r="C642">
        <f>IF(B642="","",TEXT(B642,"MMM-YYYY"))</f>
        <v/>
      </c>
      <c r="D642" t="inlineStr">
        <is>
          <t>Plinth Phase</t>
        </is>
      </c>
      <c r="E642" t="inlineStr">
        <is>
          <t>Labour</t>
        </is>
      </c>
      <c r="F642" t="inlineStr">
        <is>
          <t>Site Labour</t>
        </is>
      </c>
      <c r="G642" t="inlineStr">
        <is>
          <t>Labour (gate frame wood, B unit)</t>
        </is>
      </c>
      <c r="H642" t="inlineStr">
        <is>
          <t>Khutauna Chirai mill</t>
        </is>
      </c>
      <c r="I642" t="n">
        <v>1</v>
      </c>
      <c r="J642" t="inlineStr">
        <is>
          <t>Lumpsum</t>
        </is>
      </c>
      <c r="K642" t="n">
        <v>400</v>
      </c>
      <c r="L642">
        <f>IF(OR(I642="",K642=""),"",I642*K642)</f>
        <v/>
      </c>
      <c r="N642">
        <f>M642*L642</f>
        <v/>
      </c>
      <c r="O642">
        <f>IF(L642="","",IF(M642="",L642,L642*(1-M642)))</f>
        <v/>
      </c>
      <c r="R642" t="inlineStr">
        <is>
          <t>B</t>
        </is>
      </c>
    </row>
    <row r="643">
      <c r="A643" t="n">
        <v>651</v>
      </c>
      <c r="B643" s="128" t="n">
        <v>46302</v>
      </c>
      <c r="C643">
        <f>IF(B643="","",TEXT(B643,"MMM-YYYY"))</f>
        <v/>
      </c>
      <c r="D643" t="inlineStr">
        <is>
          <t>Plinth Phase</t>
        </is>
      </c>
      <c r="E643" t="inlineStr">
        <is>
          <t>Professional Fees</t>
        </is>
      </c>
      <c r="F643" t="inlineStr">
        <is>
          <t>Engineer Supervision</t>
        </is>
      </c>
      <c r="G643" t="inlineStr">
        <is>
          <t>Construction work done — general site supervision &amp; labour (Papa, 7-Oct)</t>
        </is>
      </c>
      <c r="H643" t="inlineStr">
        <is>
          <t>Econ Builder</t>
        </is>
      </c>
      <c r="I643" t="n">
        <v>1</v>
      </c>
      <c r="J643" t="inlineStr">
        <is>
          <t>Lumpsum</t>
        </is>
      </c>
      <c r="K643" t="n">
        <v>25000</v>
      </c>
      <c r="L643">
        <f>IF(OR(I643="",K643=""),"",I643*K643)</f>
        <v/>
      </c>
      <c r="N643">
        <f>M643*L643</f>
        <v/>
      </c>
      <c r="O643">
        <f>IF(L643="","",IF(M643="",L643,L643*(1-M643)))</f>
        <v/>
      </c>
    </row>
    <row r="644">
      <c r="A644" t="n">
        <v>652</v>
      </c>
      <c r="B644" s="128" t="n">
        <v>46303</v>
      </c>
      <c r="C644">
        <f>IF(B644="","",TEXT(B644,"MMM-YYYY"))</f>
        <v/>
      </c>
      <c r="D644" t="inlineStr">
        <is>
          <t>Plinth Phase</t>
        </is>
      </c>
      <c r="E644" t="inlineStr">
        <is>
          <t>Professional Fees</t>
        </is>
      </c>
      <c r="F644" t="inlineStr">
        <is>
          <t>Engineer Supervision</t>
        </is>
      </c>
      <c r="G644" t="inlineStr">
        <is>
          <t>Construction work done — general site supervision &amp; labour (Papa, 8-Oct)</t>
        </is>
      </c>
      <c r="H644" t="inlineStr">
        <is>
          <t>Econ Builder</t>
        </is>
      </c>
      <c r="I644" t="n">
        <v>1</v>
      </c>
      <c r="J644" t="inlineStr">
        <is>
          <t>Lumpsum</t>
        </is>
      </c>
      <c r="K644" t="n">
        <v>20000</v>
      </c>
      <c r="L644">
        <f>IF(OR(I644="",K644=""),"",I644*K644)</f>
        <v/>
      </c>
      <c r="N644">
        <f>M644*L644</f>
        <v/>
      </c>
      <c r="O644">
        <f>IF(L644="","",IF(M644="",L644,L644*(1-M644)))</f>
        <v/>
      </c>
    </row>
    <row r="645">
      <c r="A645" t="n">
        <v>653</v>
      </c>
      <c r="B645" s="128" t="n">
        <v>46303</v>
      </c>
      <c r="C645">
        <f>IF(B645="","",TEXT(B645,"MMM-YYYY"))</f>
        <v/>
      </c>
      <c r="D645" t="inlineStr">
        <is>
          <t>Plinth Phase</t>
        </is>
      </c>
      <c r="E645" t="inlineStr">
        <is>
          <t>Electrical</t>
        </is>
      </c>
      <c r="F645" t="inlineStr">
        <is>
          <t>Electrical Items</t>
        </is>
      </c>
      <c r="G645" t="inlineStr">
        <is>
          <t>Electrical items — Mittal Electric, Darbhanga</t>
        </is>
      </c>
      <c r="H645" t="inlineStr">
        <is>
          <t>Mittal Electric</t>
        </is>
      </c>
      <c r="I645" t="n">
        <v>1</v>
      </c>
      <c r="J645" t="inlineStr">
        <is>
          <t>Lumpsum</t>
        </is>
      </c>
      <c r="K645" t="n">
        <v>21065</v>
      </c>
      <c r="L645">
        <f>IF(OR(I645="",K645=""),"",I645*K645)</f>
        <v/>
      </c>
      <c r="N645">
        <f>M645*L645</f>
        <v/>
      </c>
      <c r="O645">
        <f>IF(L645="","",IF(M645="",L645,L645*(1-M645)))</f>
        <v/>
      </c>
    </row>
    <row r="646">
      <c r="A646" t="n">
        <v>654</v>
      </c>
      <c r="B646" s="128" t="n">
        <v>46304</v>
      </c>
      <c r="C646">
        <f>IF(B646="","",TEXT(B646,"MMM-YYYY"))</f>
        <v/>
      </c>
      <c r="D646" t="inlineStr">
        <is>
          <t>Plinth Phase</t>
        </is>
      </c>
      <c r="E646" t="inlineStr">
        <is>
          <t>Building Materials</t>
        </is>
      </c>
      <c r="F646" t="inlineStr">
        <is>
          <t>Sand</t>
        </is>
      </c>
      <c r="G646" t="inlineStr">
        <is>
          <t>Sand delivery — 40 MT @ ₹1,400/MT</t>
        </is>
      </c>
      <c r="H646" t="inlineStr">
        <is>
          <t>Sand Truck Wala</t>
        </is>
      </c>
      <c r="I646" t="n">
        <v>40</v>
      </c>
      <c r="J646" t="inlineStr">
        <is>
          <t>MT</t>
        </is>
      </c>
      <c r="K646" t="n">
        <v>1400</v>
      </c>
      <c r="L646">
        <f>IF(OR(I646="",K646=""),"",I646*K646)</f>
        <v/>
      </c>
      <c r="N646">
        <f>M646*L646</f>
        <v/>
      </c>
      <c r="O646">
        <f>IF(L646="","",IF(M646="",L646,L646*(1-M646)))</f>
        <v/>
      </c>
    </row>
    <row r="647">
      <c r="A647" t="n">
        <v>655</v>
      </c>
      <c r="B647" s="128" t="n">
        <v>46304</v>
      </c>
      <c r="C647">
        <f>IF(B647="","",TEXT(B647,"MMM-YYYY"))</f>
        <v/>
      </c>
      <c r="D647" t="inlineStr">
        <is>
          <t>Plinth Phase</t>
        </is>
      </c>
      <c r="E647" t="inlineStr">
        <is>
          <t>Transport · Food · Misc</t>
        </is>
      </c>
      <c r="F647" t="inlineStr">
        <is>
          <t>Fuel</t>
        </is>
      </c>
      <c r="G647" t="inlineStr">
        <is>
          <t>Diesel 10 litres @ ₹100/L</t>
        </is>
      </c>
      <c r="H647" t="inlineStr">
        <is>
          <t>Local Purchase</t>
        </is>
      </c>
      <c r="I647" t="n">
        <v>10</v>
      </c>
      <c r="J647" t="inlineStr">
        <is>
          <t>Litres</t>
        </is>
      </c>
      <c r="K647" t="n">
        <v>100</v>
      </c>
      <c r="L647">
        <f>IF(OR(I647="",K647=""),"",I647*K647)</f>
        <v/>
      </c>
      <c r="N647">
        <f>M647*L647</f>
        <v/>
      </c>
      <c r="O647">
        <f>IF(L647="","",IF(M647="",L647,L647*(1-M647)))</f>
        <v/>
      </c>
    </row>
    <row r="648">
      <c r="A648" t="n">
        <v>656</v>
      </c>
      <c r="B648" s="128" t="n">
        <v>46308</v>
      </c>
      <c r="C648">
        <f>IF(B648="","",TEXT(B648,"MMM-YYYY"))</f>
        <v/>
      </c>
      <c r="D648" t="inlineStr">
        <is>
          <t>Plinth Phase</t>
        </is>
      </c>
      <c r="E648" t="inlineStr">
        <is>
          <t>Steel / Iron</t>
        </is>
      </c>
      <c r="F648" t="inlineStr">
        <is>
          <t>Tiscon 12mm</t>
        </is>
      </c>
      <c r="G648" t="inlineStr">
        <is>
          <t>Tiscon 12mm rod 6 pcs</t>
        </is>
      </c>
      <c r="H648" t="inlineStr">
        <is>
          <t>Pappu Hardware</t>
        </is>
      </c>
      <c r="I648" t="n">
        <v>6</v>
      </c>
      <c r="J648" t="inlineStr">
        <is>
          <t>pcs</t>
        </is>
      </c>
      <c r="K648" t="n">
        <v>902</v>
      </c>
      <c r="L648">
        <f>IF(OR(I648="",K648=""),"",I648*K648)</f>
        <v/>
      </c>
      <c r="N648">
        <f>M648*L648</f>
        <v/>
      </c>
      <c r="O648">
        <f>IF(L648="","",IF(M648="",L648,L648*(1-M648)))</f>
        <v/>
      </c>
    </row>
    <row r="649">
      <c r="A649" t="n">
        <v>657</v>
      </c>
      <c r="B649" s="128" t="n">
        <v>46308</v>
      </c>
      <c r="C649">
        <f>IF(B649="","",TEXT(B649,"MMM-YYYY"))</f>
        <v/>
      </c>
      <c r="D649" t="inlineStr">
        <is>
          <t>Plinth Phase</t>
        </is>
      </c>
      <c r="E649" t="inlineStr">
        <is>
          <t>Labour</t>
        </is>
      </c>
      <c r="F649" t="inlineStr">
        <is>
          <t>Site Labour</t>
        </is>
      </c>
      <c r="G649" t="inlineStr">
        <is>
          <t>Labour</t>
        </is>
      </c>
      <c r="H649" t="inlineStr">
        <is>
          <t>Pappu Hardware</t>
        </is>
      </c>
      <c r="I649" t="n">
        <v>1</v>
      </c>
      <c r="J649" t="inlineStr">
        <is>
          <t>Lumpsum</t>
        </is>
      </c>
      <c r="K649" t="n">
        <v>350</v>
      </c>
      <c r="L649">
        <f>IF(OR(I649="",K649=""),"",I649*K649)</f>
        <v/>
      </c>
      <c r="N649">
        <f>M649*L649</f>
        <v/>
      </c>
      <c r="O649">
        <f>IF(L649="","",IF(M649="",L649,L649*(1-M649)))</f>
        <v/>
      </c>
    </row>
    <row r="650">
      <c r="A650" t="n">
        <v>658</v>
      </c>
      <c r="B650" s="128" t="n">
        <v>46308</v>
      </c>
      <c r="C650">
        <f>IF(B650="","",TEXT(B650,"MMM-YYYY"))</f>
        <v/>
      </c>
      <c r="D650" t="inlineStr">
        <is>
          <t>Plinth Phase</t>
        </is>
      </c>
      <c r="E650" t="inlineStr">
        <is>
          <t>Building Materials</t>
        </is>
      </c>
      <c r="F650" t="inlineStr">
        <is>
          <t>Binding Wire</t>
        </is>
      </c>
      <c r="G650" t="inlineStr">
        <is>
          <t>Binding wire 60 kg @ ₹110</t>
        </is>
      </c>
      <c r="H650" t="inlineStr">
        <is>
          <t>Pappu Hardware</t>
        </is>
      </c>
      <c r="I650" t="n">
        <v>60</v>
      </c>
      <c r="J650" t="inlineStr">
        <is>
          <t>Kg</t>
        </is>
      </c>
      <c r="K650" t="n">
        <v>110</v>
      </c>
      <c r="L650">
        <f>IF(OR(I650="",K650=""),"",I650*K650)</f>
        <v/>
      </c>
      <c r="N650">
        <f>M650*L650</f>
        <v/>
      </c>
      <c r="O650">
        <f>IF(L650="","",IF(M650="",L650,L650*(1-M650)))</f>
        <v/>
      </c>
    </row>
    <row r="651">
      <c r="A651" t="n">
        <v>659</v>
      </c>
      <c r="B651" s="128" t="n">
        <v>46308</v>
      </c>
      <c r="C651">
        <f>IF(B651="","",TEXT(B651,"MMM-YYYY"))</f>
        <v/>
      </c>
      <c r="D651" t="inlineStr">
        <is>
          <t>Plinth Phase</t>
        </is>
      </c>
      <c r="E651" t="inlineStr">
        <is>
          <t>Steel / Iron</t>
        </is>
      </c>
      <c r="F651" t="inlineStr">
        <is>
          <t>Tiscon 10mm</t>
        </is>
      </c>
      <c r="G651" t="inlineStr">
        <is>
          <t>Tiscon 10mm rod 32 pcs</t>
        </is>
      </c>
      <c r="H651" t="inlineStr">
        <is>
          <t>Pappu Hardware</t>
        </is>
      </c>
      <c r="I651" t="n">
        <v>32</v>
      </c>
      <c r="J651" t="inlineStr">
        <is>
          <t>pcs</t>
        </is>
      </c>
      <c r="K651" t="n">
        <v>620.5</v>
      </c>
      <c r="L651">
        <f>IF(OR(I651="",K651=""),"",I651*K651)</f>
        <v/>
      </c>
      <c r="N651">
        <f>M651*L651</f>
        <v/>
      </c>
      <c r="O651">
        <f>IF(L651="","",IF(M651="",L651,L651*(1-M651)))</f>
        <v/>
      </c>
    </row>
    <row r="652">
      <c r="A652" t="n">
        <v>660</v>
      </c>
      <c r="B652" s="128" t="n">
        <v>46308</v>
      </c>
      <c r="C652">
        <f>IF(B652="","",TEXT(B652,"MMM-YYYY"))</f>
        <v/>
      </c>
      <c r="D652" t="inlineStr">
        <is>
          <t>Plinth Phase</t>
        </is>
      </c>
      <c r="E652" t="inlineStr">
        <is>
          <t>Steel / Iron</t>
        </is>
      </c>
      <c r="F652" t="inlineStr">
        <is>
          <t>Tiscon 8mm</t>
        </is>
      </c>
      <c r="G652" t="inlineStr">
        <is>
          <t>Tiscon 8mm rod 84 pcs</t>
        </is>
      </c>
      <c r="H652" t="inlineStr">
        <is>
          <t>Pappu Hardware</t>
        </is>
      </c>
      <c r="I652" t="n">
        <v>84</v>
      </c>
      <c r="J652" t="inlineStr">
        <is>
          <t>pcs</t>
        </is>
      </c>
      <c r="K652" t="n">
        <v>405.297619047619</v>
      </c>
      <c r="L652">
        <f>IF(OR(I652="",K652=""),"",I652*K652)</f>
        <v/>
      </c>
      <c r="N652">
        <f>M652*L652</f>
        <v/>
      </c>
      <c r="O652">
        <f>IF(L652="","",IF(M652="",L652,L652*(1-M652)))</f>
        <v/>
      </c>
    </row>
    <row r="653">
      <c r="A653" t="n">
        <v>661</v>
      </c>
      <c r="B653" s="128" t="n">
        <v>46308</v>
      </c>
      <c r="C653">
        <f>IF(B653="","",TEXT(B653,"MMM-YYYY"))</f>
        <v/>
      </c>
      <c r="D653" t="inlineStr">
        <is>
          <t>Plinth Phase</t>
        </is>
      </c>
      <c r="E653" t="inlineStr">
        <is>
          <t>Steel / Iron</t>
        </is>
      </c>
      <c r="F653" t="inlineStr">
        <is>
          <t>Tiscon 8mm</t>
        </is>
      </c>
      <c r="G653" t="inlineStr">
        <is>
          <t>Tiscon 8mm rod 24 pcs</t>
        </is>
      </c>
      <c r="H653" t="inlineStr">
        <is>
          <t>Pappu Hardware</t>
        </is>
      </c>
      <c r="I653" t="n">
        <v>24</v>
      </c>
      <c r="J653" t="inlineStr">
        <is>
          <t>pcs</t>
        </is>
      </c>
      <c r="K653" t="n">
        <v>404.1666666666667</v>
      </c>
      <c r="L653">
        <f>IF(OR(I653="",K653=""),"",I653*K653)</f>
        <v/>
      </c>
      <c r="N653">
        <f>M653*L653</f>
        <v/>
      </c>
      <c r="O653">
        <f>IF(L653="","",IF(M653="",L653,L653*(1-M653)))</f>
        <v/>
      </c>
    </row>
    <row r="654">
      <c r="A654" t="n">
        <v>662</v>
      </c>
      <c r="B654" s="128" t="n">
        <v>46308</v>
      </c>
      <c r="C654">
        <f>IF(B654="","",TEXT(B654,"MMM-YYYY"))</f>
        <v/>
      </c>
      <c r="D654" t="inlineStr">
        <is>
          <t>Plinth Phase</t>
        </is>
      </c>
      <c r="E654" t="inlineStr">
        <is>
          <t>Building Materials</t>
        </is>
      </c>
      <c r="F654" t="inlineStr">
        <is>
          <t>Nails</t>
        </is>
      </c>
      <c r="G654" t="inlineStr">
        <is>
          <t>Nails</t>
        </is>
      </c>
      <c r="H654" t="inlineStr">
        <is>
          <t>Pappu Hardware</t>
        </is>
      </c>
      <c r="I654" t="n">
        <v>1</v>
      </c>
      <c r="J654" t="inlineStr">
        <is>
          <t>Lumpsum</t>
        </is>
      </c>
      <c r="K654" t="n">
        <v>150</v>
      </c>
      <c r="L654">
        <f>IF(OR(I654="",K654=""),"",I654*K654)</f>
        <v/>
      </c>
      <c r="N654">
        <f>M654*L654</f>
        <v/>
      </c>
      <c r="O654">
        <f>IF(L654="","",IF(M654="",L654,L654*(1-M654)))</f>
        <v/>
      </c>
    </row>
    <row r="655">
      <c r="A655" t="n">
        <v>663</v>
      </c>
      <c r="B655" s="128" t="n">
        <v>46308</v>
      </c>
      <c r="C655">
        <f>IF(B655="","",TEXT(B655,"MMM-YYYY"))</f>
        <v/>
      </c>
      <c r="D655" t="inlineStr">
        <is>
          <t>Plinth Phase</t>
        </is>
      </c>
      <c r="E655" t="inlineStr">
        <is>
          <t>Steel / Iron</t>
        </is>
      </c>
      <c r="F655" t="inlineStr">
        <is>
          <t>Tiscon 10mm</t>
        </is>
      </c>
      <c r="G655" t="inlineStr">
        <is>
          <t>Tiscon 10mm rod 3 pcs</t>
        </is>
      </c>
      <c r="H655" t="inlineStr">
        <is>
          <t>Pappu Hardware</t>
        </is>
      </c>
      <c r="I655" t="n">
        <v>3</v>
      </c>
      <c r="J655" t="inlineStr">
        <is>
          <t>pcs</t>
        </is>
      </c>
      <c r="K655" t="n">
        <v>610</v>
      </c>
      <c r="L655">
        <f>IF(OR(I655="",K655=""),"",I655*K655)</f>
        <v/>
      </c>
      <c r="N655">
        <f>M655*L655</f>
        <v/>
      </c>
      <c r="O655">
        <f>IF(L655="","",IF(M655="",L655,L655*(1-M655)))</f>
        <v/>
      </c>
    </row>
    <row r="656">
      <c r="A656" t="n">
        <v>664</v>
      </c>
      <c r="B656" s="128" t="n">
        <v>46308</v>
      </c>
      <c r="C656">
        <f>IF(B656="","",TEXT(B656,"MMM-YYYY"))</f>
        <v/>
      </c>
      <c r="D656" t="inlineStr">
        <is>
          <t>Plinth Phase</t>
        </is>
      </c>
      <c r="E656" t="inlineStr">
        <is>
          <t>Building Materials</t>
        </is>
      </c>
      <c r="F656" t="inlineStr">
        <is>
          <t>Concrete/Gitti</t>
        </is>
      </c>
      <c r="G656" t="inlineStr">
        <is>
          <t>Gitti 4 trailers @ ₹9,500</t>
        </is>
      </c>
      <c r="H656" t="inlineStr">
        <is>
          <t>Pappu Hardware</t>
        </is>
      </c>
      <c r="I656" t="n">
        <v>4</v>
      </c>
      <c r="J656" t="inlineStr">
        <is>
          <t>Trailer</t>
        </is>
      </c>
      <c r="K656" t="n">
        <v>9500</v>
      </c>
      <c r="L656">
        <f>IF(OR(I656="",K656=""),"",I656*K656)</f>
        <v/>
      </c>
      <c r="N656">
        <f>M656*L656</f>
        <v/>
      </c>
      <c r="O656">
        <f>IF(L656="","",IF(M656="",L656,L656*(1-M656)))</f>
        <v/>
      </c>
    </row>
    <row r="657">
      <c r="A657" t="n">
        <v>665</v>
      </c>
      <c r="B657" s="128" t="n">
        <v>46308</v>
      </c>
      <c r="C657">
        <f>IF(B657="","",TEXT(B657,"MMM-YYYY"))</f>
        <v/>
      </c>
      <c r="D657" t="inlineStr">
        <is>
          <t>Plinth Phase</t>
        </is>
      </c>
      <c r="E657" t="inlineStr">
        <is>
          <t>Building Materials</t>
        </is>
      </c>
      <c r="F657" t="inlineStr">
        <is>
          <t>Cement</t>
        </is>
      </c>
      <c r="G657" t="inlineStr">
        <is>
          <t>Concreto Uno cement 65 bags @ ₹380</t>
        </is>
      </c>
      <c r="H657" t="inlineStr">
        <is>
          <t>Pappu Hardware</t>
        </is>
      </c>
      <c r="I657" t="n">
        <v>65</v>
      </c>
      <c r="J657" t="inlineStr">
        <is>
          <t>Bag</t>
        </is>
      </c>
      <c r="K657" t="n">
        <v>380</v>
      </c>
      <c r="L657">
        <f>IF(OR(I657="",K657=""),"",I657*K657)</f>
        <v/>
      </c>
      <c r="N657">
        <f>M657*L657</f>
        <v/>
      </c>
      <c r="O657">
        <f>IF(L657="","",IF(M657="",L657,L657*(1-M657)))</f>
        <v/>
      </c>
    </row>
    <row r="658">
      <c r="A658" t="n">
        <v>666</v>
      </c>
      <c r="B658" s="128" t="n">
        <v>46308</v>
      </c>
      <c r="C658">
        <f>IF(B658="","",TEXT(B658,"MMM-YYYY"))</f>
        <v/>
      </c>
      <c r="D658" t="inlineStr">
        <is>
          <t>Plinth Phase</t>
        </is>
      </c>
      <c r="E658" t="inlineStr">
        <is>
          <t>Labour</t>
        </is>
      </c>
      <c r="F658" t="inlineStr">
        <is>
          <t>Site Labour</t>
        </is>
      </c>
      <c r="G658" t="inlineStr">
        <is>
          <t>Labour</t>
        </is>
      </c>
      <c r="H658" t="inlineStr">
        <is>
          <t>Pappu Hardware</t>
        </is>
      </c>
      <c r="I658" t="n">
        <v>1</v>
      </c>
      <c r="J658" t="inlineStr">
        <is>
          <t>Lumpsum</t>
        </is>
      </c>
      <c r="K658" t="n">
        <v>2200</v>
      </c>
      <c r="L658">
        <f>IF(OR(I658="",K658=""),"",I658*K658)</f>
        <v/>
      </c>
      <c r="N658">
        <f>M658*L658</f>
        <v/>
      </c>
      <c r="O658">
        <f>IF(L658="","",IF(M658="",L658,L658*(1-M658)))</f>
        <v/>
      </c>
    </row>
    <row r="659">
      <c r="A659" s="60" t="inlineStr">
        <is>
          <t>TOTALS</t>
        </is>
      </c>
      <c r="B659" s="60" t="n"/>
      <c r="C659" s="60" t="n"/>
      <c r="D659" s="60" t="n"/>
      <c r="E659" s="60" t="n"/>
      <c r="F659" s="60" t="n"/>
      <c r="G659" s="60" t="n"/>
      <c r="H659" s="60" t="n"/>
      <c r="I659" s="60" t="n"/>
      <c r="J659" s="60" t="n"/>
      <c r="K659" s="60" t="n"/>
      <c r="L659" s="61">
        <f>SUM(L5:L658)</f>
        <v/>
      </c>
      <c r="M659" s="60" t="n"/>
      <c r="N659" s="60" t="n"/>
      <c r="O659" s="61">
        <f>SUM(O5:O528)</f>
        <v/>
      </c>
      <c r="P659" s="60" t="n"/>
      <c r="Q659" s="60" t="n"/>
    </row>
  </sheetData>
  <autoFilter ref="A4:Q504"/>
  <mergeCells count="2">
    <mergeCell ref="A2:Q2"/>
    <mergeCell ref="A1:Q1"/>
  </mergeCells>
  <dataValidations count="5">
    <dataValidation sqref="E5:E504" showDropDown="0" showInputMessage="0" showErrorMessage="0" allowBlank="1" promptTitle="Category" prompt="Pick category" type="list">
      <formula1>"Building Materials,Electrical,Food/Provisions,Labour,Land Development,Miscellaneous,Professional Fees,Steel/Iron,Transport"</formula1>
      <formula2>0</formula2>
    </dataValidation>
    <dataValidation sqref="H5:H504" showDropDown="0" showInputMessage="0" showErrorMessage="0" allowBlank="1" type="list">
      <formula1>"Pappu Hardware,Brick Company,Sand Truck Wala,Concrete Supplier,Dinesh-Electrician,Mukesh Yadav,Chand Ansari,Ajay Mahto,Mukhiya,Sonbhai-Coordinator,Econ Builder,Rinku Devi A/c"</formula1>
      <formula2>0</formula2>
    </dataValidation>
    <dataValidation sqref="P5:P504" showDropDown="0" showInputMessage="0" showErrorMessage="0" allowBlank="1" type="list">
      <formula1>"Self-GPay,Self-Paytm,Self-Cash,Self-Bank Transfer,Through Sonbhai,Through Engineer,Through Ajay,Papa"</formula1>
      <formula2>0</formula2>
    </dataValidation>
    <dataValidation sqref="Q5:Q504" showDropDown="0" showInputMessage="0" showErrorMessage="0" allowBlank="1" type="list">
      <formula1>"GPay,Paytm,Cash,Bank Transfer,UPI,Cheque"</formula1>
      <formula2>0</formula2>
    </dataValidation>
    <dataValidation sqref="D5:D504" showDropDown="0" showInputMessage="0" showErrorMessage="0" allowBlank="1" type="list">
      <formula1>"Land Development,Foundation,Plinth,Superstructure,Roof/Dhalai,Electrical,Plumbing,Plastering,Flooring,Painting,Finishing,Boundary Wall"</formula1>
      <formula2>0</formula2>
    </dataValidation>
  </dataValidations>
  <pageMargins left="0.75" right="0.75" top="1" bottom="1" header="0.511811023622047" footer="0.511811023622047"/>
  <pageSetup orientation="landscape" paperSize="9" horizontalDpi="300" verticalDpi="300"/>
</worksheet>
</file>

<file path=xl/worksheets/sheet5.xml><?xml version="1.0" encoding="utf-8"?>
<worksheet xmlns="http://schemas.openxmlformats.org/spreadsheetml/2006/main">
  <sheetPr>
    <tabColor rgb="FFF97316"/>
    <outlinePr summaryBelow="1" summaryRight="1"/>
    <pageSetUpPr/>
  </sheetPr>
  <dimension ref="A1:O504"/>
  <sheetViews>
    <sheetView zoomScaleNormal="100" workbookViewId="0">
      <pane ySplit="4" topLeftCell="A5" activePane="bottomLeft" state="frozen"/>
      <selection pane="bottomLeft" activeCell="A1" sqref="A1:O1"/>
    </sheetView>
  </sheetViews>
  <sheetFormatPr baseColWidth="10" defaultColWidth="8.6640625" defaultRowHeight="15"/>
  <cols>
    <col width="12" customWidth="1" style="99" min="1" max="1"/>
    <col width="14" customWidth="1" style="99" min="2" max="2"/>
    <col width="24" customWidth="1" style="99" min="3" max="3"/>
    <col width="20" customWidth="1" style="99" min="4" max="4"/>
    <col width="26" customWidth="1" style="99" min="5" max="5"/>
    <col width="28" customWidth="1" style="99" min="6" max="6"/>
    <col width="12" customWidth="1" style="99" min="7" max="7"/>
    <col width="10" customWidth="1" style="99" min="8" max="8"/>
    <col width="16" customWidth="1" style="99" min="9" max="9"/>
    <col width="12" customWidth="1" style="99" min="10" max="10"/>
    <col width="14" customWidth="1" style="99" min="11" max="12"/>
    <col width="12" customWidth="1" style="99" min="13" max="13"/>
    <col width="14" customWidth="1" style="99" min="14" max="15"/>
  </cols>
  <sheetData>
    <row r="1" ht="17.25" customHeight="1" s="99">
      <c r="A1" s="100" t="inlineStr">
        <is>
          <t>VENDOR BILL / INVOICE — LINE ENTRY  (RETIRED — not maintained since May; use All Transactions)</t>
        </is>
      </c>
    </row>
    <row r="2" ht="15.75" customHeight="1" s="99">
      <c r="A2" s="98" t="inlineStr">
        <is>
          <t>When a paper bill arrives, enter each line item here. Same Bill No groups items of one bill.</t>
        </is>
      </c>
    </row>
    <row r="4" ht="26.25" customHeight="1" s="99">
      <c r="A4" s="40" t="inlineStr">
        <is>
          <t>Bill No</t>
        </is>
      </c>
      <c r="B4" s="40" t="inlineStr">
        <is>
          <t>Bill Date</t>
        </is>
      </c>
      <c r="C4" s="40" t="inlineStr">
        <is>
          <t>Vendor</t>
        </is>
      </c>
      <c r="D4" s="40" t="inlineStr">
        <is>
          <t>Category</t>
        </is>
      </c>
      <c r="E4" s="40" t="inlineStr">
        <is>
          <t>Sub-Category</t>
        </is>
      </c>
      <c r="F4" s="40" t="inlineStr">
        <is>
          <t>Item Description</t>
        </is>
      </c>
      <c r="G4" s="40" t="inlineStr">
        <is>
          <t>HSN/SAC</t>
        </is>
      </c>
      <c r="H4" s="40" t="inlineStr">
        <is>
          <t>Qty</t>
        </is>
      </c>
      <c r="I4" s="40" t="inlineStr">
        <is>
          <t>Unit</t>
        </is>
      </c>
      <c r="J4" s="40" t="inlineStr">
        <is>
          <t>Rate ₹</t>
        </is>
      </c>
      <c r="K4" s="40" t="inlineStr">
        <is>
          <t>Line Amt ₹</t>
        </is>
      </c>
      <c r="L4" s="40" t="inlineStr">
        <is>
          <t>Discount/Adj ₹</t>
        </is>
      </c>
      <c r="M4" s="40" t="inlineStr">
        <is>
          <t>Transport ₹</t>
        </is>
      </c>
      <c r="N4" s="40" t="inlineStr">
        <is>
          <t>Labour Charge ₹</t>
        </is>
      </c>
      <c r="O4" s="40" t="inlineStr">
        <is>
          <t>Bill Total ₹</t>
        </is>
      </c>
    </row>
    <row r="5" ht="15.75" customHeight="1" s="99">
      <c r="A5" s="47" t="inlineStr">
        <is>
          <t>63</t>
        </is>
      </c>
      <c r="B5" s="45" t="n">
        <v>46153</v>
      </c>
      <c r="C5" s="47" t="inlineStr">
        <is>
          <t>Pappu Hardware</t>
        </is>
      </c>
      <c r="D5" s="47" t="inlineStr">
        <is>
          <t>Building Materials</t>
        </is>
      </c>
      <c r="E5" s="47" t="inlineStr">
        <is>
          <t>Cement-Ultratech Super</t>
        </is>
      </c>
      <c r="F5" s="47" t="inlineStr">
        <is>
          <t>Ultratech Super Cement</t>
        </is>
      </c>
      <c r="G5" s="47" t="n"/>
      <c r="H5" s="48" t="n">
        <v>40</v>
      </c>
      <c r="I5" s="47" t="inlineStr">
        <is>
          <t>Bags</t>
        </is>
      </c>
      <c r="J5" s="49" t="n">
        <v>360</v>
      </c>
      <c r="K5" s="50">
        <f>IF(OR(H5="",J5=""),"",H5*J5)</f>
        <v/>
      </c>
      <c r="L5" s="62" t="n"/>
      <c r="M5" s="62" t="n"/>
      <c r="N5" s="62" t="n"/>
      <c r="O5" s="50">
        <f>IF(K5="","",K5-IF(L5="",0,L5)+IF(M5="",0,M5)+IF(N5="",0,N5))</f>
        <v/>
      </c>
    </row>
    <row r="6" ht="15.75" customHeight="1" s="99">
      <c r="A6" s="55" t="inlineStr">
        <is>
          <t>63</t>
        </is>
      </c>
      <c r="B6" s="53" t="n">
        <v>46153</v>
      </c>
      <c r="C6" s="55" t="inlineStr">
        <is>
          <t>Pappu Hardware</t>
        </is>
      </c>
      <c r="D6" s="55" t="inlineStr">
        <is>
          <t>Steel/Iron</t>
        </is>
      </c>
      <c r="E6" s="55" t="inlineStr">
        <is>
          <t>Tiscon 12mm</t>
        </is>
      </c>
      <c r="F6" s="55" t="inlineStr">
        <is>
          <t>Tiscon 12mm</t>
        </is>
      </c>
      <c r="G6" s="55" t="n"/>
      <c r="H6" s="56" t="n">
        <v>100</v>
      </c>
      <c r="I6" s="55" t="inlineStr">
        <is>
          <t>Pcs</t>
        </is>
      </c>
      <c r="J6" s="57" t="n">
        <v>908</v>
      </c>
      <c r="K6" s="58">
        <f>IF(OR(H6="",J6=""),"",H6*J6)</f>
        <v/>
      </c>
      <c r="L6" s="63" t="n"/>
      <c r="M6" s="63" t="n"/>
      <c r="N6" s="63" t="n"/>
      <c r="O6" s="58">
        <f>IF(K6="","",K6-IF(L6="",0,L6)+IF(M6="",0,M6)+IF(N6="",0,N6))</f>
        <v/>
      </c>
    </row>
    <row r="7" ht="15.75" customHeight="1" s="99">
      <c r="A7" s="47" t="inlineStr">
        <is>
          <t>63</t>
        </is>
      </c>
      <c r="B7" s="45" t="n">
        <v>46153</v>
      </c>
      <c r="C7" s="47" t="inlineStr">
        <is>
          <t>Pappu Hardware</t>
        </is>
      </c>
      <c r="D7" s="47" t="inlineStr">
        <is>
          <t>Steel/Iron</t>
        </is>
      </c>
      <c r="E7" s="47" t="inlineStr">
        <is>
          <t>Tiscon 10mm</t>
        </is>
      </c>
      <c r="F7" s="47" t="inlineStr">
        <is>
          <t>Tiscon 10mm</t>
        </is>
      </c>
      <c r="G7" s="47" t="n"/>
      <c r="H7" s="48" t="n">
        <v>100</v>
      </c>
      <c r="I7" s="47" t="inlineStr">
        <is>
          <t>Pcs</t>
        </is>
      </c>
      <c r="J7" s="49" t="n">
        <v>642</v>
      </c>
      <c r="K7" s="50">
        <f>IF(OR(H7="",J7=""),"",H7*J7)</f>
        <v/>
      </c>
      <c r="L7" s="62" t="n"/>
      <c r="M7" s="62" t="n"/>
      <c r="N7" s="62" t="n"/>
      <c r="O7" s="50">
        <f>IF(K7="","",K7-IF(L7="",0,L7)+IF(M7="",0,M7)+IF(N7="",0,N7))</f>
        <v/>
      </c>
    </row>
    <row r="8" ht="15.75" customHeight="1" s="99">
      <c r="A8" s="55" t="inlineStr">
        <is>
          <t>63</t>
        </is>
      </c>
      <c r="B8" s="53" t="n">
        <v>46153</v>
      </c>
      <c r="C8" s="55" t="inlineStr">
        <is>
          <t>Pappu Hardware</t>
        </is>
      </c>
      <c r="D8" s="55" t="inlineStr">
        <is>
          <t>Steel/Iron</t>
        </is>
      </c>
      <c r="E8" s="55" t="inlineStr">
        <is>
          <t>Tiscon 6mm</t>
        </is>
      </c>
      <c r="F8" s="55" t="inlineStr">
        <is>
          <t>Tiscon 6mm</t>
        </is>
      </c>
      <c r="G8" s="55" t="n"/>
      <c r="H8" s="56" t="n">
        <v>50</v>
      </c>
      <c r="I8" s="55" t="inlineStr">
        <is>
          <t>Pcs</t>
        </is>
      </c>
      <c r="J8" s="57" t="n">
        <v>246</v>
      </c>
      <c r="K8" s="58">
        <f>IF(OR(H8="",J8=""),"",H8*J8)</f>
        <v/>
      </c>
      <c r="L8" s="63" t="n"/>
      <c r="M8" s="63" t="n"/>
      <c r="N8" s="63" t="n"/>
      <c r="O8" s="58">
        <f>IF(K8="","",K8-IF(L8="",0,L8)+IF(M8="",0,M8)+IF(N8="",0,N8))</f>
        <v/>
      </c>
    </row>
    <row r="9" ht="15.75" customHeight="1" s="99">
      <c r="A9" s="47" t="inlineStr">
        <is>
          <t>63</t>
        </is>
      </c>
      <c r="B9" s="45" t="n">
        <v>46153</v>
      </c>
      <c r="C9" s="47" t="inlineStr">
        <is>
          <t>Pappu Hardware</t>
        </is>
      </c>
      <c r="D9" s="47" t="inlineStr">
        <is>
          <t>Building Materials</t>
        </is>
      </c>
      <c r="E9" s="47" t="inlineStr">
        <is>
          <t>Binding Wire</t>
        </is>
      </c>
      <c r="F9" s="47" t="inlineStr">
        <is>
          <t>Binding Wire 20kg</t>
        </is>
      </c>
      <c r="G9" s="47" t="n"/>
      <c r="H9" s="48" t="n">
        <v>20</v>
      </c>
      <c r="I9" s="47" t="inlineStr">
        <is>
          <t>Kg</t>
        </is>
      </c>
      <c r="J9" s="49" t="n">
        <v>600</v>
      </c>
      <c r="K9" s="50">
        <f>IF(OR(H9="",J9=""),"",H9*J9)</f>
        <v/>
      </c>
      <c r="L9" s="62" t="n"/>
      <c r="M9" s="62" t="n"/>
      <c r="N9" s="62" t="n"/>
      <c r="O9" s="50">
        <f>IF(K9="","",K9-IF(L9="",0,L9)+IF(M9="",0,M9)+IF(N9="",0,N9))</f>
        <v/>
      </c>
    </row>
    <row r="10" ht="15.75" customHeight="1" s="99">
      <c r="A10" s="55" t="inlineStr">
        <is>
          <t>63</t>
        </is>
      </c>
      <c r="B10" s="53" t="n">
        <v>46153</v>
      </c>
      <c r="C10" s="55" t="inlineStr">
        <is>
          <t>Pappu Hardware</t>
        </is>
      </c>
      <c r="D10" s="55" t="inlineStr">
        <is>
          <t>Building Materials</t>
        </is>
      </c>
      <c r="E10" s="55" t="inlineStr">
        <is>
          <t>Dr Fixit</t>
        </is>
      </c>
      <c r="F10" s="55" t="inlineStr">
        <is>
          <t>Dr Fixit 10L x 2pcs</t>
        </is>
      </c>
      <c r="G10" s="55" t="n"/>
      <c r="H10" s="56" t="n">
        <v>2</v>
      </c>
      <c r="I10" s="55" t="inlineStr">
        <is>
          <t>Litres</t>
        </is>
      </c>
      <c r="J10" s="57" t="n">
        <v>1400</v>
      </c>
      <c r="K10" s="58">
        <f>IF(OR(H10="",J10=""),"",H10*J10)</f>
        <v/>
      </c>
      <c r="L10" s="63" t="n"/>
      <c r="M10" s="63" t="n"/>
      <c r="N10" s="63" t="n"/>
      <c r="O10" s="58">
        <f>IF(K10="","",K10-IF(L10="",0,L10)+IF(M10="",0,M10)+IF(N10="",0,N10))</f>
        <v/>
      </c>
    </row>
    <row r="11" ht="15.75" customHeight="1" s="99">
      <c r="A11" s="47" t="inlineStr">
        <is>
          <t>63</t>
        </is>
      </c>
      <c r="B11" s="45" t="n">
        <v>46153</v>
      </c>
      <c r="C11" s="47" t="inlineStr">
        <is>
          <t>Pappu Hardware</t>
        </is>
      </c>
      <c r="D11" s="47" t="inlineStr">
        <is>
          <t>Transport</t>
        </is>
      </c>
      <c r="E11" s="47" t="inlineStr">
        <is>
          <t>Truck/Tempo Freight</t>
        </is>
      </c>
      <c r="F11" s="47" t="inlineStr">
        <is>
          <t>Transport</t>
        </is>
      </c>
      <c r="G11" s="47" t="n"/>
      <c r="H11" s="48" t="n">
        <v>1</v>
      </c>
      <c r="I11" s="47" t="inlineStr">
        <is>
          <t>Trips</t>
        </is>
      </c>
      <c r="J11" s="49" t="n">
        <v>250</v>
      </c>
      <c r="K11" s="50">
        <f>IF(OR(H11="",J11=""),"",H11*J11)</f>
        <v/>
      </c>
      <c r="L11" s="62" t="n"/>
      <c r="M11" s="62" t="n"/>
      <c r="N11" s="62" t="n"/>
      <c r="O11" s="50">
        <f>IF(K11="","",K11-IF(L11="",0,L11)+IF(M11="",0,M11)+IF(N11="",0,N11))</f>
        <v/>
      </c>
    </row>
    <row r="12" ht="15.75" customHeight="1" s="99">
      <c r="A12" s="55" t="inlineStr">
        <is>
          <t>63</t>
        </is>
      </c>
      <c r="B12" s="53" t="n">
        <v>46153</v>
      </c>
      <c r="C12" s="55" t="inlineStr">
        <is>
          <t>Pappu Hardware</t>
        </is>
      </c>
      <c r="D12" s="55" t="inlineStr">
        <is>
          <t>Labour</t>
        </is>
      </c>
      <c r="E12" s="55" t="inlineStr">
        <is>
          <t>Skilled Labour</t>
        </is>
      </c>
      <c r="F12" s="55" t="inlineStr">
        <is>
          <t>Loading labour</t>
        </is>
      </c>
      <c r="G12" s="55" t="n"/>
      <c r="H12" s="56" t="n">
        <v>1</v>
      </c>
      <c r="I12" s="55" t="inlineStr">
        <is>
          <t>Lumpsum</t>
        </is>
      </c>
      <c r="J12" s="57" t="n">
        <v>450</v>
      </c>
      <c r="K12" s="58">
        <f>IF(OR(H12="",J12=""),"",H12*J12)</f>
        <v/>
      </c>
      <c r="L12" s="63" t="n"/>
      <c r="M12" s="63" t="n"/>
      <c r="N12" s="63" t="n"/>
      <c r="O12" s="58">
        <f>IF(K12="","",K12-IF(L12="",0,L12)+IF(M12="",0,M12)+IF(N12="",0,N12))</f>
        <v/>
      </c>
    </row>
    <row r="13" ht="15.75" customHeight="1" s="99">
      <c r="A13" s="47" t="inlineStr">
        <is>
          <t>63</t>
        </is>
      </c>
      <c r="B13" s="45" t="n">
        <v>46153</v>
      </c>
      <c r="C13" s="47" t="inlineStr">
        <is>
          <t>Pappu Hardware</t>
        </is>
      </c>
      <c r="D13" s="47" t="inlineStr">
        <is>
          <t>Building Materials</t>
        </is>
      </c>
      <c r="E13" s="47" t="inlineStr">
        <is>
          <t>Nails</t>
        </is>
      </c>
      <c r="F13" s="47" t="inlineStr">
        <is>
          <t>Kanti (Nails) 2"x1" - 1 bag</t>
        </is>
      </c>
      <c r="G13" s="47" t="n"/>
      <c r="H13" s="48" t="n">
        <v>1</v>
      </c>
      <c r="I13" s="47" t="inlineStr">
        <is>
          <t>Kg/Bags</t>
        </is>
      </c>
      <c r="J13" s="49" t="n">
        <v>2000</v>
      </c>
      <c r="K13" s="50">
        <f>IF(OR(H13="",J13=""),"",H13*J13)</f>
        <v/>
      </c>
      <c r="L13" s="62" t="n"/>
      <c r="M13" s="62" t="n"/>
      <c r="N13" s="62" t="n"/>
      <c r="O13" s="50">
        <f>IF(K13="","",K13-IF(L13="",0,L13)+IF(M13="",0,M13)+IF(N13="",0,N13))</f>
        <v/>
      </c>
    </row>
    <row r="14" ht="15.75" customHeight="1" s="99">
      <c r="A14" s="55" t="n"/>
      <c r="B14" s="53" t="n"/>
      <c r="C14" s="55" t="n"/>
      <c r="D14" s="55" t="n"/>
      <c r="E14" s="55" t="n"/>
      <c r="F14" s="55" t="n"/>
      <c r="G14" s="55" t="n"/>
      <c r="H14" s="56" t="n"/>
      <c r="I14" s="55" t="n"/>
      <c r="J14" s="57" t="n"/>
      <c r="K14" s="58">
        <f>IF(OR(H14="",J14=""),"",H14*J14)</f>
        <v/>
      </c>
      <c r="L14" s="63" t="n"/>
      <c r="M14" s="63" t="n"/>
      <c r="N14" s="63" t="n"/>
      <c r="O14" s="58">
        <f>IF(K14="","",K14-IF(L14="",0,L14)+IF(M14="",0,M14)+IF(N14="",0,N14))</f>
        <v/>
      </c>
    </row>
    <row r="15" ht="15.75" customHeight="1" s="99">
      <c r="A15" s="47" t="n"/>
      <c r="B15" s="45" t="n"/>
      <c r="C15" s="47" t="n"/>
      <c r="D15" s="47" t="n"/>
      <c r="E15" s="47" t="n"/>
      <c r="F15" s="47" t="n"/>
      <c r="G15" s="47" t="n"/>
      <c r="H15" s="48" t="n"/>
      <c r="I15" s="47" t="n"/>
      <c r="J15" s="49" t="n"/>
      <c r="K15" s="50">
        <f>IF(OR(H15="",J15=""),"",H15*J15)</f>
        <v/>
      </c>
      <c r="L15" s="62" t="n"/>
      <c r="M15" s="62" t="n"/>
      <c r="N15" s="62" t="n"/>
      <c r="O15" s="50">
        <f>IF(K15="","",K15-IF(L15="",0,L15)+IF(M15="",0,M15)+IF(N15="",0,N15))</f>
        <v/>
      </c>
    </row>
    <row r="16" ht="15.75" customHeight="1" s="99">
      <c r="A16" s="55" t="n"/>
      <c r="B16" s="53" t="n"/>
      <c r="C16" s="55" t="n"/>
      <c r="D16" s="55" t="n"/>
      <c r="E16" s="55" t="n"/>
      <c r="F16" s="55" t="n"/>
      <c r="G16" s="55" t="n"/>
      <c r="H16" s="56" t="n"/>
      <c r="I16" s="55" t="n"/>
      <c r="J16" s="57" t="n"/>
      <c r="K16" s="58">
        <f>IF(OR(H16="",J16=""),"",H16*J16)</f>
        <v/>
      </c>
      <c r="L16" s="63" t="n"/>
      <c r="M16" s="63" t="n"/>
      <c r="N16" s="63" t="n"/>
      <c r="O16" s="58">
        <f>IF(K16="","",K16-IF(L16="",0,L16)+IF(M16="",0,M16)+IF(N16="",0,N16))</f>
        <v/>
      </c>
    </row>
    <row r="17" ht="15.75" customHeight="1" s="99">
      <c r="A17" s="47" t="n"/>
      <c r="B17" s="45" t="n"/>
      <c r="C17" s="47" t="n"/>
      <c r="D17" s="47" t="n"/>
      <c r="E17" s="47" t="n"/>
      <c r="F17" s="47" t="n"/>
      <c r="G17" s="47" t="n"/>
      <c r="H17" s="48" t="n"/>
      <c r="I17" s="47" t="n"/>
      <c r="J17" s="49" t="n"/>
      <c r="K17" s="50">
        <f>IF(OR(H17="",J17=""),"",H17*J17)</f>
        <v/>
      </c>
      <c r="L17" s="62" t="n"/>
      <c r="M17" s="62" t="n"/>
      <c r="N17" s="62" t="n"/>
      <c r="O17" s="50">
        <f>IF(K17="","",K17-IF(L17="",0,L17)+IF(M17="",0,M17)+IF(N17="",0,N17))</f>
        <v/>
      </c>
    </row>
    <row r="18" ht="15.75" customHeight="1" s="99">
      <c r="A18" s="55" t="n"/>
      <c r="B18" s="53" t="n"/>
      <c r="C18" s="55" t="n"/>
      <c r="D18" s="55" t="n"/>
      <c r="E18" s="55" t="n"/>
      <c r="F18" s="55" t="n"/>
      <c r="G18" s="55" t="n"/>
      <c r="H18" s="56" t="n"/>
      <c r="I18" s="55" t="n"/>
      <c r="J18" s="57" t="n"/>
      <c r="K18" s="58">
        <f>IF(OR(H18="",J18=""),"",H18*J18)</f>
        <v/>
      </c>
      <c r="L18" s="63" t="n"/>
      <c r="M18" s="63" t="n"/>
      <c r="N18" s="63" t="n"/>
      <c r="O18" s="58">
        <f>IF(K18="","",K18-IF(L18="",0,L18)+IF(M18="",0,M18)+IF(N18="",0,N18))</f>
        <v/>
      </c>
    </row>
    <row r="19" ht="15.75" customHeight="1" s="99">
      <c r="A19" s="47" t="n"/>
      <c r="B19" s="45" t="n"/>
      <c r="C19" s="47" t="n"/>
      <c r="D19" s="47" t="n"/>
      <c r="E19" s="47" t="n"/>
      <c r="F19" s="47" t="n"/>
      <c r="G19" s="47" t="n"/>
      <c r="H19" s="48" t="n"/>
      <c r="I19" s="47" t="n"/>
      <c r="J19" s="49" t="n"/>
      <c r="K19" s="50">
        <f>IF(OR(H19="",J19=""),"",H19*J19)</f>
        <v/>
      </c>
      <c r="L19" s="62" t="n"/>
      <c r="M19" s="62" t="n"/>
      <c r="N19" s="62" t="n"/>
      <c r="O19" s="50">
        <f>IF(K19="","",K19-IF(L19="",0,L19)+IF(M19="",0,M19)+IF(N19="",0,N19))</f>
        <v/>
      </c>
    </row>
    <row r="20" ht="15.75" customHeight="1" s="99">
      <c r="A20" s="55" t="n"/>
      <c r="B20" s="53" t="n"/>
      <c r="C20" s="55" t="n"/>
      <c r="D20" s="55" t="n"/>
      <c r="E20" s="55" t="n"/>
      <c r="F20" s="55" t="n"/>
      <c r="G20" s="55" t="n"/>
      <c r="H20" s="56" t="n"/>
      <c r="I20" s="55" t="n"/>
      <c r="J20" s="57" t="n"/>
      <c r="K20" s="58">
        <f>IF(OR(H20="",J20=""),"",H20*J20)</f>
        <v/>
      </c>
      <c r="L20" s="63" t="n"/>
      <c r="M20" s="63" t="n"/>
      <c r="N20" s="63" t="n"/>
      <c r="O20" s="58">
        <f>IF(K20="","",K20-IF(L20="",0,L20)+IF(M20="",0,M20)+IF(N20="",0,N20))</f>
        <v/>
      </c>
    </row>
    <row r="21" ht="15.75" customHeight="1" s="99">
      <c r="A21" s="47" t="n"/>
      <c r="B21" s="45" t="n"/>
      <c r="C21" s="47" t="n"/>
      <c r="D21" s="47" t="n"/>
      <c r="E21" s="47" t="n"/>
      <c r="F21" s="47" t="n"/>
      <c r="G21" s="47" t="n"/>
      <c r="H21" s="48" t="n"/>
      <c r="I21" s="47" t="n"/>
      <c r="J21" s="49" t="n"/>
      <c r="K21" s="50">
        <f>IF(OR(H21="",J21=""),"",H21*J21)</f>
        <v/>
      </c>
      <c r="L21" s="62" t="n"/>
      <c r="M21" s="62" t="n"/>
      <c r="N21" s="62" t="n"/>
      <c r="O21" s="50">
        <f>IF(K21="","",K21-IF(L21="",0,L21)+IF(M21="",0,M21)+IF(N21="",0,N21))</f>
        <v/>
      </c>
    </row>
    <row r="22" ht="15.75" customHeight="1" s="99">
      <c r="A22" s="55" t="n"/>
      <c r="B22" s="53" t="n"/>
      <c r="C22" s="55" t="n"/>
      <c r="D22" s="55" t="n"/>
      <c r="E22" s="55" t="n"/>
      <c r="F22" s="55" t="n"/>
      <c r="G22" s="55" t="n"/>
      <c r="H22" s="56" t="n"/>
      <c r="I22" s="55" t="n"/>
      <c r="J22" s="57" t="n"/>
      <c r="K22" s="58">
        <f>IF(OR(H22="",J22=""),"",H22*J22)</f>
        <v/>
      </c>
      <c r="L22" s="63" t="n"/>
      <c r="M22" s="63" t="n"/>
      <c r="N22" s="63" t="n"/>
      <c r="O22" s="58">
        <f>IF(K22="","",K22-IF(L22="",0,L22)+IF(M22="",0,M22)+IF(N22="",0,N22))</f>
        <v/>
      </c>
    </row>
    <row r="23" ht="15.75" customHeight="1" s="99">
      <c r="A23" s="47" t="n"/>
      <c r="B23" s="45" t="n"/>
      <c r="C23" s="47" t="n"/>
      <c r="D23" s="47" t="n"/>
      <c r="E23" s="47" t="n"/>
      <c r="F23" s="47" t="n"/>
      <c r="G23" s="47" t="n"/>
      <c r="H23" s="48" t="n"/>
      <c r="I23" s="47" t="n"/>
      <c r="J23" s="49" t="n"/>
      <c r="K23" s="50">
        <f>IF(OR(H23="",J23=""),"",H23*J23)</f>
        <v/>
      </c>
      <c r="L23" s="62" t="n"/>
      <c r="M23" s="62" t="n"/>
      <c r="N23" s="62" t="n"/>
      <c r="O23" s="50">
        <f>IF(K23="","",K23-IF(L23="",0,L23)+IF(M23="",0,M23)+IF(N23="",0,N23))</f>
        <v/>
      </c>
    </row>
    <row r="24" ht="15.75" customHeight="1" s="99">
      <c r="A24" s="55" t="n"/>
      <c r="B24" s="53" t="n"/>
      <c r="C24" s="55" t="n"/>
      <c r="D24" s="55" t="n"/>
      <c r="E24" s="55" t="n"/>
      <c r="F24" s="55" t="n"/>
      <c r="G24" s="55" t="n"/>
      <c r="H24" s="56" t="n"/>
      <c r="I24" s="55" t="n"/>
      <c r="J24" s="57" t="n"/>
      <c r="K24" s="58">
        <f>IF(OR(H24="",J24=""),"",H24*J24)</f>
        <v/>
      </c>
      <c r="L24" s="63" t="n"/>
      <c r="M24" s="63" t="n"/>
      <c r="N24" s="63" t="n"/>
      <c r="O24" s="58">
        <f>IF(K24="","",K24-IF(L24="",0,L24)+IF(M24="",0,M24)+IF(N24="",0,N24))</f>
        <v/>
      </c>
    </row>
    <row r="25" ht="15.75" customHeight="1" s="99">
      <c r="A25" s="47" t="n"/>
      <c r="B25" s="45" t="n"/>
      <c r="C25" s="47" t="n"/>
      <c r="D25" s="47" t="n"/>
      <c r="E25" s="47" t="n"/>
      <c r="F25" s="47" t="n"/>
      <c r="G25" s="47" t="n"/>
      <c r="H25" s="48" t="n"/>
      <c r="I25" s="47" t="n"/>
      <c r="J25" s="49" t="n"/>
      <c r="K25" s="50">
        <f>IF(OR(H25="",J25=""),"",H25*J25)</f>
        <v/>
      </c>
      <c r="L25" s="62" t="n"/>
      <c r="M25" s="62" t="n"/>
      <c r="N25" s="62" t="n"/>
      <c r="O25" s="50">
        <f>IF(K25="","",K25-IF(L25="",0,L25)+IF(M25="",0,M25)+IF(N25="",0,N25))</f>
        <v/>
      </c>
    </row>
    <row r="26" ht="15.75" customHeight="1" s="99">
      <c r="A26" s="55" t="n"/>
      <c r="B26" s="53" t="n"/>
      <c r="C26" s="55" t="n"/>
      <c r="D26" s="55" t="n"/>
      <c r="E26" s="55" t="n"/>
      <c r="F26" s="55" t="n"/>
      <c r="G26" s="55" t="n"/>
      <c r="H26" s="56" t="n"/>
      <c r="I26" s="55" t="n"/>
      <c r="J26" s="57" t="n"/>
      <c r="K26" s="58">
        <f>IF(OR(H26="",J26=""),"",H26*J26)</f>
        <v/>
      </c>
      <c r="L26" s="63" t="n"/>
      <c r="M26" s="63" t="n"/>
      <c r="N26" s="63" t="n"/>
      <c r="O26" s="58">
        <f>IF(K26="","",K26-IF(L26="",0,L26)+IF(M26="",0,M26)+IF(N26="",0,N26))</f>
        <v/>
      </c>
    </row>
    <row r="27" ht="15.75" customHeight="1" s="99">
      <c r="A27" s="47" t="n"/>
      <c r="B27" s="45" t="n"/>
      <c r="C27" s="47" t="n"/>
      <c r="D27" s="47" t="n"/>
      <c r="E27" s="47" t="n"/>
      <c r="F27" s="47" t="n"/>
      <c r="G27" s="47" t="n"/>
      <c r="H27" s="48" t="n"/>
      <c r="I27" s="47" t="n"/>
      <c r="J27" s="49" t="n"/>
      <c r="K27" s="50">
        <f>IF(OR(H27="",J27=""),"",H27*J27)</f>
        <v/>
      </c>
      <c r="L27" s="62" t="n"/>
      <c r="M27" s="62" t="n"/>
      <c r="N27" s="62" t="n"/>
      <c r="O27" s="50">
        <f>IF(K27="","",K27-IF(L27="",0,L27)+IF(M27="",0,M27)+IF(N27="",0,N27))</f>
        <v/>
      </c>
    </row>
    <row r="28" ht="15.75" customHeight="1" s="99">
      <c r="A28" s="55" t="n"/>
      <c r="B28" s="53" t="n"/>
      <c r="C28" s="55" t="n"/>
      <c r="D28" s="55" t="n"/>
      <c r="E28" s="55" t="n"/>
      <c r="F28" s="55" t="n"/>
      <c r="G28" s="55" t="n"/>
      <c r="H28" s="56" t="n"/>
      <c r="I28" s="55" t="n"/>
      <c r="J28" s="57" t="n"/>
      <c r="K28" s="58">
        <f>IF(OR(H28="",J28=""),"",H28*J28)</f>
        <v/>
      </c>
      <c r="L28" s="63" t="n"/>
      <c r="M28" s="63" t="n"/>
      <c r="N28" s="63" t="n"/>
      <c r="O28" s="58">
        <f>IF(K28="","",K28-IF(L28="",0,L28)+IF(M28="",0,M28)+IF(N28="",0,N28))</f>
        <v/>
      </c>
    </row>
    <row r="29" ht="15.75" customHeight="1" s="99">
      <c r="A29" s="47" t="n"/>
      <c r="B29" s="45" t="n"/>
      <c r="C29" s="47" t="n"/>
      <c r="D29" s="47" t="n"/>
      <c r="E29" s="47" t="n"/>
      <c r="F29" s="47" t="n"/>
      <c r="G29" s="47" t="n"/>
      <c r="H29" s="48" t="n"/>
      <c r="I29" s="47" t="n"/>
      <c r="J29" s="49" t="n"/>
      <c r="K29" s="50">
        <f>IF(OR(H29="",J29=""),"",H29*J29)</f>
        <v/>
      </c>
      <c r="L29" s="62" t="n"/>
      <c r="M29" s="62" t="n"/>
      <c r="N29" s="62" t="n"/>
      <c r="O29" s="50">
        <f>IF(K29="","",K29-IF(L29="",0,L29)+IF(M29="",0,M29)+IF(N29="",0,N29))</f>
        <v/>
      </c>
    </row>
    <row r="30" ht="15.75" customHeight="1" s="99">
      <c r="A30" s="55" t="n"/>
      <c r="B30" s="53" t="n"/>
      <c r="C30" s="55" t="n"/>
      <c r="D30" s="55" t="n"/>
      <c r="E30" s="55" t="n"/>
      <c r="F30" s="55" t="n"/>
      <c r="G30" s="55" t="n"/>
      <c r="H30" s="56" t="n"/>
      <c r="I30" s="55" t="n"/>
      <c r="J30" s="57" t="n"/>
      <c r="K30" s="58">
        <f>IF(OR(H30="",J30=""),"",H30*J30)</f>
        <v/>
      </c>
      <c r="L30" s="63" t="n"/>
      <c r="M30" s="63" t="n"/>
      <c r="N30" s="63" t="n"/>
      <c r="O30" s="58">
        <f>IF(K30="","",K30-IF(L30="",0,L30)+IF(M30="",0,M30)+IF(N30="",0,N30))</f>
        <v/>
      </c>
    </row>
    <row r="31" ht="15.75" customHeight="1" s="99">
      <c r="A31" s="47" t="n"/>
      <c r="B31" s="45" t="n"/>
      <c r="C31" s="47" t="n"/>
      <c r="D31" s="47" t="n"/>
      <c r="E31" s="47" t="n"/>
      <c r="F31" s="47" t="n"/>
      <c r="G31" s="47" t="n"/>
      <c r="H31" s="48" t="n"/>
      <c r="I31" s="47" t="n"/>
      <c r="J31" s="49" t="n"/>
      <c r="K31" s="50">
        <f>IF(OR(H31="",J31=""),"",H31*J31)</f>
        <v/>
      </c>
      <c r="L31" s="62" t="n"/>
      <c r="M31" s="62" t="n"/>
      <c r="N31" s="62" t="n"/>
      <c r="O31" s="50">
        <f>IF(K31="","",K31-IF(L31="",0,L31)+IF(M31="",0,M31)+IF(N31="",0,N31))</f>
        <v/>
      </c>
    </row>
    <row r="32" ht="15.75" customHeight="1" s="99">
      <c r="A32" s="55" t="n"/>
      <c r="B32" s="53" t="n"/>
      <c r="C32" s="55" t="n"/>
      <c r="D32" s="55" t="n"/>
      <c r="E32" s="55" t="n"/>
      <c r="F32" s="55" t="n"/>
      <c r="G32" s="55" t="n"/>
      <c r="H32" s="56" t="n"/>
      <c r="I32" s="55" t="n"/>
      <c r="J32" s="57" t="n"/>
      <c r="K32" s="58">
        <f>IF(OR(H32="",J32=""),"",H32*J32)</f>
        <v/>
      </c>
      <c r="L32" s="63" t="n"/>
      <c r="M32" s="63" t="n"/>
      <c r="N32" s="63" t="n"/>
      <c r="O32" s="58">
        <f>IF(K32="","",K32-IF(L32="",0,L32)+IF(M32="",0,M32)+IF(N32="",0,N32))</f>
        <v/>
      </c>
    </row>
    <row r="33" ht="15.75" customHeight="1" s="99">
      <c r="A33" s="47" t="n"/>
      <c r="B33" s="45" t="n"/>
      <c r="C33" s="47" t="n"/>
      <c r="D33" s="47" t="n"/>
      <c r="E33" s="47" t="n"/>
      <c r="F33" s="47" t="n"/>
      <c r="G33" s="47" t="n"/>
      <c r="H33" s="48" t="n"/>
      <c r="I33" s="47" t="n"/>
      <c r="J33" s="49" t="n"/>
      <c r="K33" s="50">
        <f>IF(OR(H33="",J33=""),"",H33*J33)</f>
        <v/>
      </c>
      <c r="L33" s="62" t="n"/>
      <c r="M33" s="62" t="n"/>
      <c r="N33" s="62" t="n"/>
      <c r="O33" s="50">
        <f>IF(K33="","",K33-IF(L33="",0,L33)+IF(M33="",0,M33)+IF(N33="",0,N33))</f>
        <v/>
      </c>
    </row>
    <row r="34" ht="15.75" customHeight="1" s="99">
      <c r="A34" s="55" t="n"/>
      <c r="B34" s="53" t="n"/>
      <c r="C34" s="55" t="n"/>
      <c r="D34" s="55" t="n"/>
      <c r="E34" s="55" t="n"/>
      <c r="F34" s="55" t="n"/>
      <c r="G34" s="55" t="n"/>
      <c r="H34" s="56" t="n"/>
      <c r="I34" s="55" t="n"/>
      <c r="J34" s="57" t="n"/>
      <c r="K34" s="58">
        <f>IF(OR(H34="",J34=""),"",H34*J34)</f>
        <v/>
      </c>
      <c r="L34" s="63" t="n"/>
      <c r="M34" s="63" t="n"/>
      <c r="N34" s="63" t="n"/>
      <c r="O34" s="58">
        <f>IF(K34="","",K34-IF(L34="",0,L34)+IF(M34="",0,M34)+IF(N34="",0,N34))</f>
        <v/>
      </c>
    </row>
    <row r="35" ht="15.75" customHeight="1" s="99">
      <c r="A35" s="47" t="n"/>
      <c r="B35" s="45" t="n"/>
      <c r="C35" s="47" t="n"/>
      <c r="D35" s="47" t="n"/>
      <c r="E35" s="47" t="n"/>
      <c r="F35" s="47" t="n"/>
      <c r="G35" s="47" t="n"/>
      <c r="H35" s="48" t="n"/>
      <c r="I35" s="47" t="n"/>
      <c r="J35" s="49" t="n"/>
      <c r="K35" s="50">
        <f>IF(OR(H35="",J35=""),"",H35*J35)</f>
        <v/>
      </c>
      <c r="L35" s="62" t="n"/>
      <c r="M35" s="62" t="n"/>
      <c r="N35" s="62" t="n"/>
      <c r="O35" s="50">
        <f>IF(K35="","",K35-IF(L35="",0,L35)+IF(M35="",0,M35)+IF(N35="",0,N35))</f>
        <v/>
      </c>
    </row>
    <row r="36" ht="15.75" customHeight="1" s="99">
      <c r="A36" s="55" t="n"/>
      <c r="B36" s="53" t="n"/>
      <c r="C36" s="55" t="n"/>
      <c r="D36" s="55" t="n"/>
      <c r="E36" s="55" t="n"/>
      <c r="F36" s="55" t="n"/>
      <c r="G36" s="55" t="n"/>
      <c r="H36" s="56" t="n"/>
      <c r="I36" s="55" t="n"/>
      <c r="J36" s="57" t="n"/>
      <c r="K36" s="58">
        <f>IF(OR(H36="",J36=""),"",H36*J36)</f>
        <v/>
      </c>
      <c r="L36" s="63" t="n"/>
      <c r="M36" s="63" t="n"/>
      <c r="N36" s="63" t="n"/>
      <c r="O36" s="58">
        <f>IF(K36="","",K36-IF(L36="",0,L36)+IF(M36="",0,M36)+IF(N36="",0,N36))</f>
        <v/>
      </c>
    </row>
    <row r="37" ht="15.75" customHeight="1" s="99">
      <c r="A37" s="47" t="n"/>
      <c r="B37" s="45" t="n"/>
      <c r="C37" s="47" t="n"/>
      <c r="D37" s="47" t="n"/>
      <c r="E37" s="47" t="n"/>
      <c r="F37" s="47" t="n"/>
      <c r="G37" s="47" t="n"/>
      <c r="H37" s="48" t="n"/>
      <c r="I37" s="47" t="n"/>
      <c r="J37" s="49" t="n"/>
      <c r="K37" s="50">
        <f>IF(OR(H37="",J37=""),"",H37*J37)</f>
        <v/>
      </c>
      <c r="L37" s="62" t="n"/>
      <c r="M37" s="62" t="n"/>
      <c r="N37" s="62" t="n"/>
      <c r="O37" s="50">
        <f>IF(K37="","",K37-IF(L37="",0,L37)+IF(M37="",0,M37)+IF(N37="",0,N37))</f>
        <v/>
      </c>
    </row>
    <row r="38" ht="15.75" customHeight="1" s="99">
      <c r="A38" s="55" t="n"/>
      <c r="B38" s="53" t="n"/>
      <c r="C38" s="55" t="n"/>
      <c r="D38" s="55" t="n"/>
      <c r="E38" s="55" t="n"/>
      <c r="F38" s="55" t="n"/>
      <c r="G38" s="55" t="n"/>
      <c r="H38" s="56" t="n"/>
      <c r="I38" s="55" t="n"/>
      <c r="J38" s="57" t="n"/>
      <c r="K38" s="58">
        <f>IF(OR(H38="",J38=""),"",H38*J38)</f>
        <v/>
      </c>
      <c r="L38" s="63" t="n"/>
      <c r="M38" s="63" t="n"/>
      <c r="N38" s="63" t="n"/>
      <c r="O38" s="58">
        <f>IF(K38="","",K38-IF(L38="",0,L38)+IF(M38="",0,M38)+IF(N38="",0,N38))</f>
        <v/>
      </c>
    </row>
    <row r="39" ht="15.75" customHeight="1" s="99">
      <c r="A39" s="47" t="n"/>
      <c r="B39" s="45" t="n"/>
      <c r="C39" s="47" t="n"/>
      <c r="D39" s="47" t="n"/>
      <c r="E39" s="47" t="n"/>
      <c r="F39" s="47" t="n"/>
      <c r="G39" s="47" t="n"/>
      <c r="H39" s="48" t="n"/>
      <c r="I39" s="47" t="n"/>
      <c r="J39" s="49" t="n"/>
      <c r="K39" s="50">
        <f>IF(OR(H39="",J39=""),"",H39*J39)</f>
        <v/>
      </c>
      <c r="L39" s="62" t="n"/>
      <c r="M39" s="62" t="n"/>
      <c r="N39" s="62" t="n"/>
      <c r="O39" s="50">
        <f>IF(K39="","",K39-IF(L39="",0,L39)+IF(M39="",0,M39)+IF(N39="",0,N39))</f>
        <v/>
      </c>
    </row>
    <row r="40" ht="15.75" customHeight="1" s="99">
      <c r="A40" s="55" t="n"/>
      <c r="B40" s="53" t="n"/>
      <c r="C40" s="55" t="n"/>
      <c r="D40" s="55" t="n"/>
      <c r="E40" s="55" t="n"/>
      <c r="F40" s="55" t="n"/>
      <c r="G40" s="55" t="n"/>
      <c r="H40" s="56" t="n"/>
      <c r="I40" s="55" t="n"/>
      <c r="J40" s="57" t="n"/>
      <c r="K40" s="58">
        <f>IF(OR(H40="",J40=""),"",H40*J40)</f>
        <v/>
      </c>
      <c r="L40" s="63" t="n"/>
      <c r="M40" s="63" t="n"/>
      <c r="N40" s="63" t="n"/>
      <c r="O40" s="58">
        <f>IF(K40="","",K40-IF(L40="",0,L40)+IF(M40="",0,M40)+IF(N40="",0,N40))</f>
        <v/>
      </c>
    </row>
    <row r="41" ht="15.75" customHeight="1" s="99">
      <c r="A41" s="47" t="n"/>
      <c r="B41" s="45" t="n"/>
      <c r="C41" s="47" t="n"/>
      <c r="D41" s="47" t="n"/>
      <c r="E41" s="47" t="n"/>
      <c r="F41" s="47" t="n"/>
      <c r="G41" s="47" t="n"/>
      <c r="H41" s="48" t="n"/>
      <c r="I41" s="47" t="n"/>
      <c r="J41" s="49" t="n"/>
      <c r="K41" s="50">
        <f>IF(OR(H41="",J41=""),"",H41*J41)</f>
        <v/>
      </c>
      <c r="L41" s="62" t="n"/>
      <c r="M41" s="62" t="n"/>
      <c r="N41" s="62" t="n"/>
      <c r="O41" s="50">
        <f>IF(K41="","",K41-IF(L41="",0,L41)+IF(M41="",0,M41)+IF(N41="",0,N41))</f>
        <v/>
      </c>
    </row>
    <row r="42" ht="15.75" customHeight="1" s="99">
      <c r="A42" s="55" t="n"/>
      <c r="B42" s="53" t="n"/>
      <c r="C42" s="55" t="n"/>
      <c r="D42" s="55" t="n"/>
      <c r="E42" s="55" t="n"/>
      <c r="F42" s="55" t="n"/>
      <c r="G42" s="55" t="n"/>
      <c r="H42" s="56" t="n"/>
      <c r="I42" s="55" t="n"/>
      <c r="J42" s="57" t="n"/>
      <c r="K42" s="58">
        <f>IF(OR(H42="",J42=""),"",H42*J42)</f>
        <v/>
      </c>
      <c r="L42" s="63" t="n"/>
      <c r="M42" s="63" t="n"/>
      <c r="N42" s="63" t="n"/>
      <c r="O42" s="58">
        <f>IF(K42="","",K42-IF(L42="",0,L42)+IF(M42="",0,M42)+IF(N42="",0,N42))</f>
        <v/>
      </c>
    </row>
    <row r="43" ht="15.75" customHeight="1" s="99">
      <c r="A43" s="47" t="n"/>
      <c r="B43" s="45" t="n"/>
      <c r="C43" s="47" t="n"/>
      <c r="D43" s="47" t="n"/>
      <c r="E43" s="47" t="n"/>
      <c r="F43" s="47" t="n"/>
      <c r="G43" s="47" t="n"/>
      <c r="H43" s="48" t="n"/>
      <c r="I43" s="47" t="n"/>
      <c r="J43" s="49" t="n"/>
      <c r="K43" s="50">
        <f>IF(OR(H43="",J43=""),"",H43*J43)</f>
        <v/>
      </c>
      <c r="L43" s="62" t="n"/>
      <c r="M43" s="62" t="n"/>
      <c r="N43" s="62" t="n"/>
      <c r="O43" s="50">
        <f>IF(K43="","",K43-IF(L43="",0,L43)+IF(M43="",0,M43)+IF(N43="",0,N43))</f>
        <v/>
      </c>
    </row>
    <row r="44" ht="15.75" customHeight="1" s="99">
      <c r="A44" s="55" t="n"/>
      <c r="B44" s="53" t="n"/>
      <c r="C44" s="55" t="n"/>
      <c r="D44" s="55" t="n"/>
      <c r="E44" s="55" t="n"/>
      <c r="F44" s="55" t="n"/>
      <c r="G44" s="55" t="n"/>
      <c r="H44" s="56" t="n"/>
      <c r="I44" s="55" t="n"/>
      <c r="J44" s="57" t="n"/>
      <c r="K44" s="58">
        <f>IF(OR(H44="",J44=""),"",H44*J44)</f>
        <v/>
      </c>
      <c r="L44" s="63" t="n"/>
      <c r="M44" s="63" t="n"/>
      <c r="N44" s="63" t="n"/>
      <c r="O44" s="58">
        <f>IF(K44="","",K44-IF(L44="",0,L44)+IF(M44="",0,M44)+IF(N44="",0,N44))</f>
        <v/>
      </c>
    </row>
    <row r="45" ht="15.75" customHeight="1" s="99">
      <c r="A45" s="47" t="n"/>
      <c r="B45" s="45" t="n"/>
      <c r="C45" s="47" t="n"/>
      <c r="D45" s="47" t="n"/>
      <c r="E45" s="47" t="n"/>
      <c r="F45" s="47" t="n"/>
      <c r="G45" s="47" t="n"/>
      <c r="H45" s="48" t="n"/>
      <c r="I45" s="47" t="n"/>
      <c r="J45" s="49" t="n"/>
      <c r="K45" s="50">
        <f>IF(OR(H45="",J45=""),"",H45*J45)</f>
        <v/>
      </c>
      <c r="L45" s="62" t="n"/>
      <c r="M45" s="62" t="n"/>
      <c r="N45" s="62" t="n"/>
      <c r="O45" s="50">
        <f>IF(K45="","",K45-IF(L45="",0,L45)+IF(M45="",0,M45)+IF(N45="",0,N45))</f>
        <v/>
      </c>
    </row>
    <row r="46" ht="15.75" customHeight="1" s="99">
      <c r="A46" s="55" t="n"/>
      <c r="B46" s="53" t="n"/>
      <c r="C46" s="55" t="n"/>
      <c r="D46" s="55" t="n"/>
      <c r="E46" s="55" t="n"/>
      <c r="F46" s="55" t="n"/>
      <c r="G46" s="55" t="n"/>
      <c r="H46" s="56" t="n"/>
      <c r="I46" s="55" t="n"/>
      <c r="J46" s="57" t="n"/>
      <c r="K46" s="58">
        <f>IF(OR(H46="",J46=""),"",H46*J46)</f>
        <v/>
      </c>
      <c r="L46" s="63" t="n"/>
      <c r="M46" s="63" t="n"/>
      <c r="N46" s="63" t="n"/>
      <c r="O46" s="58">
        <f>IF(K46="","",K46-IF(L46="",0,L46)+IF(M46="",0,M46)+IF(N46="",0,N46))</f>
        <v/>
      </c>
    </row>
    <row r="47" ht="15.75" customHeight="1" s="99">
      <c r="A47" s="47" t="n"/>
      <c r="B47" s="45" t="n"/>
      <c r="C47" s="47" t="n"/>
      <c r="D47" s="47" t="n"/>
      <c r="E47" s="47" t="n"/>
      <c r="F47" s="47" t="n"/>
      <c r="G47" s="47" t="n"/>
      <c r="H47" s="48" t="n"/>
      <c r="I47" s="47" t="n"/>
      <c r="J47" s="49" t="n"/>
      <c r="K47" s="50">
        <f>IF(OR(H47="",J47=""),"",H47*J47)</f>
        <v/>
      </c>
      <c r="L47" s="62" t="n"/>
      <c r="M47" s="62" t="n"/>
      <c r="N47" s="62" t="n"/>
      <c r="O47" s="50">
        <f>IF(K47="","",K47-IF(L47="",0,L47)+IF(M47="",0,M47)+IF(N47="",0,N47))</f>
        <v/>
      </c>
    </row>
    <row r="48" ht="15.75" customHeight="1" s="99">
      <c r="A48" s="55" t="n"/>
      <c r="B48" s="53" t="n"/>
      <c r="C48" s="55" t="n"/>
      <c r="D48" s="55" t="n"/>
      <c r="E48" s="55" t="n"/>
      <c r="F48" s="55" t="n"/>
      <c r="G48" s="55" t="n"/>
      <c r="H48" s="56" t="n"/>
      <c r="I48" s="55" t="n"/>
      <c r="J48" s="57" t="n"/>
      <c r="K48" s="58">
        <f>IF(OR(H48="",J48=""),"",H48*J48)</f>
        <v/>
      </c>
      <c r="L48" s="63" t="n"/>
      <c r="M48" s="63" t="n"/>
      <c r="N48" s="63" t="n"/>
      <c r="O48" s="58">
        <f>IF(K48="","",K48-IF(L48="",0,L48)+IF(M48="",0,M48)+IF(N48="",0,N48))</f>
        <v/>
      </c>
    </row>
    <row r="49" ht="15.75" customHeight="1" s="99">
      <c r="A49" s="47" t="n"/>
      <c r="B49" s="45" t="n"/>
      <c r="C49" s="47" t="n"/>
      <c r="D49" s="47" t="n"/>
      <c r="E49" s="47" t="n"/>
      <c r="F49" s="47" t="n"/>
      <c r="G49" s="47" t="n"/>
      <c r="H49" s="48" t="n"/>
      <c r="I49" s="47" t="n"/>
      <c r="J49" s="49" t="n"/>
      <c r="K49" s="50">
        <f>IF(OR(H49="",J49=""),"",H49*J49)</f>
        <v/>
      </c>
      <c r="L49" s="62" t="n"/>
      <c r="M49" s="62" t="n"/>
      <c r="N49" s="62" t="n"/>
      <c r="O49" s="50">
        <f>IF(K49="","",K49-IF(L49="",0,L49)+IF(M49="",0,M49)+IF(N49="",0,N49))</f>
        <v/>
      </c>
    </row>
    <row r="50" ht="15.75" customHeight="1" s="99">
      <c r="A50" s="55" t="n"/>
      <c r="B50" s="53" t="n"/>
      <c r="C50" s="55" t="n"/>
      <c r="D50" s="55" t="n"/>
      <c r="E50" s="55" t="n"/>
      <c r="F50" s="55" t="n"/>
      <c r="G50" s="55" t="n"/>
      <c r="H50" s="56" t="n"/>
      <c r="I50" s="55" t="n"/>
      <c r="J50" s="57" t="n"/>
      <c r="K50" s="58">
        <f>IF(OR(H50="",J50=""),"",H50*J50)</f>
        <v/>
      </c>
      <c r="L50" s="63" t="n"/>
      <c r="M50" s="63" t="n"/>
      <c r="N50" s="63" t="n"/>
      <c r="O50" s="58">
        <f>IF(K50="","",K50-IF(L50="",0,L50)+IF(M50="",0,M50)+IF(N50="",0,N50))</f>
        <v/>
      </c>
    </row>
    <row r="51" ht="15.75" customHeight="1" s="99">
      <c r="A51" s="47" t="n"/>
      <c r="B51" s="45" t="n"/>
      <c r="C51" s="47" t="n"/>
      <c r="D51" s="47" t="n"/>
      <c r="E51" s="47" t="n"/>
      <c r="F51" s="47" t="n"/>
      <c r="G51" s="47" t="n"/>
      <c r="H51" s="48" t="n"/>
      <c r="I51" s="47" t="n"/>
      <c r="J51" s="49" t="n"/>
      <c r="K51" s="50">
        <f>IF(OR(H51="",J51=""),"",H51*J51)</f>
        <v/>
      </c>
      <c r="L51" s="62" t="n"/>
      <c r="M51" s="62" t="n"/>
      <c r="N51" s="62" t="n"/>
      <c r="O51" s="50">
        <f>IF(K51="","",K51-IF(L51="",0,L51)+IF(M51="",0,M51)+IF(N51="",0,N51))</f>
        <v/>
      </c>
    </row>
    <row r="52" ht="15.75" customHeight="1" s="99">
      <c r="A52" s="55" t="n"/>
      <c r="B52" s="53" t="n"/>
      <c r="C52" s="55" t="n"/>
      <c r="D52" s="55" t="n"/>
      <c r="E52" s="55" t="n"/>
      <c r="F52" s="55" t="n"/>
      <c r="G52" s="55" t="n"/>
      <c r="H52" s="56" t="n"/>
      <c r="I52" s="55" t="n"/>
      <c r="J52" s="57" t="n"/>
      <c r="K52" s="58">
        <f>IF(OR(H52="",J52=""),"",H52*J52)</f>
        <v/>
      </c>
      <c r="L52" s="63" t="n"/>
      <c r="M52" s="63" t="n"/>
      <c r="N52" s="63" t="n"/>
      <c r="O52" s="58">
        <f>IF(K52="","",K52-IF(L52="",0,L52)+IF(M52="",0,M52)+IF(N52="",0,N52))</f>
        <v/>
      </c>
    </row>
    <row r="53" ht="15.75" customHeight="1" s="99">
      <c r="A53" s="47" t="n"/>
      <c r="B53" s="45" t="n"/>
      <c r="C53" s="47" t="n"/>
      <c r="D53" s="47" t="n"/>
      <c r="E53" s="47" t="n"/>
      <c r="F53" s="47" t="n"/>
      <c r="G53" s="47" t="n"/>
      <c r="H53" s="48" t="n"/>
      <c r="I53" s="47" t="n"/>
      <c r="J53" s="49" t="n"/>
      <c r="K53" s="50">
        <f>IF(OR(H53="",J53=""),"",H53*J53)</f>
        <v/>
      </c>
      <c r="L53" s="62" t="n"/>
      <c r="M53" s="62" t="n"/>
      <c r="N53" s="62" t="n"/>
      <c r="O53" s="50">
        <f>IF(K53="","",K53-IF(L53="",0,L53)+IF(M53="",0,M53)+IF(N53="",0,N53))</f>
        <v/>
      </c>
    </row>
    <row r="54" ht="15.75" customHeight="1" s="99">
      <c r="A54" s="55" t="n"/>
      <c r="B54" s="53" t="n"/>
      <c r="C54" s="55" t="n"/>
      <c r="D54" s="55" t="n"/>
      <c r="E54" s="55" t="n"/>
      <c r="F54" s="55" t="n"/>
      <c r="G54" s="55" t="n"/>
      <c r="H54" s="56" t="n"/>
      <c r="I54" s="55" t="n"/>
      <c r="J54" s="57" t="n"/>
      <c r="K54" s="58">
        <f>IF(OR(H54="",J54=""),"",H54*J54)</f>
        <v/>
      </c>
      <c r="L54" s="63" t="n"/>
      <c r="M54" s="63" t="n"/>
      <c r="N54" s="63" t="n"/>
      <c r="O54" s="58">
        <f>IF(K54="","",K54-IF(L54="",0,L54)+IF(M54="",0,M54)+IF(N54="",0,N54))</f>
        <v/>
      </c>
    </row>
    <row r="55" ht="15.75" customHeight="1" s="99">
      <c r="A55" s="47" t="n"/>
      <c r="B55" s="45" t="n"/>
      <c r="C55" s="47" t="n"/>
      <c r="D55" s="47" t="n"/>
      <c r="E55" s="47" t="n"/>
      <c r="F55" s="47" t="n"/>
      <c r="G55" s="47" t="n"/>
      <c r="H55" s="48" t="n"/>
      <c r="I55" s="47" t="n"/>
      <c r="J55" s="49" t="n"/>
      <c r="K55" s="50">
        <f>IF(OR(H55="",J55=""),"",H55*J55)</f>
        <v/>
      </c>
      <c r="L55" s="62" t="n"/>
      <c r="M55" s="62" t="n"/>
      <c r="N55" s="62" t="n"/>
      <c r="O55" s="50">
        <f>IF(K55="","",K55-IF(L55="",0,L55)+IF(M55="",0,M55)+IF(N55="",0,N55))</f>
        <v/>
      </c>
    </row>
    <row r="56" ht="15.75" customHeight="1" s="99">
      <c r="A56" s="55" t="n"/>
      <c r="B56" s="53" t="n"/>
      <c r="C56" s="55" t="n"/>
      <c r="D56" s="55" t="n"/>
      <c r="E56" s="55" t="n"/>
      <c r="F56" s="55" t="n"/>
      <c r="G56" s="55" t="n"/>
      <c r="H56" s="56" t="n"/>
      <c r="I56" s="55" t="n"/>
      <c r="J56" s="57" t="n"/>
      <c r="K56" s="58">
        <f>IF(OR(H56="",J56=""),"",H56*J56)</f>
        <v/>
      </c>
      <c r="L56" s="63" t="n"/>
      <c r="M56" s="63" t="n"/>
      <c r="N56" s="63" t="n"/>
      <c r="O56" s="58">
        <f>IF(K56="","",K56-IF(L56="",0,L56)+IF(M56="",0,M56)+IF(N56="",0,N56))</f>
        <v/>
      </c>
    </row>
    <row r="57" ht="15.75" customHeight="1" s="99">
      <c r="A57" s="47" t="n"/>
      <c r="B57" s="45" t="n"/>
      <c r="C57" s="47" t="n"/>
      <c r="D57" s="47" t="n"/>
      <c r="E57" s="47" t="n"/>
      <c r="F57" s="47" t="n"/>
      <c r="G57" s="47" t="n"/>
      <c r="H57" s="48" t="n"/>
      <c r="I57" s="47" t="n"/>
      <c r="J57" s="49" t="n"/>
      <c r="K57" s="50">
        <f>IF(OR(H57="",J57=""),"",H57*J57)</f>
        <v/>
      </c>
      <c r="L57" s="62" t="n"/>
      <c r="M57" s="62" t="n"/>
      <c r="N57" s="62" t="n"/>
      <c r="O57" s="50">
        <f>IF(K57="","",K57-IF(L57="",0,L57)+IF(M57="",0,M57)+IF(N57="",0,N57))</f>
        <v/>
      </c>
    </row>
    <row r="58" ht="15.75" customHeight="1" s="99">
      <c r="A58" s="55" t="n"/>
      <c r="B58" s="53" t="n"/>
      <c r="C58" s="55" t="n"/>
      <c r="D58" s="55" t="n"/>
      <c r="E58" s="55" t="n"/>
      <c r="F58" s="55" t="n"/>
      <c r="G58" s="55" t="n"/>
      <c r="H58" s="56" t="n"/>
      <c r="I58" s="55" t="n"/>
      <c r="J58" s="57" t="n"/>
      <c r="K58" s="58">
        <f>IF(OR(H58="",J58=""),"",H58*J58)</f>
        <v/>
      </c>
      <c r="L58" s="63" t="n"/>
      <c r="M58" s="63" t="n"/>
      <c r="N58" s="63" t="n"/>
      <c r="O58" s="58">
        <f>IF(K58="","",K58-IF(L58="",0,L58)+IF(M58="",0,M58)+IF(N58="",0,N58))</f>
        <v/>
      </c>
    </row>
    <row r="59" ht="15.75" customHeight="1" s="99">
      <c r="A59" s="47" t="n"/>
      <c r="B59" s="45" t="n"/>
      <c r="C59" s="47" t="n"/>
      <c r="D59" s="47" t="n"/>
      <c r="E59" s="47" t="n"/>
      <c r="F59" s="47" t="n"/>
      <c r="G59" s="47" t="n"/>
      <c r="H59" s="48" t="n"/>
      <c r="I59" s="47" t="n"/>
      <c r="J59" s="49" t="n"/>
      <c r="K59" s="50">
        <f>IF(OR(H59="",J59=""),"",H59*J59)</f>
        <v/>
      </c>
      <c r="L59" s="62" t="n"/>
      <c r="M59" s="62" t="n"/>
      <c r="N59" s="62" t="n"/>
      <c r="O59" s="50">
        <f>IF(K59="","",K59-IF(L59="",0,L59)+IF(M59="",0,M59)+IF(N59="",0,N59))</f>
        <v/>
      </c>
    </row>
    <row r="60" ht="15.75" customHeight="1" s="99">
      <c r="A60" s="55" t="n"/>
      <c r="B60" s="53" t="n"/>
      <c r="C60" s="55" t="n"/>
      <c r="D60" s="55" t="n"/>
      <c r="E60" s="55" t="n"/>
      <c r="F60" s="55" t="n"/>
      <c r="G60" s="55" t="n"/>
      <c r="H60" s="56" t="n"/>
      <c r="I60" s="55" t="n"/>
      <c r="J60" s="57" t="n"/>
      <c r="K60" s="58">
        <f>IF(OR(H60="",J60=""),"",H60*J60)</f>
        <v/>
      </c>
      <c r="L60" s="63" t="n"/>
      <c r="M60" s="63" t="n"/>
      <c r="N60" s="63" t="n"/>
      <c r="O60" s="58">
        <f>IF(K60="","",K60-IF(L60="",0,L60)+IF(M60="",0,M60)+IF(N60="",0,N60))</f>
        <v/>
      </c>
    </row>
    <row r="61" ht="15.75" customHeight="1" s="99">
      <c r="A61" s="47" t="n"/>
      <c r="B61" s="45" t="n"/>
      <c r="C61" s="47" t="n"/>
      <c r="D61" s="47" t="n"/>
      <c r="E61" s="47" t="n"/>
      <c r="F61" s="47" t="n"/>
      <c r="G61" s="47" t="n"/>
      <c r="H61" s="48" t="n"/>
      <c r="I61" s="47" t="n"/>
      <c r="J61" s="49" t="n"/>
      <c r="K61" s="50">
        <f>IF(OR(H61="",J61=""),"",H61*J61)</f>
        <v/>
      </c>
      <c r="L61" s="62" t="n"/>
      <c r="M61" s="62" t="n"/>
      <c r="N61" s="62" t="n"/>
      <c r="O61" s="50">
        <f>IF(K61="","",K61-IF(L61="",0,L61)+IF(M61="",0,M61)+IF(N61="",0,N61))</f>
        <v/>
      </c>
    </row>
    <row r="62" ht="15.75" customHeight="1" s="99">
      <c r="A62" s="55" t="n"/>
      <c r="B62" s="53" t="n"/>
      <c r="C62" s="55" t="n"/>
      <c r="D62" s="55" t="n"/>
      <c r="E62" s="55" t="n"/>
      <c r="F62" s="55" t="n"/>
      <c r="G62" s="55" t="n"/>
      <c r="H62" s="56" t="n"/>
      <c r="I62" s="55" t="n"/>
      <c r="J62" s="57" t="n"/>
      <c r="K62" s="58">
        <f>IF(OR(H62="",J62=""),"",H62*J62)</f>
        <v/>
      </c>
      <c r="L62" s="63" t="n"/>
      <c r="M62" s="63" t="n"/>
      <c r="N62" s="63" t="n"/>
      <c r="O62" s="58">
        <f>IF(K62="","",K62-IF(L62="",0,L62)+IF(M62="",0,M62)+IF(N62="",0,N62))</f>
        <v/>
      </c>
    </row>
    <row r="63" ht="15.75" customHeight="1" s="99">
      <c r="A63" s="47" t="n"/>
      <c r="B63" s="45" t="n"/>
      <c r="C63" s="47" t="n"/>
      <c r="D63" s="47" t="n"/>
      <c r="E63" s="47" t="n"/>
      <c r="F63" s="47" t="n"/>
      <c r="G63" s="47" t="n"/>
      <c r="H63" s="48" t="n"/>
      <c r="I63" s="47" t="n"/>
      <c r="J63" s="49" t="n"/>
      <c r="K63" s="50">
        <f>IF(OR(H63="",J63=""),"",H63*J63)</f>
        <v/>
      </c>
      <c r="L63" s="62" t="n"/>
      <c r="M63" s="62" t="n"/>
      <c r="N63" s="62" t="n"/>
      <c r="O63" s="50">
        <f>IF(K63="","",K63-IF(L63="",0,L63)+IF(M63="",0,M63)+IF(N63="",0,N63))</f>
        <v/>
      </c>
    </row>
    <row r="64" ht="15.75" customHeight="1" s="99">
      <c r="A64" s="55" t="n"/>
      <c r="B64" s="53" t="n"/>
      <c r="C64" s="55" t="n"/>
      <c r="D64" s="55" t="n"/>
      <c r="E64" s="55" t="n"/>
      <c r="F64" s="55" t="n"/>
      <c r="G64" s="55" t="n"/>
      <c r="H64" s="56" t="n"/>
      <c r="I64" s="55" t="n"/>
      <c r="J64" s="57" t="n"/>
      <c r="K64" s="58">
        <f>IF(OR(H64="",J64=""),"",H64*J64)</f>
        <v/>
      </c>
      <c r="L64" s="63" t="n"/>
      <c r="M64" s="63" t="n"/>
      <c r="N64" s="63" t="n"/>
      <c r="O64" s="58">
        <f>IF(K64="","",K64-IF(L64="",0,L64)+IF(M64="",0,M64)+IF(N64="",0,N64))</f>
        <v/>
      </c>
    </row>
    <row r="65" ht="15.75" customHeight="1" s="99">
      <c r="A65" s="47" t="n"/>
      <c r="B65" s="45" t="n"/>
      <c r="C65" s="47" t="n"/>
      <c r="D65" s="47" t="n"/>
      <c r="E65" s="47" t="n"/>
      <c r="F65" s="47" t="n"/>
      <c r="G65" s="47" t="n"/>
      <c r="H65" s="48" t="n"/>
      <c r="I65" s="47" t="n"/>
      <c r="J65" s="49" t="n"/>
      <c r="K65" s="50">
        <f>IF(OR(H65="",J65=""),"",H65*J65)</f>
        <v/>
      </c>
      <c r="L65" s="62" t="n"/>
      <c r="M65" s="62" t="n"/>
      <c r="N65" s="62" t="n"/>
      <c r="O65" s="50">
        <f>IF(K65="","",K65-IF(L65="",0,L65)+IF(M65="",0,M65)+IF(N65="",0,N65))</f>
        <v/>
      </c>
    </row>
    <row r="66" ht="15.75" customHeight="1" s="99">
      <c r="A66" s="55" t="n"/>
      <c r="B66" s="53" t="n"/>
      <c r="C66" s="55" t="n"/>
      <c r="D66" s="55" t="n"/>
      <c r="E66" s="55" t="n"/>
      <c r="F66" s="55" t="n"/>
      <c r="G66" s="55" t="n"/>
      <c r="H66" s="56" t="n"/>
      <c r="I66" s="55" t="n"/>
      <c r="J66" s="57" t="n"/>
      <c r="K66" s="58">
        <f>IF(OR(H66="",J66=""),"",H66*J66)</f>
        <v/>
      </c>
      <c r="L66" s="63" t="n"/>
      <c r="M66" s="63" t="n"/>
      <c r="N66" s="63" t="n"/>
      <c r="O66" s="58">
        <f>IF(K66="","",K66-IF(L66="",0,L66)+IF(M66="",0,M66)+IF(N66="",0,N66))</f>
        <v/>
      </c>
    </row>
    <row r="67" ht="15.75" customHeight="1" s="99">
      <c r="A67" s="47" t="n"/>
      <c r="B67" s="45" t="n"/>
      <c r="C67" s="47" t="n"/>
      <c r="D67" s="47" t="n"/>
      <c r="E67" s="47" t="n"/>
      <c r="F67" s="47" t="n"/>
      <c r="G67" s="47" t="n"/>
      <c r="H67" s="48" t="n"/>
      <c r="I67" s="47" t="n"/>
      <c r="J67" s="49" t="n"/>
      <c r="K67" s="50">
        <f>IF(OR(H67="",J67=""),"",H67*J67)</f>
        <v/>
      </c>
      <c r="L67" s="62" t="n"/>
      <c r="M67" s="62" t="n"/>
      <c r="N67" s="62" t="n"/>
      <c r="O67" s="50">
        <f>IF(K67="","",K67-IF(L67="",0,L67)+IF(M67="",0,M67)+IF(N67="",0,N67))</f>
        <v/>
      </c>
    </row>
    <row r="68" ht="15.75" customHeight="1" s="99">
      <c r="A68" s="55" t="n"/>
      <c r="B68" s="53" t="n"/>
      <c r="C68" s="55" t="n"/>
      <c r="D68" s="55" t="n"/>
      <c r="E68" s="55" t="n"/>
      <c r="F68" s="55" t="n"/>
      <c r="G68" s="55" t="n"/>
      <c r="H68" s="56" t="n"/>
      <c r="I68" s="55" t="n"/>
      <c r="J68" s="57" t="n"/>
      <c r="K68" s="58">
        <f>IF(OR(H68="",J68=""),"",H68*J68)</f>
        <v/>
      </c>
      <c r="L68" s="63" t="n"/>
      <c r="M68" s="63" t="n"/>
      <c r="N68" s="63" t="n"/>
      <c r="O68" s="58">
        <f>IF(K68="","",K68-IF(L68="",0,L68)+IF(M68="",0,M68)+IF(N68="",0,N68))</f>
        <v/>
      </c>
    </row>
    <row r="69" ht="15.75" customHeight="1" s="99">
      <c r="A69" s="47" t="n"/>
      <c r="B69" s="45" t="n"/>
      <c r="C69" s="47" t="n"/>
      <c r="D69" s="47" t="n"/>
      <c r="E69" s="47" t="n"/>
      <c r="F69" s="47" t="n"/>
      <c r="G69" s="47" t="n"/>
      <c r="H69" s="48" t="n"/>
      <c r="I69" s="47" t="n"/>
      <c r="J69" s="49" t="n"/>
      <c r="K69" s="50">
        <f>IF(OR(H69="",J69=""),"",H69*J69)</f>
        <v/>
      </c>
      <c r="L69" s="62" t="n"/>
      <c r="M69" s="62" t="n"/>
      <c r="N69" s="62" t="n"/>
      <c r="O69" s="50">
        <f>IF(K69="","",K69-IF(L69="",0,L69)+IF(M69="",0,M69)+IF(N69="",0,N69))</f>
        <v/>
      </c>
    </row>
    <row r="70" ht="15.75" customHeight="1" s="99">
      <c r="A70" s="55" t="n"/>
      <c r="B70" s="53" t="n"/>
      <c r="C70" s="55" t="n"/>
      <c r="D70" s="55" t="n"/>
      <c r="E70" s="55" t="n"/>
      <c r="F70" s="55" t="n"/>
      <c r="G70" s="55" t="n"/>
      <c r="H70" s="56" t="n"/>
      <c r="I70" s="55" t="n"/>
      <c r="J70" s="57" t="n"/>
      <c r="K70" s="58">
        <f>IF(OR(H70="",J70=""),"",H70*J70)</f>
        <v/>
      </c>
      <c r="L70" s="63" t="n"/>
      <c r="M70" s="63" t="n"/>
      <c r="N70" s="63" t="n"/>
      <c r="O70" s="58">
        <f>IF(K70="","",K70-IF(L70="",0,L70)+IF(M70="",0,M70)+IF(N70="",0,N70))</f>
        <v/>
      </c>
    </row>
    <row r="71" ht="15.75" customHeight="1" s="99">
      <c r="A71" s="47" t="n"/>
      <c r="B71" s="45" t="n"/>
      <c r="C71" s="47" t="n"/>
      <c r="D71" s="47" t="n"/>
      <c r="E71" s="47" t="n"/>
      <c r="F71" s="47" t="n"/>
      <c r="G71" s="47" t="n"/>
      <c r="H71" s="48" t="n"/>
      <c r="I71" s="47" t="n"/>
      <c r="J71" s="49" t="n"/>
      <c r="K71" s="50">
        <f>IF(OR(H71="",J71=""),"",H71*J71)</f>
        <v/>
      </c>
      <c r="L71" s="62" t="n"/>
      <c r="M71" s="62" t="n"/>
      <c r="N71" s="62" t="n"/>
      <c r="O71" s="50">
        <f>IF(K71="","",K71-IF(L71="",0,L71)+IF(M71="",0,M71)+IF(N71="",0,N71))</f>
        <v/>
      </c>
    </row>
    <row r="72" ht="15.75" customHeight="1" s="99">
      <c r="A72" s="55" t="n"/>
      <c r="B72" s="53" t="n"/>
      <c r="C72" s="55" t="n"/>
      <c r="D72" s="55" t="n"/>
      <c r="E72" s="55" t="n"/>
      <c r="F72" s="55" t="n"/>
      <c r="G72" s="55" t="n"/>
      <c r="H72" s="56" t="n"/>
      <c r="I72" s="55" t="n"/>
      <c r="J72" s="57" t="n"/>
      <c r="K72" s="58">
        <f>IF(OR(H72="",J72=""),"",H72*J72)</f>
        <v/>
      </c>
      <c r="L72" s="63" t="n"/>
      <c r="M72" s="63" t="n"/>
      <c r="N72" s="63" t="n"/>
      <c r="O72" s="58">
        <f>IF(K72="","",K72-IF(L72="",0,L72)+IF(M72="",0,M72)+IF(N72="",0,N72))</f>
        <v/>
      </c>
    </row>
    <row r="73" ht="15.75" customHeight="1" s="99">
      <c r="A73" s="47" t="n"/>
      <c r="B73" s="45" t="n"/>
      <c r="C73" s="47" t="n"/>
      <c r="D73" s="47" t="n"/>
      <c r="E73" s="47" t="n"/>
      <c r="F73" s="47" t="n"/>
      <c r="G73" s="47" t="n"/>
      <c r="H73" s="48" t="n"/>
      <c r="I73" s="47" t="n"/>
      <c r="J73" s="49" t="n"/>
      <c r="K73" s="50">
        <f>IF(OR(H73="",J73=""),"",H73*J73)</f>
        <v/>
      </c>
      <c r="L73" s="62" t="n"/>
      <c r="M73" s="62" t="n"/>
      <c r="N73" s="62" t="n"/>
      <c r="O73" s="50">
        <f>IF(K73="","",K73-IF(L73="",0,L73)+IF(M73="",0,M73)+IF(N73="",0,N73))</f>
        <v/>
      </c>
    </row>
    <row r="74" ht="15.75" customHeight="1" s="99">
      <c r="A74" s="55" t="n"/>
      <c r="B74" s="53" t="n"/>
      <c r="C74" s="55" t="n"/>
      <c r="D74" s="55" t="n"/>
      <c r="E74" s="55" t="n"/>
      <c r="F74" s="55" t="n"/>
      <c r="G74" s="55" t="n"/>
      <c r="H74" s="56" t="n"/>
      <c r="I74" s="55" t="n"/>
      <c r="J74" s="57" t="n"/>
      <c r="K74" s="58">
        <f>IF(OR(H74="",J74=""),"",H74*J74)</f>
        <v/>
      </c>
      <c r="L74" s="63" t="n"/>
      <c r="M74" s="63" t="n"/>
      <c r="N74" s="63" t="n"/>
      <c r="O74" s="58">
        <f>IF(K74="","",K74-IF(L74="",0,L74)+IF(M74="",0,M74)+IF(N74="",0,N74))</f>
        <v/>
      </c>
    </row>
    <row r="75" ht="15.75" customHeight="1" s="99">
      <c r="A75" s="47" t="n"/>
      <c r="B75" s="45" t="n"/>
      <c r="C75" s="47" t="n"/>
      <c r="D75" s="47" t="n"/>
      <c r="E75" s="47" t="n"/>
      <c r="F75" s="47" t="n"/>
      <c r="G75" s="47" t="n"/>
      <c r="H75" s="48" t="n"/>
      <c r="I75" s="47" t="n"/>
      <c r="J75" s="49" t="n"/>
      <c r="K75" s="50">
        <f>IF(OR(H75="",J75=""),"",H75*J75)</f>
        <v/>
      </c>
      <c r="L75" s="62" t="n"/>
      <c r="M75" s="62" t="n"/>
      <c r="N75" s="62" t="n"/>
      <c r="O75" s="50">
        <f>IF(K75="","",K75-IF(L75="",0,L75)+IF(M75="",0,M75)+IF(N75="",0,N75))</f>
        <v/>
      </c>
    </row>
    <row r="76" ht="15.75" customHeight="1" s="99">
      <c r="A76" s="55" t="n"/>
      <c r="B76" s="53" t="n"/>
      <c r="C76" s="55" t="n"/>
      <c r="D76" s="55" t="n"/>
      <c r="E76" s="55" t="n"/>
      <c r="F76" s="55" t="n"/>
      <c r="G76" s="55" t="n"/>
      <c r="H76" s="56" t="n"/>
      <c r="I76" s="55" t="n"/>
      <c r="J76" s="57" t="n"/>
      <c r="K76" s="58">
        <f>IF(OR(H76="",J76=""),"",H76*J76)</f>
        <v/>
      </c>
      <c r="L76" s="63" t="n"/>
      <c r="M76" s="63" t="n"/>
      <c r="N76" s="63" t="n"/>
      <c r="O76" s="58">
        <f>IF(K76="","",K76-IF(L76="",0,L76)+IF(M76="",0,M76)+IF(N76="",0,N76))</f>
        <v/>
      </c>
    </row>
    <row r="77" ht="15.75" customHeight="1" s="99">
      <c r="A77" s="47" t="n"/>
      <c r="B77" s="45" t="n"/>
      <c r="C77" s="47" t="n"/>
      <c r="D77" s="47" t="n"/>
      <c r="E77" s="47" t="n"/>
      <c r="F77" s="47" t="n"/>
      <c r="G77" s="47" t="n"/>
      <c r="H77" s="48" t="n"/>
      <c r="I77" s="47" t="n"/>
      <c r="J77" s="49" t="n"/>
      <c r="K77" s="50">
        <f>IF(OR(H77="",J77=""),"",H77*J77)</f>
        <v/>
      </c>
      <c r="L77" s="62" t="n"/>
      <c r="M77" s="62" t="n"/>
      <c r="N77" s="62" t="n"/>
      <c r="O77" s="50">
        <f>IF(K77="","",K77-IF(L77="",0,L77)+IF(M77="",0,M77)+IF(N77="",0,N77))</f>
        <v/>
      </c>
    </row>
    <row r="78" ht="15.75" customHeight="1" s="99">
      <c r="A78" s="55" t="n"/>
      <c r="B78" s="53" t="n"/>
      <c r="C78" s="55" t="n"/>
      <c r="D78" s="55" t="n"/>
      <c r="E78" s="55" t="n"/>
      <c r="F78" s="55" t="n"/>
      <c r="G78" s="55" t="n"/>
      <c r="H78" s="56" t="n"/>
      <c r="I78" s="55" t="n"/>
      <c r="J78" s="57" t="n"/>
      <c r="K78" s="58">
        <f>IF(OR(H78="",J78=""),"",H78*J78)</f>
        <v/>
      </c>
      <c r="L78" s="63" t="n"/>
      <c r="M78" s="63" t="n"/>
      <c r="N78" s="63" t="n"/>
      <c r="O78" s="58">
        <f>IF(K78="","",K78-IF(L78="",0,L78)+IF(M78="",0,M78)+IF(N78="",0,N78))</f>
        <v/>
      </c>
    </row>
    <row r="79" ht="15.75" customHeight="1" s="99">
      <c r="A79" s="47" t="n"/>
      <c r="B79" s="45" t="n"/>
      <c r="C79" s="47" t="n"/>
      <c r="D79" s="47" t="n"/>
      <c r="E79" s="47" t="n"/>
      <c r="F79" s="47" t="n"/>
      <c r="G79" s="47" t="n"/>
      <c r="H79" s="48" t="n"/>
      <c r="I79" s="47" t="n"/>
      <c r="J79" s="49" t="n"/>
      <c r="K79" s="50">
        <f>IF(OR(H79="",J79=""),"",H79*J79)</f>
        <v/>
      </c>
      <c r="L79" s="62" t="n"/>
      <c r="M79" s="62" t="n"/>
      <c r="N79" s="62" t="n"/>
      <c r="O79" s="50">
        <f>IF(K79="","",K79-IF(L79="",0,L79)+IF(M79="",0,M79)+IF(N79="",0,N79))</f>
        <v/>
      </c>
    </row>
    <row r="80" ht="15.75" customHeight="1" s="99">
      <c r="A80" s="55" t="n"/>
      <c r="B80" s="53" t="n"/>
      <c r="C80" s="55" t="n"/>
      <c r="D80" s="55" t="n"/>
      <c r="E80" s="55" t="n"/>
      <c r="F80" s="55" t="n"/>
      <c r="G80" s="55" t="n"/>
      <c r="H80" s="56" t="n"/>
      <c r="I80" s="55" t="n"/>
      <c r="J80" s="57" t="n"/>
      <c r="K80" s="58">
        <f>IF(OR(H80="",J80=""),"",H80*J80)</f>
        <v/>
      </c>
      <c r="L80" s="63" t="n"/>
      <c r="M80" s="63" t="n"/>
      <c r="N80" s="63" t="n"/>
      <c r="O80" s="58">
        <f>IF(K80="","",K80-IF(L80="",0,L80)+IF(M80="",0,M80)+IF(N80="",0,N80))</f>
        <v/>
      </c>
    </row>
    <row r="81" ht="15.75" customHeight="1" s="99">
      <c r="A81" s="47" t="n"/>
      <c r="B81" s="45" t="n"/>
      <c r="C81" s="47" t="n"/>
      <c r="D81" s="47" t="n"/>
      <c r="E81" s="47" t="n"/>
      <c r="F81" s="47" t="n"/>
      <c r="G81" s="47" t="n"/>
      <c r="H81" s="48" t="n"/>
      <c r="I81" s="47" t="n"/>
      <c r="J81" s="49" t="n"/>
      <c r="K81" s="50">
        <f>IF(OR(H81="",J81=""),"",H81*J81)</f>
        <v/>
      </c>
      <c r="L81" s="62" t="n"/>
      <c r="M81" s="62" t="n"/>
      <c r="N81" s="62" t="n"/>
      <c r="O81" s="50">
        <f>IF(K81="","",K81-IF(L81="",0,L81)+IF(M81="",0,M81)+IF(N81="",0,N81))</f>
        <v/>
      </c>
    </row>
    <row r="82" ht="15.75" customHeight="1" s="99">
      <c r="A82" s="55" t="n"/>
      <c r="B82" s="53" t="n"/>
      <c r="C82" s="55" t="n"/>
      <c r="D82" s="55" t="n"/>
      <c r="E82" s="55" t="n"/>
      <c r="F82" s="55" t="n"/>
      <c r="G82" s="55" t="n"/>
      <c r="H82" s="56" t="n"/>
      <c r="I82" s="55" t="n"/>
      <c r="J82" s="57" t="n"/>
      <c r="K82" s="58">
        <f>IF(OR(H82="",J82=""),"",H82*J82)</f>
        <v/>
      </c>
      <c r="L82" s="63" t="n"/>
      <c r="M82" s="63" t="n"/>
      <c r="N82" s="63" t="n"/>
      <c r="O82" s="58">
        <f>IF(K82="","",K82-IF(L82="",0,L82)+IF(M82="",0,M82)+IF(N82="",0,N82))</f>
        <v/>
      </c>
    </row>
    <row r="83" ht="15.75" customHeight="1" s="99">
      <c r="A83" s="47" t="n"/>
      <c r="B83" s="45" t="n"/>
      <c r="C83" s="47" t="n"/>
      <c r="D83" s="47" t="n"/>
      <c r="E83" s="47" t="n"/>
      <c r="F83" s="47" t="n"/>
      <c r="G83" s="47" t="n"/>
      <c r="H83" s="48" t="n"/>
      <c r="I83" s="47" t="n"/>
      <c r="J83" s="49" t="n"/>
      <c r="K83" s="50">
        <f>IF(OR(H83="",J83=""),"",H83*J83)</f>
        <v/>
      </c>
      <c r="L83" s="62" t="n"/>
      <c r="M83" s="62" t="n"/>
      <c r="N83" s="62" t="n"/>
      <c r="O83" s="50">
        <f>IF(K83="","",K83-IF(L83="",0,L83)+IF(M83="",0,M83)+IF(N83="",0,N83))</f>
        <v/>
      </c>
    </row>
    <row r="84" ht="15.75" customHeight="1" s="99">
      <c r="A84" s="55" t="n"/>
      <c r="B84" s="53" t="n"/>
      <c r="C84" s="55" t="n"/>
      <c r="D84" s="55" t="n"/>
      <c r="E84" s="55" t="n"/>
      <c r="F84" s="55" t="n"/>
      <c r="G84" s="55" t="n"/>
      <c r="H84" s="56" t="n"/>
      <c r="I84" s="55" t="n"/>
      <c r="J84" s="57" t="n"/>
      <c r="K84" s="58">
        <f>IF(OR(H84="",J84=""),"",H84*J84)</f>
        <v/>
      </c>
      <c r="L84" s="63" t="n"/>
      <c r="M84" s="63" t="n"/>
      <c r="N84" s="63" t="n"/>
      <c r="O84" s="58">
        <f>IF(K84="","",K84-IF(L84="",0,L84)+IF(M84="",0,M84)+IF(N84="",0,N84))</f>
        <v/>
      </c>
    </row>
    <row r="85" ht="15.75" customHeight="1" s="99">
      <c r="A85" s="47" t="n"/>
      <c r="B85" s="45" t="n"/>
      <c r="C85" s="47" t="n"/>
      <c r="D85" s="47" t="n"/>
      <c r="E85" s="47" t="n"/>
      <c r="F85" s="47" t="n"/>
      <c r="G85" s="47" t="n"/>
      <c r="H85" s="48" t="n"/>
      <c r="I85" s="47" t="n"/>
      <c r="J85" s="49" t="n"/>
      <c r="K85" s="50">
        <f>IF(OR(H85="",J85=""),"",H85*J85)</f>
        <v/>
      </c>
      <c r="L85" s="62" t="n"/>
      <c r="M85" s="62" t="n"/>
      <c r="N85" s="62" t="n"/>
      <c r="O85" s="50">
        <f>IF(K85="","",K85-IF(L85="",0,L85)+IF(M85="",0,M85)+IF(N85="",0,N85))</f>
        <v/>
      </c>
    </row>
    <row r="86" ht="15.75" customHeight="1" s="99">
      <c r="A86" s="55" t="n"/>
      <c r="B86" s="53" t="n"/>
      <c r="C86" s="55" t="n"/>
      <c r="D86" s="55" t="n"/>
      <c r="E86" s="55" t="n"/>
      <c r="F86" s="55" t="n"/>
      <c r="G86" s="55" t="n"/>
      <c r="H86" s="56" t="n"/>
      <c r="I86" s="55" t="n"/>
      <c r="J86" s="57" t="n"/>
      <c r="K86" s="58">
        <f>IF(OR(H86="",J86=""),"",H86*J86)</f>
        <v/>
      </c>
      <c r="L86" s="63" t="n"/>
      <c r="M86" s="63" t="n"/>
      <c r="N86" s="63" t="n"/>
      <c r="O86" s="58">
        <f>IF(K86="","",K86-IF(L86="",0,L86)+IF(M86="",0,M86)+IF(N86="",0,N86))</f>
        <v/>
      </c>
    </row>
    <row r="87" ht="15.75" customHeight="1" s="99">
      <c r="A87" s="47" t="n"/>
      <c r="B87" s="45" t="n"/>
      <c r="C87" s="47" t="n"/>
      <c r="D87" s="47" t="n"/>
      <c r="E87" s="47" t="n"/>
      <c r="F87" s="47" t="n"/>
      <c r="G87" s="47" t="n"/>
      <c r="H87" s="48" t="n"/>
      <c r="I87" s="47" t="n"/>
      <c r="J87" s="49" t="n"/>
      <c r="K87" s="50">
        <f>IF(OR(H87="",J87=""),"",H87*J87)</f>
        <v/>
      </c>
      <c r="L87" s="62" t="n"/>
      <c r="M87" s="62" t="n"/>
      <c r="N87" s="62" t="n"/>
      <c r="O87" s="50">
        <f>IF(K87="","",K87-IF(L87="",0,L87)+IF(M87="",0,M87)+IF(N87="",0,N87))</f>
        <v/>
      </c>
    </row>
    <row r="88" ht="15.75" customHeight="1" s="99">
      <c r="A88" s="55" t="n"/>
      <c r="B88" s="53" t="n"/>
      <c r="C88" s="55" t="n"/>
      <c r="D88" s="55" t="n"/>
      <c r="E88" s="55" t="n"/>
      <c r="F88" s="55" t="n"/>
      <c r="G88" s="55" t="n"/>
      <c r="H88" s="56" t="n"/>
      <c r="I88" s="55" t="n"/>
      <c r="J88" s="57" t="n"/>
      <c r="K88" s="58">
        <f>IF(OR(H88="",J88=""),"",H88*J88)</f>
        <v/>
      </c>
      <c r="L88" s="63" t="n"/>
      <c r="M88" s="63" t="n"/>
      <c r="N88" s="63" t="n"/>
      <c r="O88" s="58">
        <f>IF(K88="","",K88-IF(L88="",0,L88)+IF(M88="",0,M88)+IF(N88="",0,N88))</f>
        <v/>
      </c>
    </row>
    <row r="89" ht="15.75" customHeight="1" s="99">
      <c r="A89" s="47" t="n"/>
      <c r="B89" s="45" t="n"/>
      <c r="C89" s="47" t="n"/>
      <c r="D89" s="47" t="n"/>
      <c r="E89" s="47" t="n"/>
      <c r="F89" s="47" t="n"/>
      <c r="G89" s="47" t="n"/>
      <c r="H89" s="48" t="n"/>
      <c r="I89" s="47" t="n"/>
      <c r="J89" s="49" t="n"/>
      <c r="K89" s="50">
        <f>IF(OR(H89="",J89=""),"",H89*J89)</f>
        <v/>
      </c>
      <c r="L89" s="62" t="n"/>
      <c r="M89" s="62" t="n"/>
      <c r="N89" s="62" t="n"/>
      <c r="O89" s="50">
        <f>IF(K89="","",K89-IF(L89="",0,L89)+IF(M89="",0,M89)+IF(N89="",0,N89))</f>
        <v/>
      </c>
    </row>
    <row r="90" ht="15.75" customHeight="1" s="99">
      <c r="A90" s="55" t="n"/>
      <c r="B90" s="53" t="n"/>
      <c r="C90" s="55" t="n"/>
      <c r="D90" s="55" t="n"/>
      <c r="E90" s="55" t="n"/>
      <c r="F90" s="55" t="n"/>
      <c r="G90" s="55" t="n"/>
      <c r="H90" s="56" t="n"/>
      <c r="I90" s="55" t="n"/>
      <c r="J90" s="57" t="n"/>
      <c r="K90" s="58">
        <f>IF(OR(H90="",J90=""),"",H90*J90)</f>
        <v/>
      </c>
      <c r="L90" s="63" t="n"/>
      <c r="M90" s="63" t="n"/>
      <c r="N90" s="63" t="n"/>
      <c r="O90" s="58">
        <f>IF(K90="","",K90-IF(L90="",0,L90)+IF(M90="",0,M90)+IF(N90="",0,N90))</f>
        <v/>
      </c>
    </row>
    <row r="91" ht="15.75" customHeight="1" s="99">
      <c r="A91" s="47" t="n"/>
      <c r="B91" s="45" t="n"/>
      <c r="C91" s="47" t="n"/>
      <c r="D91" s="47" t="n"/>
      <c r="E91" s="47" t="n"/>
      <c r="F91" s="47" t="n"/>
      <c r="G91" s="47" t="n"/>
      <c r="H91" s="48" t="n"/>
      <c r="I91" s="47" t="n"/>
      <c r="J91" s="49" t="n"/>
      <c r="K91" s="50">
        <f>IF(OR(H91="",J91=""),"",H91*J91)</f>
        <v/>
      </c>
      <c r="L91" s="62" t="n"/>
      <c r="M91" s="62" t="n"/>
      <c r="N91" s="62" t="n"/>
      <c r="O91" s="50">
        <f>IF(K91="","",K91-IF(L91="",0,L91)+IF(M91="",0,M91)+IF(N91="",0,N91))</f>
        <v/>
      </c>
    </row>
    <row r="92" ht="15.75" customHeight="1" s="99">
      <c r="A92" s="55" t="n"/>
      <c r="B92" s="53" t="n"/>
      <c r="C92" s="55" t="n"/>
      <c r="D92" s="55" t="n"/>
      <c r="E92" s="55" t="n"/>
      <c r="F92" s="55" t="n"/>
      <c r="G92" s="55" t="n"/>
      <c r="H92" s="56" t="n"/>
      <c r="I92" s="55" t="n"/>
      <c r="J92" s="57" t="n"/>
      <c r="K92" s="58">
        <f>IF(OR(H92="",J92=""),"",H92*J92)</f>
        <v/>
      </c>
      <c r="L92" s="63" t="n"/>
      <c r="M92" s="63" t="n"/>
      <c r="N92" s="63" t="n"/>
      <c r="O92" s="58">
        <f>IF(K92="","",K92-IF(L92="",0,L92)+IF(M92="",0,M92)+IF(N92="",0,N92))</f>
        <v/>
      </c>
    </row>
    <row r="93" ht="15.75" customHeight="1" s="99">
      <c r="A93" s="47" t="n"/>
      <c r="B93" s="45" t="n"/>
      <c r="C93" s="47" t="n"/>
      <c r="D93" s="47" t="n"/>
      <c r="E93" s="47" t="n"/>
      <c r="F93" s="47" t="n"/>
      <c r="G93" s="47" t="n"/>
      <c r="H93" s="48" t="n"/>
      <c r="I93" s="47" t="n"/>
      <c r="J93" s="49" t="n"/>
      <c r="K93" s="50">
        <f>IF(OR(H93="",J93=""),"",H93*J93)</f>
        <v/>
      </c>
      <c r="L93" s="62" t="n"/>
      <c r="M93" s="62" t="n"/>
      <c r="N93" s="62" t="n"/>
      <c r="O93" s="50">
        <f>IF(K93="","",K93-IF(L93="",0,L93)+IF(M93="",0,M93)+IF(N93="",0,N93))</f>
        <v/>
      </c>
    </row>
    <row r="94" ht="15.75" customHeight="1" s="99">
      <c r="A94" s="55" t="n"/>
      <c r="B94" s="53" t="n"/>
      <c r="C94" s="55" t="n"/>
      <c r="D94" s="55" t="n"/>
      <c r="E94" s="55" t="n"/>
      <c r="F94" s="55" t="n"/>
      <c r="G94" s="55" t="n"/>
      <c r="H94" s="56" t="n"/>
      <c r="I94" s="55" t="n"/>
      <c r="J94" s="57" t="n"/>
      <c r="K94" s="58">
        <f>IF(OR(H94="",J94=""),"",H94*J94)</f>
        <v/>
      </c>
      <c r="L94" s="63" t="n"/>
      <c r="M94" s="63" t="n"/>
      <c r="N94" s="63" t="n"/>
      <c r="O94" s="58">
        <f>IF(K94="","",K94-IF(L94="",0,L94)+IF(M94="",0,M94)+IF(N94="",0,N94))</f>
        <v/>
      </c>
    </row>
    <row r="95" ht="15.75" customHeight="1" s="99">
      <c r="A95" s="47" t="n"/>
      <c r="B95" s="45" t="n"/>
      <c r="C95" s="47" t="n"/>
      <c r="D95" s="47" t="n"/>
      <c r="E95" s="47" t="n"/>
      <c r="F95" s="47" t="n"/>
      <c r="G95" s="47" t="n"/>
      <c r="H95" s="48" t="n"/>
      <c r="I95" s="47" t="n"/>
      <c r="J95" s="49" t="n"/>
      <c r="K95" s="50">
        <f>IF(OR(H95="",J95=""),"",H95*J95)</f>
        <v/>
      </c>
      <c r="L95" s="62" t="n"/>
      <c r="M95" s="62" t="n"/>
      <c r="N95" s="62" t="n"/>
      <c r="O95" s="50">
        <f>IF(K95="","",K95-IF(L95="",0,L95)+IF(M95="",0,M95)+IF(N95="",0,N95))</f>
        <v/>
      </c>
    </row>
    <row r="96" ht="15.75" customHeight="1" s="99">
      <c r="A96" s="55" t="n"/>
      <c r="B96" s="53" t="n"/>
      <c r="C96" s="55" t="n"/>
      <c r="D96" s="55" t="n"/>
      <c r="E96" s="55" t="n"/>
      <c r="F96" s="55" t="n"/>
      <c r="G96" s="55" t="n"/>
      <c r="H96" s="56" t="n"/>
      <c r="I96" s="55" t="n"/>
      <c r="J96" s="57" t="n"/>
      <c r="K96" s="58">
        <f>IF(OR(H96="",J96=""),"",H96*J96)</f>
        <v/>
      </c>
      <c r="L96" s="63" t="n"/>
      <c r="M96" s="63" t="n"/>
      <c r="N96" s="63" t="n"/>
      <c r="O96" s="58">
        <f>IF(K96="","",K96-IF(L96="",0,L96)+IF(M96="",0,M96)+IF(N96="",0,N96))</f>
        <v/>
      </c>
    </row>
    <row r="97" ht="15.75" customHeight="1" s="99">
      <c r="A97" s="47" t="n"/>
      <c r="B97" s="45" t="n"/>
      <c r="C97" s="47" t="n"/>
      <c r="D97" s="47" t="n"/>
      <c r="E97" s="47" t="n"/>
      <c r="F97" s="47" t="n"/>
      <c r="G97" s="47" t="n"/>
      <c r="H97" s="48" t="n"/>
      <c r="I97" s="47" t="n"/>
      <c r="J97" s="49" t="n"/>
      <c r="K97" s="50">
        <f>IF(OR(H97="",J97=""),"",H97*J97)</f>
        <v/>
      </c>
      <c r="L97" s="62" t="n"/>
      <c r="M97" s="62" t="n"/>
      <c r="N97" s="62" t="n"/>
      <c r="O97" s="50">
        <f>IF(K97="","",K97-IF(L97="",0,L97)+IF(M97="",0,M97)+IF(N97="",0,N97))</f>
        <v/>
      </c>
    </row>
    <row r="98" ht="15.75" customHeight="1" s="99">
      <c r="A98" s="55" t="n"/>
      <c r="B98" s="53" t="n"/>
      <c r="C98" s="55" t="n"/>
      <c r="D98" s="55" t="n"/>
      <c r="E98" s="55" t="n"/>
      <c r="F98" s="55" t="n"/>
      <c r="G98" s="55" t="n"/>
      <c r="H98" s="56" t="n"/>
      <c r="I98" s="55" t="n"/>
      <c r="J98" s="57" t="n"/>
      <c r="K98" s="58">
        <f>IF(OR(H98="",J98=""),"",H98*J98)</f>
        <v/>
      </c>
      <c r="L98" s="63" t="n"/>
      <c r="M98" s="63" t="n"/>
      <c r="N98" s="63" t="n"/>
      <c r="O98" s="58">
        <f>IF(K98="","",K98-IF(L98="",0,L98)+IF(M98="",0,M98)+IF(N98="",0,N98))</f>
        <v/>
      </c>
    </row>
    <row r="99" ht="15.75" customHeight="1" s="99">
      <c r="A99" s="47" t="n"/>
      <c r="B99" s="45" t="n"/>
      <c r="C99" s="47" t="n"/>
      <c r="D99" s="47" t="n"/>
      <c r="E99" s="47" t="n"/>
      <c r="F99" s="47" t="n"/>
      <c r="G99" s="47" t="n"/>
      <c r="H99" s="48" t="n"/>
      <c r="I99" s="47" t="n"/>
      <c r="J99" s="49" t="n"/>
      <c r="K99" s="50">
        <f>IF(OR(H99="",J99=""),"",H99*J99)</f>
        <v/>
      </c>
      <c r="L99" s="62" t="n"/>
      <c r="M99" s="62" t="n"/>
      <c r="N99" s="62" t="n"/>
      <c r="O99" s="50">
        <f>IF(K99="","",K99-IF(L99="",0,L99)+IF(M99="",0,M99)+IF(N99="",0,N99))</f>
        <v/>
      </c>
    </row>
    <row r="100" ht="15.75" customHeight="1" s="99">
      <c r="A100" s="55" t="n"/>
      <c r="B100" s="53" t="n"/>
      <c r="C100" s="55" t="n"/>
      <c r="D100" s="55" t="n"/>
      <c r="E100" s="55" t="n"/>
      <c r="F100" s="55" t="n"/>
      <c r="G100" s="55" t="n"/>
      <c r="H100" s="56" t="n"/>
      <c r="I100" s="55" t="n"/>
      <c r="J100" s="57" t="n"/>
      <c r="K100" s="58">
        <f>IF(OR(H100="",J100=""),"",H100*J100)</f>
        <v/>
      </c>
      <c r="L100" s="63" t="n"/>
      <c r="M100" s="63" t="n"/>
      <c r="N100" s="63" t="n"/>
      <c r="O100" s="58">
        <f>IF(K100="","",K100-IF(L100="",0,L100)+IF(M100="",0,M100)+IF(N100="",0,N100))</f>
        <v/>
      </c>
    </row>
    <row r="101" ht="15.75" customHeight="1" s="99">
      <c r="A101" s="47" t="n"/>
      <c r="B101" s="45" t="n"/>
      <c r="C101" s="47" t="n"/>
      <c r="D101" s="47" t="n"/>
      <c r="E101" s="47" t="n"/>
      <c r="F101" s="47" t="n"/>
      <c r="G101" s="47" t="n"/>
      <c r="H101" s="48" t="n"/>
      <c r="I101" s="47" t="n"/>
      <c r="J101" s="49" t="n"/>
      <c r="K101" s="50">
        <f>IF(OR(H101="",J101=""),"",H101*J101)</f>
        <v/>
      </c>
      <c r="L101" s="62" t="n"/>
      <c r="M101" s="62" t="n"/>
      <c r="N101" s="62" t="n"/>
      <c r="O101" s="50">
        <f>IF(K101="","",K101-IF(L101="",0,L101)+IF(M101="",0,M101)+IF(N101="",0,N101))</f>
        <v/>
      </c>
    </row>
    <row r="102" ht="15.75" customHeight="1" s="99">
      <c r="A102" s="55" t="n"/>
      <c r="B102" s="53" t="n"/>
      <c r="C102" s="55" t="n"/>
      <c r="D102" s="55" t="n"/>
      <c r="E102" s="55" t="n"/>
      <c r="F102" s="55" t="n"/>
      <c r="G102" s="55" t="n"/>
      <c r="H102" s="56" t="n"/>
      <c r="I102" s="55" t="n"/>
      <c r="J102" s="57" t="n"/>
      <c r="K102" s="58">
        <f>IF(OR(H102="",J102=""),"",H102*J102)</f>
        <v/>
      </c>
      <c r="L102" s="63" t="n"/>
      <c r="M102" s="63" t="n"/>
      <c r="N102" s="63" t="n"/>
      <c r="O102" s="58">
        <f>IF(K102="","",K102-IF(L102="",0,L102)+IF(M102="",0,M102)+IF(N102="",0,N102))</f>
        <v/>
      </c>
    </row>
    <row r="103" ht="15.75" customHeight="1" s="99">
      <c r="A103" s="47" t="n"/>
      <c r="B103" s="45" t="n"/>
      <c r="C103" s="47" t="n"/>
      <c r="D103" s="47" t="n"/>
      <c r="E103" s="47" t="n"/>
      <c r="F103" s="47" t="n"/>
      <c r="G103" s="47" t="n"/>
      <c r="H103" s="48" t="n"/>
      <c r="I103" s="47" t="n"/>
      <c r="J103" s="49" t="n"/>
      <c r="K103" s="50">
        <f>IF(OR(H103="",J103=""),"",H103*J103)</f>
        <v/>
      </c>
      <c r="L103" s="62" t="n"/>
      <c r="M103" s="62" t="n"/>
      <c r="N103" s="62" t="n"/>
      <c r="O103" s="50">
        <f>IF(K103="","",K103-IF(L103="",0,L103)+IF(M103="",0,M103)+IF(N103="",0,N103))</f>
        <v/>
      </c>
    </row>
    <row r="104" ht="15.75" customHeight="1" s="99">
      <c r="A104" s="55" t="n"/>
      <c r="B104" s="53" t="n"/>
      <c r="C104" s="55" t="n"/>
      <c r="D104" s="55" t="n"/>
      <c r="E104" s="55" t="n"/>
      <c r="F104" s="55" t="n"/>
      <c r="G104" s="55" t="n"/>
      <c r="H104" s="56" t="n"/>
      <c r="I104" s="55" t="n"/>
      <c r="J104" s="57" t="n"/>
      <c r="K104" s="58">
        <f>IF(OR(H104="",J104=""),"",H104*J104)</f>
        <v/>
      </c>
      <c r="L104" s="63" t="n"/>
      <c r="M104" s="63" t="n"/>
      <c r="N104" s="63" t="n"/>
      <c r="O104" s="58">
        <f>IF(K104="","",K104-IF(L104="",0,L104)+IF(M104="",0,M104)+IF(N104="",0,N104))</f>
        <v/>
      </c>
    </row>
    <row r="105" ht="15.75" customHeight="1" s="99">
      <c r="A105" s="47" t="n"/>
      <c r="B105" s="45" t="n"/>
      <c r="C105" s="47" t="n"/>
      <c r="D105" s="47" t="n"/>
      <c r="E105" s="47" t="n"/>
      <c r="F105" s="47" t="n"/>
      <c r="G105" s="47" t="n"/>
      <c r="H105" s="48" t="n"/>
      <c r="I105" s="47" t="n"/>
      <c r="J105" s="49" t="n"/>
      <c r="K105" s="50">
        <f>IF(OR(H105="",J105=""),"",H105*J105)</f>
        <v/>
      </c>
      <c r="L105" s="62" t="n"/>
      <c r="M105" s="62" t="n"/>
      <c r="N105" s="62" t="n"/>
      <c r="O105" s="50">
        <f>IF(K105="","",K105-IF(L105="",0,L105)+IF(M105="",0,M105)+IF(N105="",0,N105))</f>
        <v/>
      </c>
    </row>
    <row r="106" ht="15.75" customHeight="1" s="99">
      <c r="A106" s="55" t="n"/>
      <c r="B106" s="53" t="n"/>
      <c r="C106" s="55" t="n"/>
      <c r="D106" s="55" t="n"/>
      <c r="E106" s="55" t="n"/>
      <c r="F106" s="55" t="n"/>
      <c r="G106" s="55" t="n"/>
      <c r="H106" s="56" t="n"/>
      <c r="I106" s="55" t="n"/>
      <c r="J106" s="57" t="n"/>
      <c r="K106" s="58">
        <f>IF(OR(H106="",J106=""),"",H106*J106)</f>
        <v/>
      </c>
      <c r="L106" s="63" t="n"/>
      <c r="M106" s="63" t="n"/>
      <c r="N106" s="63" t="n"/>
      <c r="O106" s="58">
        <f>IF(K106="","",K106-IF(L106="",0,L106)+IF(M106="",0,M106)+IF(N106="",0,N106))</f>
        <v/>
      </c>
    </row>
    <row r="107" ht="15.75" customHeight="1" s="99">
      <c r="A107" s="47" t="n"/>
      <c r="B107" s="45" t="n"/>
      <c r="C107" s="47" t="n"/>
      <c r="D107" s="47" t="n"/>
      <c r="E107" s="47" t="n"/>
      <c r="F107" s="47" t="n"/>
      <c r="G107" s="47" t="n"/>
      <c r="H107" s="48" t="n"/>
      <c r="I107" s="47" t="n"/>
      <c r="J107" s="49" t="n"/>
      <c r="K107" s="50">
        <f>IF(OR(H107="",J107=""),"",H107*J107)</f>
        <v/>
      </c>
      <c r="L107" s="62" t="n"/>
      <c r="M107" s="62" t="n"/>
      <c r="N107" s="62" t="n"/>
      <c r="O107" s="50">
        <f>IF(K107="","",K107-IF(L107="",0,L107)+IF(M107="",0,M107)+IF(N107="",0,N107))</f>
        <v/>
      </c>
    </row>
    <row r="108" ht="15.75" customHeight="1" s="99">
      <c r="A108" s="55" t="n"/>
      <c r="B108" s="53" t="n"/>
      <c r="C108" s="55" t="n"/>
      <c r="D108" s="55" t="n"/>
      <c r="E108" s="55" t="n"/>
      <c r="F108" s="55" t="n"/>
      <c r="G108" s="55" t="n"/>
      <c r="H108" s="56" t="n"/>
      <c r="I108" s="55" t="n"/>
      <c r="J108" s="57" t="n"/>
      <c r="K108" s="58">
        <f>IF(OR(H108="",J108=""),"",H108*J108)</f>
        <v/>
      </c>
      <c r="L108" s="63" t="n"/>
      <c r="M108" s="63" t="n"/>
      <c r="N108" s="63" t="n"/>
      <c r="O108" s="58">
        <f>IF(K108="","",K108-IF(L108="",0,L108)+IF(M108="",0,M108)+IF(N108="",0,N108))</f>
        <v/>
      </c>
    </row>
    <row r="109" ht="15.75" customHeight="1" s="99">
      <c r="A109" s="47" t="n"/>
      <c r="B109" s="45" t="n"/>
      <c r="C109" s="47" t="n"/>
      <c r="D109" s="47" t="n"/>
      <c r="E109" s="47" t="n"/>
      <c r="F109" s="47" t="n"/>
      <c r="G109" s="47" t="n"/>
      <c r="H109" s="48" t="n"/>
      <c r="I109" s="47" t="n"/>
      <c r="J109" s="49" t="n"/>
      <c r="K109" s="50">
        <f>IF(OR(H109="",J109=""),"",H109*J109)</f>
        <v/>
      </c>
      <c r="L109" s="62" t="n"/>
      <c r="M109" s="62" t="n"/>
      <c r="N109" s="62" t="n"/>
      <c r="O109" s="50">
        <f>IF(K109="","",K109-IF(L109="",0,L109)+IF(M109="",0,M109)+IF(N109="",0,N109))</f>
        <v/>
      </c>
    </row>
    <row r="110" ht="15.75" customHeight="1" s="99">
      <c r="A110" s="55" t="n"/>
      <c r="B110" s="53" t="n"/>
      <c r="C110" s="55" t="n"/>
      <c r="D110" s="55" t="n"/>
      <c r="E110" s="55" t="n"/>
      <c r="F110" s="55" t="n"/>
      <c r="G110" s="55" t="n"/>
      <c r="H110" s="56" t="n"/>
      <c r="I110" s="55" t="n"/>
      <c r="J110" s="57" t="n"/>
      <c r="K110" s="58">
        <f>IF(OR(H110="",J110=""),"",H110*J110)</f>
        <v/>
      </c>
      <c r="L110" s="63" t="n"/>
      <c r="M110" s="63" t="n"/>
      <c r="N110" s="63" t="n"/>
      <c r="O110" s="58">
        <f>IF(K110="","",K110-IF(L110="",0,L110)+IF(M110="",0,M110)+IF(N110="",0,N110))</f>
        <v/>
      </c>
    </row>
    <row r="111" ht="15.75" customHeight="1" s="99">
      <c r="A111" s="47" t="n"/>
      <c r="B111" s="45" t="n"/>
      <c r="C111" s="47" t="n"/>
      <c r="D111" s="47" t="n"/>
      <c r="E111" s="47" t="n"/>
      <c r="F111" s="47" t="n"/>
      <c r="G111" s="47" t="n"/>
      <c r="H111" s="48" t="n"/>
      <c r="I111" s="47" t="n"/>
      <c r="J111" s="49" t="n"/>
      <c r="K111" s="50">
        <f>IF(OR(H111="",J111=""),"",H111*J111)</f>
        <v/>
      </c>
      <c r="L111" s="62" t="n"/>
      <c r="M111" s="62" t="n"/>
      <c r="N111" s="62" t="n"/>
      <c r="O111" s="50">
        <f>IF(K111="","",K111-IF(L111="",0,L111)+IF(M111="",0,M111)+IF(N111="",0,N111))</f>
        <v/>
      </c>
    </row>
    <row r="112" ht="15.75" customHeight="1" s="99">
      <c r="A112" s="55" t="n"/>
      <c r="B112" s="53" t="n"/>
      <c r="C112" s="55" t="n"/>
      <c r="D112" s="55" t="n"/>
      <c r="E112" s="55" t="n"/>
      <c r="F112" s="55" t="n"/>
      <c r="G112" s="55" t="n"/>
      <c r="H112" s="56" t="n"/>
      <c r="I112" s="55" t="n"/>
      <c r="J112" s="57" t="n"/>
      <c r="K112" s="58">
        <f>IF(OR(H112="",J112=""),"",H112*J112)</f>
        <v/>
      </c>
      <c r="L112" s="63" t="n"/>
      <c r="M112" s="63" t="n"/>
      <c r="N112" s="63" t="n"/>
      <c r="O112" s="58">
        <f>IF(K112="","",K112-IF(L112="",0,L112)+IF(M112="",0,M112)+IF(N112="",0,N112))</f>
        <v/>
      </c>
    </row>
    <row r="113" ht="15.75" customHeight="1" s="99">
      <c r="A113" s="47" t="n"/>
      <c r="B113" s="45" t="n"/>
      <c r="C113" s="47" t="n"/>
      <c r="D113" s="47" t="n"/>
      <c r="E113" s="47" t="n"/>
      <c r="F113" s="47" t="n"/>
      <c r="G113" s="47" t="n"/>
      <c r="H113" s="48" t="n"/>
      <c r="I113" s="47" t="n"/>
      <c r="J113" s="49" t="n"/>
      <c r="K113" s="50">
        <f>IF(OR(H113="",J113=""),"",H113*J113)</f>
        <v/>
      </c>
      <c r="L113" s="62" t="n"/>
      <c r="M113" s="62" t="n"/>
      <c r="N113" s="62" t="n"/>
      <c r="O113" s="50">
        <f>IF(K113="","",K113-IF(L113="",0,L113)+IF(M113="",0,M113)+IF(N113="",0,N113))</f>
        <v/>
      </c>
    </row>
    <row r="114" ht="15.75" customHeight="1" s="99">
      <c r="A114" s="55" t="n"/>
      <c r="B114" s="53" t="n"/>
      <c r="C114" s="55" t="n"/>
      <c r="D114" s="55" t="n"/>
      <c r="E114" s="55" t="n"/>
      <c r="F114" s="55" t="n"/>
      <c r="G114" s="55" t="n"/>
      <c r="H114" s="56" t="n"/>
      <c r="I114" s="55" t="n"/>
      <c r="J114" s="57" t="n"/>
      <c r="K114" s="58">
        <f>IF(OR(H114="",J114=""),"",H114*J114)</f>
        <v/>
      </c>
      <c r="L114" s="63" t="n"/>
      <c r="M114" s="63" t="n"/>
      <c r="N114" s="63" t="n"/>
      <c r="O114" s="58">
        <f>IF(K114="","",K114-IF(L114="",0,L114)+IF(M114="",0,M114)+IF(N114="",0,N114))</f>
        <v/>
      </c>
    </row>
    <row r="115" ht="15.75" customHeight="1" s="99">
      <c r="A115" s="47" t="n"/>
      <c r="B115" s="45" t="n"/>
      <c r="C115" s="47" t="n"/>
      <c r="D115" s="47" t="n"/>
      <c r="E115" s="47" t="n"/>
      <c r="F115" s="47" t="n"/>
      <c r="G115" s="47" t="n"/>
      <c r="H115" s="48" t="n"/>
      <c r="I115" s="47" t="n"/>
      <c r="J115" s="49" t="n"/>
      <c r="K115" s="50">
        <f>IF(OR(H115="",J115=""),"",H115*J115)</f>
        <v/>
      </c>
      <c r="L115" s="62" t="n"/>
      <c r="M115" s="62" t="n"/>
      <c r="N115" s="62" t="n"/>
      <c r="O115" s="50">
        <f>IF(K115="","",K115-IF(L115="",0,L115)+IF(M115="",0,M115)+IF(N115="",0,N115))</f>
        <v/>
      </c>
    </row>
    <row r="116" ht="15.75" customHeight="1" s="99">
      <c r="A116" s="55" t="n"/>
      <c r="B116" s="53" t="n"/>
      <c r="C116" s="55" t="n"/>
      <c r="D116" s="55" t="n"/>
      <c r="E116" s="55" t="n"/>
      <c r="F116" s="55" t="n"/>
      <c r="G116" s="55" t="n"/>
      <c r="H116" s="56" t="n"/>
      <c r="I116" s="55" t="n"/>
      <c r="J116" s="57" t="n"/>
      <c r="K116" s="58">
        <f>IF(OR(H116="",J116=""),"",H116*J116)</f>
        <v/>
      </c>
      <c r="L116" s="63" t="n"/>
      <c r="M116" s="63" t="n"/>
      <c r="N116" s="63" t="n"/>
      <c r="O116" s="58">
        <f>IF(K116="","",K116-IF(L116="",0,L116)+IF(M116="",0,M116)+IF(N116="",0,N116))</f>
        <v/>
      </c>
    </row>
    <row r="117" ht="15.75" customHeight="1" s="99">
      <c r="A117" s="47" t="n"/>
      <c r="B117" s="45" t="n"/>
      <c r="C117" s="47" t="n"/>
      <c r="D117" s="47" t="n"/>
      <c r="E117" s="47" t="n"/>
      <c r="F117" s="47" t="n"/>
      <c r="G117" s="47" t="n"/>
      <c r="H117" s="48" t="n"/>
      <c r="I117" s="47" t="n"/>
      <c r="J117" s="49" t="n"/>
      <c r="K117" s="50">
        <f>IF(OR(H117="",J117=""),"",H117*J117)</f>
        <v/>
      </c>
      <c r="L117" s="62" t="n"/>
      <c r="M117" s="62" t="n"/>
      <c r="N117" s="62" t="n"/>
      <c r="O117" s="50">
        <f>IF(K117="","",K117-IF(L117="",0,L117)+IF(M117="",0,M117)+IF(N117="",0,N117))</f>
        <v/>
      </c>
    </row>
    <row r="118" ht="15.75" customHeight="1" s="99">
      <c r="A118" s="55" t="n"/>
      <c r="B118" s="53" t="n"/>
      <c r="C118" s="55" t="n"/>
      <c r="D118" s="55" t="n"/>
      <c r="E118" s="55" t="n"/>
      <c r="F118" s="55" t="n"/>
      <c r="G118" s="55" t="n"/>
      <c r="H118" s="56" t="n"/>
      <c r="I118" s="55" t="n"/>
      <c r="J118" s="57" t="n"/>
      <c r="K118" s="58">
        <f>IF(OR(H118="",J118=""),"",H118*J118)</f>
        <v/>
      </c>
      <c r="L118" s="63" t="n"/>
      <c r="M118" s="63" t="n"/>
      <c r="N118" s="63" t="n"/>
      <c r="O118" s="58">
        <f>IF(K118="","",K118-IF(L118="",0,L118)+IF(M118="",0,M118)+IF(N118="",0,N118))</f>
        <v/>
      </c>
    </row>
    <row r="119" ht="15.75" customHeight="1" s="99">
      <c r="A119" s="47" t="n"/>
      <c r="B119" s="45" t="n"/>
      <c r="C119" s="47" t="n"/>
      <c r="D119" s="47" t="n"/>
      <c r="E119" s="47" t="n"/>
      <c r="F119" s="47" t="n"/>
      <c r="G119" s="47" t="n"/>
      <c r="H119" s="48" t="n"/>
      <c r="I119" s="47" t="n"/>
      <c r="J119" s="49" t="n"/>
      <c r="K119" s="50">
        <f>IF(OR(H119="",J119=""),"",H119*J119)</f>
        <v/>
      </c>
      <c r="L119" s="62" t="n"/>
      <c r="M119" s="62" t="n"/>
      <c r="N119" s="62" t="n"/>
      <c r="O119" s="50">
        <f>IF(K119="","",K119-IF(L119="",0,L119)+IF(M119="",0,M119)+IF(N119="",0,N119))</f>
        <v/>
      </c>
    </row>
    <row r="120" ht="15.75" customHeight="1" s="99">
      <c r="A120" s="55" t="n"/>
      <c r="B120" s="53" t="n"/>
      <c r="C120" s="55" t="n"/>
      <c r="D120" s="55" t="n"/>
      <c r="E120" s="55" t="n"/>
      <c r="F120" s="55" t="n"/>
      <c r="G120" s="55" t="n"/>
      <c r="H120" s="56" t="n"/>
      <c r="I120" s="55" t="n"/>
      <c r="J120" s="57" t="n"/>
      <c r="K120" s="58">
        <f>IF(OR(H120="",J120=""),"",H120*J120)</f>
        <v/>
      </c>
      <c r="L120" s="63" t="n"/>
      <c r="M120" s="63" t="n"/>
      <c r="N120" s="63" t="n"/>
      <c r="O120" s="58">
        <f>IF(K120="","",K120-IF(L120="",0,L120)+IF(M120="",0,M120)+IF(N120="",0,N120))</f>
        <v/>
      </c>
    </row>
    <row r="121" ht="15.75" customHeight="1" s="99">
      <c r="A121" s="47" t="n"/>
      <c r="B121" s="45" t="n"/>
      <c r="C121" s="47" t="n"/>
      <c r="D121" s="47" t="n"/>
      <c r="E121" s="47" t="n"/>
      <c r="F121" s="47" t="n"/>
      <c r="G121" s="47" t="n"/>
      <c r="H121" s="48" t="n"/>
      <c r="I121" s="47" t="n"/>
      <c r="J121" s="49" t="n"/>
      <c r="K121" s="50">
        <f>IF(OR(H121="",J121=""),"",H121*J121)</f>
        <v/>
      </c>
      <c r="L121" s="62" t="n"/>
      <c r="M121" s="62" t="n"/>
      <c r="N121" s="62" t="n"/>
      <c r="O121" s="50">
        <f>IF(K121="","",K121-IF(L121="",0,L121)+IF(M121="",0,M121)+IF(N121="",0,N121))</f>
        <v/>
      </c>
    </row>
    <row r="122" ht="15.75" customHeight="1" s="99">
      <c r="A122" s="55" t="n"/>
      <c r="B122" s="53" t="n"/>
      <c r="C122" s="55" t="n"/>
      <c r="D122" s="55" t="n"/>
      <c r="E122" s="55" t="n"/>
      <c r="F122" s="55" t="n"/>
      <c r="G122" s="55" t="n"/>
      <c r="H122" s="56" t="n"/>
      <c r="I122" s="55" t="n"/>
      <c r="J122" s="57" t="n"/>
      <c r="K122" s="58">
        <f>IF(OR(H122="",J122=""),"",H122*J122)</f>
        <v/>
      </c>
      <c r="L122" s="63" t="n"/>
      <c r="M122" s="63" t="n"/>
      <c r="N122" s="63" t="n"/>
      <c r="O122" s="58">
        <f>IF(K122="","",K122-IF(L122="",0,L122)+IF(M122="",0,M122)+IF(N122="",0,N122))</f>
        <v/>
      </c>
    </row>
    <row r="123" ht="15.75" customHeight="1" s="99">
      <c r="A123" s="47" t="n"/>
      <c r="B123" s="45" t="n"/>
      <c r="C123" s="47" t="n"/>
      <c r="D123" s="47" t="n"/>
      <c r="E123" s="47" t="n"/>
      <c r="F123" s="47" t="n"/>
      <c r="G123" s="47" t="n"/>
      <c r="H123" s="48" t="n"/>
      <c r="I123" s="47" t="n"/>
      <c r="J123" s="49" t="n"/>
      <c r="K123" s="50">
        <f>IF(OR(H123="",J123=""),"",H123*J123)</f>
        <v/>
      </c>
      <c r="L123" s="62" t="n"/>
      <c r="M123" s="62" t="n"/>
      <c r="N123" s="62" t="n"/>
      <c r="O123" s="50">
        <f>IF(K123="","",K123-IF(L123="",0,L123)+IF(M123="",0,M123)+IF(N123="",0,N123))</f>
        <v/>
      </c>
    </row>
    <row r="124" ht="15.75" customHeight="1" s="99">
      <c r="A124" s="55" t="n"/>
      <c r="B124" s="53" t="n"/>
      <c r="C124" s="55" t="n"/>
      <c r="D124" s="55" t="n"/>
      <c r="E124" s="55" t="n"/>
      <c r="F124" s="55" t="n"/>
      <c r="G124" s="55" t="n"/>
      <c r="H124" s="56" t="n"/>
      <c r="I124" s="55" t="n"/>
      <c r="J124" s="57" t="n"/>
      <c r="K124" s="58">
        <f>IF(OR(H124="",J124=""),"",H124*J124)</f>
        <v/>
      </c>
      <c r="L124" s="63" t="n"/>
      <c r="M124" s="63" t="n"/>
      <c r="N124" s="63" t="n"/>
      <c r="O124" s="58">
        <f>IF(K124="","",K124-IF(L124="",0,L124)+IF(M124="",0,M124)+IF(N124="",0,N124))</f>
        <v/>
      </c>
    </row>
    <row r="125" ht="15.75" customHeight="1" s="99">
      <c r="A125" s="47" t="n"/>
      <c r="B125" s="45" t="n"/>
      <c r="C125" s="47" t="n"/>
      <c r="D125" s="47" t="n"/>
      <c r="E125" s="47" t="n"/>
      <c r="F125" s="47" t="n"/>
      <c r="G125" s="47" t="n"/>
      <c r="H125" s="48" t="n"/>
      <c r="I125" s="47" t="n"/>
      <c r="J125" s="49" t="n"/>
      <c r="K125" s="50">
        <f>IF(OR(H125="",J125=""),"",H125*J125)</f>
        <v/>
      </c>
      <c r="L125" s="62" t="n"/>
      <c r="M125" s="62" t="n"/>
      <c r="N125" s="62" t="n"/>
      <c r="O125" s="50">
        <f>IF(K125="","",K125-IF(L125="",0,L125)+IF(M125="",0,M125)+IF(N125="",0,N125))</f>
        <v/>
      </c>
    </row>
    <row r="126" ht="15.75" customHeight="1" s="99">
      <c r="A126" s="55" t="n"/>
      <c r="B126" s="53" t="n"/>
      <c r="C126" s="55" t="n"/>
      <c r="D126" s="55" t="n"/>
      <c r="E126" s="55" t="n"/>
      <c r="F126" s="55" t="n"/>
      <c r="G126" s="55" t="n"/>
      <c r="H126" s="56" t="n"/>
      <c r="I126" s="55" t="n"/>
      <c r="J126" s="57" t="n"/>
      <c r="K126" s="58">
        <f>IF(OR(H126="",J126=""),"",H126*J126)</f>
        <v/>
      </c>
      <c r="L126" s="63" t="n"/>
      <c r="M126" s="63" t="n"/>
      <c r="N126" s="63" t="n"/>
      <c r="O126" s="58">
        <f>IF(K126="","",K126-IF(L126="",0,L126)+IF(M126="",0,M126)+IF(N126="",0,N126))</f>
        <v/>
      </c>
    </row>
    <row r="127" ht="15.75" customHeight="1" s="99">
      <c r="A127" s="47" t="n"/>
      <c r="B127" s="45" t="n"/>
      <c r="C127" s="47" t="n"/>
      <c r="D127" s="47" t="n"/>
      <c r="E127" s="47" t="n"/>
      <c r="F127" s="47" t="n"/>
      <c r="G127" s="47" t="n"/>
      <c r="H127" s="48" t="n"/>
      <c r="I127" s="47" t="n"/>
      <c r="J127" s="49" t="n"/>
      <c r="K127" s="50">
        <f>IF(OR(H127="",J127=""),"",H127*J127)</f>
        <v/>
      </c>
      <c r="L127" s="62" t="n"/>
      <c r="M127" s="62" t="n"/>
      <c r="N127" s="62" t="n"/>
      <c r="O127" s="50">
        <f>IF(K127="","",K127-IF(L127="",0,L127)+IF(M127="",0,M127)+IF(N127="",0,N127))</f>
        <v/>
      </c>
    </row>
    <row r="128" ht="15.75" customHeight="1" s="99">
      <c r="A128" s="55" t="n"/>
      <c r="B128" s="53" t="n"/>
      <c r="C128" s="55" t="n"/>
      <c r="D128" s="55" t="n"/>
      <c r="E128" s="55" t="n"/>
      <c r="F128" s="55" t="n"/>
      <c r="G128" s="55" t="n"/>
      <c r="H128" s="56" t="n"/>
      <c r="I128" s="55" t="n"/>
      <c r="J128" s="57" t="n"/>
      <c r="K128" s="58">
        <f>IF(OR(H128="",J128=""),"",H128*J128)</f>
        <v/>
      </c>
      <c r="L128" s="63" t="n"/>
      <c r="M128" s="63" t="n"/>
      <c r="N128" s="63" t="n"/>
      <c r="O128" s="58">
        <f>IF(K128="","",K128-IF(L128="",0,L128)+IF(M128="",0,M128)+IF(N128="",0,N128))</f>
        <v/>
      </c>
    </row>
    <row r="129" ht="15.75" customHeight="1" s="99">
      <c r="A129" s="47" t="n"/>
      <c r="B129" s="45" t="n"/>
      <c r="C129" s="47" t="n"/>
      <c r="D129" s="47" t="n"/>
      <c r="E129" s="47" t="n"/>
      <c r="F129" s="47" t="n"/>
      <c r="G129" s="47" t="n"/>
      <c r="H129" s="48" t="n"/>
      <c r="I129" s="47" t="n"/>
      <c r="J129" s="49" t="n"/>
      <c r="K129" s="50">
        <f>IF(OR(H129="",J129=""),"",H129*J129)</f>
        <v/>
      </c>
      <c r="L129" s="62" t="n"/>
      <c r="M129" s="62" t="n"/>
      <c r="N129" s="62" t="n"/>
      <c r="O129" s="50">
        <f>IF(K129="","",K129-IF(L129="",0,L129)+IF(M129="",0,M129)+IF(N129="",0,N129))</f>
        <v/>
      </c>
    </row>
    <row r="130" ht="15.75" customHeight="1" s="99">
      <c r="A130" s="55" t="n"/>
      <c r="B130" s="53" t="n"/>
      <c r="C130" s="55" t="n"/>
      <c r="D130" s="55" t="n"/>
      <c r="E130" s="55" t="n"/>
      <c r="F130" s="55" t="n"/>
      <c r="G130" s="55" t="n"/>
      <c r="H130" s="56" t="n"/>
      <c r="I130" s="55" t="n"/>
      <c r="J130" s="57" t="n"/>
      <c r="K130" s="58">
        <f>IF(OR(H130="",J130=""),"",H130*J130)</f>
        <v/>
      </c>
      <c r="L130" s="63" t="n"/>
      <c r="M130" s="63" t="n"/>
      <c r="N130" s="63" t="n"/>
      <c r="O130" s="58">
        <f>IF(K130="","",K130-IF(L130="",0,L130)+IF(M130="",0,M130)+IF(N130="",0,N130))</f>
        <v/>
      </c>
    </row>
    <row r="131" ht="15.75" customHeight="1" s="99">
      <c r="A131" s="47" t="n"/>
      <c r="B131" s="45" t="n"/>
      <c r="C131" s="47" t="n"/>
      <c r="D131" s="47" t="n"/>
      <c r="E131" s="47" t="n"/>
      <c r="F131" s="47" t="n"/>
      <c r="G131" s="47" t="n"/>
      <c r="H131" s="48" t="n"/>
      <c r="I131" s="47" t="n"/>
      <c r="J131" s="49" t="n"/>
      <c r="K131" s="50">
        <f>IF(OR(H131="",J131=""),"",H131*J131)</f>
        <v/>
      </c>
      <c r="L131" s="62" t="n"/>
      <c r="M131" s="62" t="n"/>
      <c r="N131" s="62" t="n"/>
      <c r="O131" s="50">
        <f>IF(K131="","",K131-IF(L131="",0,L131)+IF(M131="",0,M131)+IF(N131="",0,N131))</f>
        <v/>
      </c>
    </row>
    <row r="132" ht="15.75" customHeight="1" s="99">
      <c r="A132" s="55" t="n"/>
      <c r="B132" s="53" t="n"/>
      <c r="C132" s="55" t="n"/>
      <c r="D132" s="55" t="n"/>
      <c r="E132" s="55" t="n"/>
      <c r="F132" s="55" t="n"/>
      <c r="G132" s="55" t="n"/>
      <c r="H132" s="56" t="n"/>
      <c r="I132" s="55" t="n"/>
      <c r="J132" s="57" t="n"/>
      <c r="K132" s="58">
        <f>IF(OR(H132="",J132=""),"",H132*J132)</f>
        <v/>
      </c>
      <c r="L132" s="63" t="n"/>
      <c r="M132" s="63" t="n"/>
      <c r="N132" s="63" t="n"/>
      <c r="O132" s="58">
        <f>IF(K132="","",K132-IF(L132="",0,L132)+IF(M132="",0,M132)+IF(N132="",0,N132))</f>
        <v/>
      </c>
    </row>
    <row r="133" ht="15.75" customHeight="1" s="99">
      <c r="A133" s="47" t="n"/>
      <c r="B133" s="45" t="n"/>
      <c r="C133" s="47" t="n"/>
      <c r="D133" s="47" t="n"/>
      <c r="E133" s="47" t="n"/>
      <c r="F133" s="47" t="n"/>
      <c r="G133" s="47" t="n"/>
      <c r="H133" s="48" t="n"/>
      <c r="I133" s="47" t="n"/>
      <c r="J133" s="49" t="n"/>
      <c r="K133" s="50">
        <f>IF(OR(H133="",J133=""),"",H133*J133)</f>
        <v/>
      </c>
      <c r="L133" s="62" t="n"/>
      <c r="M133" s="62" t="n"/>
      <c r="N133" s="62" t="n"/>
      <c r="O133" s="50">
        <f>IF(K133="","",K133-IF(L133="",0,L133)+IF(M133="",0,M133)+IF(N133="",0,N133))</f>
        <v/>
      </c>
    </row>
    <row r="134" ht="15.75" customHeight="1" s="99">
      <c r="A134" s="55" t="n"/>
      <c r="B134" s="53" t="n"/>
      <c r="C134" s="55" t="n"/>
      <c r="D134" s="55" t="n"/>
      <c r="E134" s="55" t="n"/>
      <c r="F134" s="55" t="n"/>
      <c r="G134" s="55" t="n"/>
      <c r="H134" s="56" t="n"/>
      <c r="I134" s="55" t="n"/>
      <c r="J134" s="57" t="n"/>
      <c r="K134" s="58">
        <f>IF(OR(H134="",J134=""),"",H134*J134)</f>
        <v/>
      </c>
      <c r="L134" s="63" t="n"/>
      <c r="M134" s="63" t="n"/>
      <c r="N134" s="63" t="n"/>
      <c r="O134" s="58">
        <f>IF(K134="","",K134-IF(L134="",0,L134)+IF(M134="",0,M134)+IF(N134="",0,N134))</f>
        <v/>
      </c>
    </row>
    <row r="135" ht="15.75" customHeight="1" s="99">
      <c r="A135" s="47" t="n"/>
      <c r="B135" s="45" t="n"/>
      <c r="C135" s="47" t="n"/>
      <c r="D135" s="47" t="n"/>
      <c r="E135" s="47" t="n"/>
      <c r="F135" s="47" t="n"/>
      <c r="G135" s="47" t="n"/>
      <c r="H135" s="48" t="n"/>
      <c r="I135" s="47" t="n"/>
      <c r="J135" s="49" t="n"/>
      <c r="K135" s="50">
        <f>IF(OR(H135="",J135=""),"",H135*J135)</f>
        <v/>
      </c>
      <c r="L135" s="62" t="n"/>
      <c r="M135" s="62" t="n"/>
      <c r="N135" s="62" t="n"/>
      <c r="O135" s="50">
        <f>IF(K135="","",K135-IF(L135="",0,L135)+IF(M135="",0,M135)+IF(N135="",0,N135))</f>
        <v/>
      </c>
    </row>
    <row r="136" ht="15.75" customHeight="1" s="99">
      <c r="A136" s="55" t="n"/>
      <c r="B136" s="53" t="n"/>
      <c r="C136" s="55" t="n"/>
      <c r="D136" s="55" t="n"/>
      <c r="E136" s="55" t="n"/>
      <c r="F136" s="55" t="n"/>
      <c r="G136" s="55" t="n"/>
      <c r="H136" s="56" t="n"/>
      <c r="I136" s="55" t="n"/>
      <c r="J136" s="57" t="n"/>
      <c r="K136" s="58">
        <f>IF(OR(H136="",J136=""),"",H136*J136)</f>
        <v/>
      </c>
      <c r="L136" s="63" t="n"/>
      <c r="M136" s="63" t="n"/>
      <c r="N136" s="63" t="n"/>
      <c r="O136" s="58">
        <f>IF(K136="","",K136-IF(L136="",0,L136)+IF(M136="",0,M136)+IF(N136="",0,N136))</f>
        <v/>
      </c>
    </row>
    <row r="137" ht="15.75" customHeight="1" s="99">
      <c r="A137" s="47" t="n"/>
      <c r="B137" s="45" t="n"/>
      <c r="C137" s="47" t="n"/>
      <c r="D137" s="47" t="n"/>
      <c r="E137" s="47" t="n"/>
      <c r="F137" s="47" t="n"/>
      <c r="G137" s="47" t="n"/>
      <c r="H137" s="48" t="n"/>
      <c r="I137" s="47" t="n"/>
      <c r="J137" s="49" t="n"/>
      <c r="K137" s="50">
        <f>IF(OR(H137="",J137=""),"",H137*J137)</f>
        <v/>
      </c>
      <c r="L137" s="62" t="n"/>
      <c r="M137" s="62" t="n"/>
      <c r="N137" s="62" t="n"/>
      <c r="O137" s="50">
        <f>IF(K137="","",K137-IF(L137="",0,L137)+IF(M137="",0,M137)+IF(N137="",0,N137))</f>
        <v/>
      </c>
    </row>
    <row r="138" ht="15.75" customHeight="1" s="99">
      <c r="A138" s="55" t="n"/>
      <c r="B138" s="53" t="n"/>
      <c r="C138" s="55" t="n"/>
      <c r="D138" s="55" t="n"/>
      <c r="E138" s="55" t="n"/>
      <c r="F138" s="55" t="n"/>
      <c r="G138" s="55" t="n"/>
      <c r="H138" s="56" t="n"/>
      <c r="I138" s="55" t="n"/>
      <c r="J138" s="57" t="n"/>
      <c r="K138" s="58">
        <f>IF(OR(H138="",J138=""),"",H138*J138)</f>
        <v/>
      </c>
      <c r="L138" s="63" t="n"/>
      <c r="M138" s="63" t="n"/>
      <c r="N138" s="63" t="n"/>
      <c r="O138" s="58">
        <f>IF(K138="","",K138-IF(L138="",0,L138)+IF(M138="",0,M138)+IF(N138="",0,N138))</f>
        <v/>
      </c>
    </row>
    <row r="139" ht="15.75" customHeight="1" s="99">
      <c r="A139" s="47" t="n"/>
      <c r="B139" s="45" t="n"/>
      <c r="C139" s="47" t="n"/>
      <c r="D139" s="47" t="n"/>
      <c r="E139" s="47" t="n"/>
      <c r="F139" s="47" t="n"/>
      <c r="G139" s="47" t="n"/>
      <c r="H139" s="48" t="n"/>
      <c r="I139" s="47" t="n"/>
      <c r="J139" s="49" t="n"/>
      <c r="K139" s="50">
        <f>IF(OR(H139="",J139=""),"",H139*J139)</f>
        <v/>
      </c>
      <c r="L139" s="62" t="n"/>
      <c r="M139" s="62" t="n"/>
      <c r="N139" s="62" t="n"/>
      <c r="O139" s="50">
        <f>IF(K139="","",K139-IF(L139="",0,L139)+IF(M139="",0,M139)+IF(N139="",0,N139))</f>
        <v/>
      </c>
    </row>
    <row r="140" ht="15.75" customHeight="1" s="99">
      <c r="A140" s="55" t="n"/>
      <c r="B140" s="53" t="n"/>
      <c r="C140" s="55" t="n"/>
      <c r="D140" s="55" t="n"/>
      <c r="E140" s="55" t="n"/>
      <c r="F140" s="55" t="n"/>
      <c r="G140" s="55" t="n"/>
      <c r="H140" s="56" t="n"/>
      <c r="I140" s="55" t="n"/>
      <c r="J140" s="57" t="n"/>
      <c r="K140" s="58">
        <f>IF(OR(H140="",J140=""),"",H140*J140)</f>
        <v/>
      </c>
      <c r="L140" s="63" t="n"/>
      <c r="M140" s="63" t="n"/>
      <c r="N140" s="63" t="n"/>
      <c r="O140" s="58">
        <f>IF(K140="","",K140-IF(L140="",0,L140)+IF(M140="",0,M140)+IF(N140="",0,N140))</f>
        <v/>
      </c>
    </row>
    <row r="141" ht="15.75" customHeight="1" s="99">
      <c r="A141" s="47" t="n"/>
      <c r="B141" s="45" t="n"/>
      <c r="C141" s="47" t="n"/>
      <c r="D141" s="47" t="n"/>
      <c r="E141" s="47" t="n"/>
      <c r="F141" s="47" t="n"/>
      <c r="G141" s="47" t="n"/>
      <c r="H141" s="48" t="n"/>
      <c r="I141" s="47" t="n"/>
      <c r="J141" s="49" t="n"/>
      <c r="K141" s="50">
        <f>IF(OR(H141="",J141=""),"",H141*J141)</f>
        <v/>
      </c>
      <c r="L141" s="62" t="n"/>
      <c r="M141" s="62" t="n"/>
      <c r="N141" s="62" t="n"/>
      <c r="O141" s="50">
        <f>IF(K141="","",K141-IF(L141="",0,L141)+IF(M141="",0,M141)+IF(N141="",0,N141))</f>
        <v/>
      </c>
    </row>
    <row r="142" ht="15.75" customHeight="1" s="99">
      <c r="A142" s="55" t="n"/>
      <c r="B142" s="53" t="n"/>
      <c r="C142" s="55" t="n"/>
      <c r="D142" s="55" t="n"/>
      <c r="E142" s="55" t="n"/>
      <c r="F142" s="55" t="n"/>
      <c r="G142" s="55" t="n"/>
      <c r="H142" s="56" t="n"/>
      <c r="I142" s="55" t="n"/>
      <c r="J142" s="57" t="n"/>
      <c r="K142" s="58">
        <f>IF(OR(H142="",J142=""),"",H142*J142)</f>
        <v/>
      </c>
      <c r="L142" s="63" t="n"/>
      <c r="M142" s="63" t="n"/>
      <c r="N142" s="63" t="n"/>
      <c r="O142" s="58">
        <f>IF(K142="","",K142-IF(L142="",0,L142)+IF(M142="",0,M142)+IF(N142="",0,N142))</f>
        <v/>
      </c>
    </row>
    <row r="143" ht="15.75" customHeight="1" s="99">
      <c r="A143" s="47" t="n"/>
      <c r="B143" s="45" t="n"/>
      <c r="C143" s="47" t="n"/>
      <c r="D143" s="47" t="n"/>
      <c r="E143" s="47" t="n"/>
      <c r="F143" s="47" t="n"/>
      <c r="G143" s="47" t="n"/>
      <c r="H143" s="48" t="n"/>
      <c r="I143" s="47" t="n"/>
      <c r="J143" s="49" t="n"/>
      <c r="K143" s="50">
        <f>IF(OR(H143="",J143=""),"",H143*J143)</f>
        <v/>
      </c>
      <c r="L143" s="62" t="n"/>
      <c r="M143" s="62" t="n"/>
      <c r="N143" s="62" t="n"/>
      <c r="O143" s="50">
        <f>IF(K143="","",K143-IF(L143="",0,L143)+IF(M143="",0,M143)+IF(N143="",0,N143))</f>
        <v/>
      </c>
    </row>
    <row r="144" ht="15.75" customHeight="1" s="99">
      <c r="A144" s="55" t="n"/>
      <c r="B144" s="53" t="n"/>
      <c r="C144" s="55" t="n"/>
      <c r="D144" s="55" t="n"/>
      <c r="E144" s="55" t="n"/>
      <c r="F144" s="55" t="n"/>
      <c r="G144" s="55" t="n"/>
      <c r="H144" s="56" t="n"/>
      <c r="I144" s="55" t="n"/>
      <c r="J144" s="57" t="n"/>
      <c r="K144" s="58">
        <f>IF(OR(H144="",J144=""),"",H144*J144)</f>
        <v/>
      </c>
      <c r="L144" s="63" t="n"/>
      <c r="M144" s="63" t="n"/>
      <c r="N144" s="63" t="n"/>
      <c r="O144" s="58">
        <f>IF(K144="","",K144-IF(L144="",0,L144)+IF(M144="",0,M144)+IF(N144="",0,N144))</f>
        <v/>
      </c>
    </row>
    <row r="145" ht="15.75" customHeight="1" s="99">
      <c r="A145" s="47" t="n"/>
      <c r="B145" s="45" t="n"/>
      <c r="C145" s="47" t="n"/>
      <c r="D145" s="47" t="n"/>
      <c r="E145" s="47" t="n"/>
      <c r="F145" s="47" t="n"/>
      <c r="G145" s="47" t="n"/>
      <c r="H145" s="48" t="n"/>
      <c r="I145" s="47" t="n"/>
      <c r="J145" s="49" t="n"/>
      <c r="K145" s="50">
        <f>IF(OR(H145="",J145=""),"",H145*J145)</f>
        <v/>
      </c>
      <c r="L145" s="62" t="n"/>
      <c r="M145" s="62" t="n"/>
      <c r="N145" s="62" t="n"/>
      <c r="O145" s="50">
        <f>IF(K145="","",K145-IF(L145="",0,L145)+IF(M145="",0,M145)+IF(N145="",0,N145))</f>
        <v/>
      </c>
    </row>
    <row r="146" ht="15.75" customHeight="1" s="99">
      <c r="A146" s="55" t="n"/>
      <c r="B146" s="53" t="n"/>
      <c r="C146" s="55" t="n"/>
      <c r="D146" s="55" t="n"/>
      <c r="E146" s="55" t="n"/>
      <c r="F146" s="55" t="n"/>
      <c r="G146" s="55" t="n"/>
      <c r="H146" s="56" t="n"/>
      <c r="I146" s="55" t="n"/>
      <c r="J146" s="57" t="n"/>
      <c r="K146" s="58">
        <f>IF(OR(H146="",J146=""),"",H146*J146)</f>
        <v/>
      </c>
      <c r="L146" s="63" t="n"/>
      <c r="M146" s="63" t="n"/>
      <c r="N146" s="63" t="n"/>
      <c r="O146" s="58">
        <f>IF(K146="","",K146-IF(L146="",0,L146)+IF(M146="",0,M146)+IF(N146="",0,N146))</f>
        <v/>
      </c>
    </row>
    <row r="147" ht="15.75" customHeight="1" s="99">
      <c r="A147" s="47" t="n"/>
      <c r="B147" s="45" t="n"/>
      <c r="C147" s="47" t="n"/>
      <c r="D147" s="47" t="n"/>
      <c r="E147" s="47" t="n"/>
      <c r="F147" s="47" t="n"/>
      <c r="G147" s="47" t="n"/>
      <c r="H147" s="48" t="n"/>
      <c r="I147" s="47" t="n"/>
      <c r="J147" s="49" t="n"/>
      <c r="K147" s="50">
        <f>IF(OR(H147="",J147=""),"",H147*J147)</f>
        <v/>
      </c>
      <c r="L147" s="62" t="n"/>
      <c r="M147" s="62" t="n"/>
      <c r="N147" s="62" t="n"/>
      <c r="O147" s="50">
        <f>IF(K147="","",K147-IF(L147="",0,L147)+IF(M147="",0,M147)+IF(N147="",0,N147))</f>
        <v/>
      </c>
    </row>
    <row r="148" ht="15.75" customHeight="1" s="99">
      <c r="A148" s="55" t="n"/>
      <c r="B148" s="53" t="n"/>
      <c r="C148" s="55" t="n"/>
      <c r="D148" s="55" t="n"/>
      <c r="E148" s="55" t="n"/>
      <c r="F148" s="55" t="n"/>
      <c r="G148" s="55" t="n"/>
      <c r="H148" s="56" t="n"/>
      <c r="I148" s="55" t="n"/>
      <c r="J148" s="57" t="n"/>
      <c r="K148" s="58">
        <f>IF(OR(H148="",J148=""),"",H148*J148)</f>
        <v/>
      </c>
      <c r="L148" s="63" t="n"/>
      <c r="M148" s="63" t="n"/>
      <c r="N148" s="63" t="n"/>
      <c r="O148" s="58">
        <f>IF(K148="","",K148-IF(L148="",0,L148)+IF(M148="",0,M148)+IF(N148="",0,N148))</f>
        <v/>
      </c>
    </row>
    <row r="149" ht="15.75" customHeight="1" s="99">
      <c r="A149" s="47" t="n"/>
      <c r="B149" s="45" t="n"/>
      <c r="C149" s="47" t="n"/>
      <c r="D149" s="47" t="n"/>
      <c r="E149" s="47" t="n"/>
      <c r="F149" s="47" t="n"/>
      <c r="G149" s="47" t="n"/>
      <c r="H149" s="48" t="n"/>
      <c r="I149" s="47" t="n"/>
      <c r="J149" s="49" t="n"/>
      <c r="K149" s="50">
        <f>IF(OR(H149="",J149=""),"",H149*J149)</f>
        <v/>
      </c>
      <c r="L149" s="62" t="n"/>
      <c r="M149" s="62" t="n"/>
      <c r="N149" s="62" t="n"/>
      <c r="O149" s="50">
        <f>IF(K149="","",K149-IF(L149="",0,L149)+IF(M149="",0,M149)+IF(N149="",0,N149))</f>
        <v/>
      </c>
    </row>
    <row r="150" ht="15.75" customHeight="1" s="99">
      <c r="A150" s="55" t="n"/>
      <c r="B150" s="53" t="n"/>
      <c r="C150" s="55" t="n"/>
      <c r="D150" s="55" t="n"/>
      <c r="E150" s="55" t="n"/>
      <c r="F150" s="55" t="n"/>
      <c r="G150" s="55" t="n"/>
      <c r="H150" s="56" t="n"/>
      <c r="I150" s="55" t="n"/>
      <c r="J150" s="57" t="n"/>
      <c r="K150" s="58">
        <f>IF(OR(H150="",J150=""),"",H150*J150)</f>
        <v/>
      </c>
      <c r="L150" s="63" t="n"/>
      <c r="M150" s="63" t="n"/>
      <c r="N150" s="63" t="n"/>
      <c r="O150" s="58">
        <f>IF(K150="","",K150-IF(L150="",0,L150)+IF(M150="",0,M150)+IF(N150="",0,N150))</f>
        <v/>
      </c>
    </row>
    <row r="151" ht="15.75" customHeight="1" s="99">
      <c r="A151" s="47" t="n"/>
      <c r="B151" s="45" t="n"/>
      <c r="C151" s="47" t="n"/>
      <c r="D151" s="47" t="n"/>
      <c r="E151" s="47" t="n"/>
      <c r="F151" s="47" t="n"/>
      <c r="G151" s="47" t="n"/>
      <c r="H151" s="48" t="n"/>
      <c r="I151" s="47" t="n"/>
      <c r="J151" s="49" t="n"/>
      <c r="K151" s="50">
        <f>IF(OR(H151="",J151=""),"",H151*J151)</f>
        <v/>
      </c>
      <c r="L151" s="62" t="n"/>
      <c r="M151" s="62" t="n"/>
      <c r="N151" s="62" t="n"/>
      <c r="O151" s="50">
        <f>IF(K151="","",K151-IF(L151="",0,L151)+IF(M151="",0,M151)+IF(N151="",0,N151))</f>
        <v/>
      </c>
    </row>
    <row r="152" ht="15.75" customHeight="1" s="99">
      <c r="A152" s="55" t="n"/>
      <c r="B152" s="53" t="n"/>
      <c r="C152" s="55" t="n"/>
      <c r="D152" s="55" t="n"/>
      <c r="E152" s="55" t="n"/>
      <c r="F152" s="55" t="n"/>
      <c r="G152" s="55" t="n"/>
      <c r="H152" s="56" t="n"/>
      <c r="I152" s="55" t="n"/>
      <c r="J152" s="57" t="n"/>
      <c r="K152" s="58">
        <f>IF(OR(H152="",J152=""),"",H152*J152)</f>
        <v/>
      </c>
      <c r="L152" s="63" t="n"/>
      <c r="M152" s="63" t="n"/>
      <c r="N152" s="63" t="n"/>
      <c r="O152" s="58">
        <f>IF(K152="","",K152-IF(L152="",0,L152)+IF(M152="",0,M152)+IF(N152="",0,N152))</f>
        <v/>
      </c>
    </row>
    <row r="153" ht="15.75" customHeight="1" s="99">
      <c r="A153" s="47" t="n"/>
      <c r="B153" s="45" t="n"/>
      <c r="C153" s="47" t="n"/>
      <c r="D153" s="47" t="n"/>
      <c r="E153" s="47" t="n"/>
      <c r="F153" s="47" t="n"/>
      <c r="G153" s="47" t="n"/>
      <c r="H153" s="48" t="n"/>
      <c r="I153" s="47" t="n"/>
      <c r="J153" s="49" t="n"/>
      <c r="K153" s="50">
        <f>IF(OR(H153="",J153=""),"",H153*J153)</f>
        <v/>
      </c>
      <c r="L153" s="62" t="n"/>
      <c r="M153" s="62" t="n"/>
      <c r="N153" s="62" t="n"/>
      <c r="O153" s="50">
        <f>IF(K153="","",K153-IF(L153="",0,L153)+IF(M153="",0,M153)+IF(N153="",0,N153))</f>
        <v/>
      </c>
    </row>
    <row r="154" ht="15.75" customHeight="1" s="99">
      <c r="A154" s="55" t="n"/>
      <c r="B154" s="53" t="n"/>
      <c r="C154" s="55" t="n"/>
      <c r="D154" s="55" t="n"/>
      <c r="E154" s="55" t="n"/>
      <c r="F154" s="55" t="n"/>
      <c r="G154" s="55" t="n"/>
      <c r="H154" s="56" t="n"/>
      <c r="I154" s="55" t="n"/>
      <c r="J154" s="57" t="n"/>
      <c r="K154" s="58">
        <f>IF(OR(H154="",J154=""),"",H154*J154)</f>
        <v/>
      </c>
      <c r="L154" s="63" t="n"/>
      <c r="M154" s="63" t="n"/>
      <c r="N154" s="63" t="n"/>
      <c r="O154" s="58">
        <f>IF(K154="","",K154-IF(L154="",0,L154)+IF(M154="",0,M154)+IF(N154="",0,N154))</f>
        <v/>
      </c>
    </row>
    <row r="155" ht="15.75" customHeight="1" s="99">
      <c r="A155" s="47" t="n"/>
      <c r="B155" s="45" t="n"/>
      <c r="C155" s="47" t="n"/>
      <c r="D155" s="47" t="n"/>
      <c r="E155" s="47" t="n"/>
      <c r="F155" s="47" t="n"/>
      <c r="G155" s="47" t="n"/>
      <c r="H155" s="48" t="n"/>
      <c r="I155" s="47" t="n"/>
      <c r="J155" s="49" t="n"/>
      <c r="K155" s="50">
        <f>IF(OR(H155="",J155=""),"",H155*J155)</f>
        <v/>
      </c>
      <c r="L155" s="62" t="n"/>
      <c r="M155" s="62" t="n"/>
      <c r="N155" s="62" t="n"/>
      <c r="O155" s="50">
        <f>IF(K155="","",K155-IF(L155="",0,L155)+IF(M155="",0,M155)+IF(N155="",0,N155))</f>
        <v/>
      </c>
    </row>
    <row r="156" ht="15.75" customHeight="1" s="99">
      <c r="A156" s="55" t="n"/>
      <c r="B156" s="53" t="n"/>
      <c r="C156" s="55" t="n"/>
      <c r="D156" s="55" t="n"/>
      <c r="E156" s="55" t="n"/>
      <c r="F156" s="55" t="n"/>
      <c r="G156" s="55" t="n"/>
      <c r="H156" s="56" t="n"/>
      <c r="I156" s="55" t="n"/>
      <c r="J156" s="57" t="n"/>
      <c r="K156" s="58">
        <f>IF(OR(H156="",J156=""),"",H156*J156)</f>
        <v/>
      </c>
      <c r="L156" s="63" t="n"/>
      <c r="M156" s="63" t="n"/>
      <c r="N156" s="63" t="n"/>
      <c r="O156" s="58">
        <f>IF(K156="","",K156-IF(L156="",0,L156)+IF(M156="",0,M156)+IF(N156="",0,N156))</f>
        <v/>
      </c>
    </row>
    <row r="157" ht="15.75" customHeight="1" s="99">
      <c r="A157" s="47" t="n"/>
      <c r="B157" s="45" t="n"/>
      <c r="C157" s="47" t="n"/>
      <c r="D157" s="47" t="n"/>
      <c r="E157" s="47" t="n"/>
      <c r="F157" s="47" t="n"/>
      <c r="G157" s="47" t="n"/>
      <c r="H157" s="48" t="n"/>
      <c r="I157" s="47" t="n"/>
      <c r="J157" s="49" t="n"/>
      <c r="K157" s="50">
        <f>IF(OR(H157="",J157=""),"",H157*J157)</f>
        <v/>
      </c>
      <c r="L157" s="62" t="n"/>
      <c r="M157" s="62" t="n"/>
      <c r="N157" s="62" t="n"/>
      <c r="O157" s="50">
        <f>IF(K157="","",K157-IF(L157="",0,L157)+IF(M157="",0,M157)+IF(N157="",0,N157))</f>
        <v/>
      </c>
    </row>
    <row r="158" ht="15.75" customHeight="1" s="99">
      <c r="A158" s="55" t="n"/>
      <c r="B158" s="53" t="n"/>
      <c r="C158" s="55" t="n"/>
      <c r="D158" s="55" t="n"/>
      <c r="E158" s="55" t="n"/>
      <c r="F158" s="55" t="n"/>
      <c r="G158" s="55" t="n"/>
      <c r="H158" s="56" t="n"/>
      <c r="I158" s="55" t="n"/>
      <c r="J158" s="57" t="n"/>
      <c r="K158" s="58">
        <f>IF(OR(H158="",J158=""),"",H158*J158)</f>
        <v/>
      </c>
      <c r="L158" s="63" t="n"/>
      <c r="M158" s="63" t="n"/>
      <c r="N158" s="63" t="n"/>
      <c r="O158" s="58">
        <f>IF(K158="","",K158-IF(L158="",0,L158)+IF(M158="",0,M158)+IF(N158="",0,N158))</f>
        <v/>
      </c>
    </row>
    <row r="159" ht="15.75" customHeight="1" s="99">
      <c r="A159" s="47" t="n"/>
      <c r="B159" s="45" t="n"/>
      <c r="C159" s="47" t="n"/>
      <c r="D159" s="47" t="n"/>
      <c r="E159" s="47" t="n"/>
      <c r="F159" s="47" t="n"/>
      <c r="G159" s="47" t="n"/>
      <c r="H159" s="48" t="n"/>
      <c r="I159" s="47" t="n"/>
      <c r="J159" s="49" t="n"/>
      <c r="K159" s="50">
        <f>IF(OR(H159="",J159=""),"",H159*J159)</f>
        <v/>
      </c>
      <c r="L159" s="62" t="n"/>
      <c r="M159" s="62" t="n"/>
      <c r="N159" s="62" t="n"/>
      <c r="O159" s="50">
        <f>IF(K159="","",K159-IF(L159="",0,L159)+IF(M159="",0,M159)+IF(N159="",0,N159))</f>
        <v/>
      </c>
    </row>
    <row r="160" ht="15.75" customHeight="1" s="99">
      <c r="A160" s="55" t="n"/>
      <c r="B160" s="53" t="n"/>
      <c r="C160" s="55" t="n"/>
      <c r="D160" s="55" t="n"/>
      <c r="E160" s="55" t="n"/>
      <c r="F160" s="55" t="n"/>
      <c r="G160" s="55" t="n"/>
      <c r="H160" s="56" t="n"/>
      <c r="I160" s="55" t="n"/>
      <c r="J160" s="57" t="n"/>
      <c r="K160" s="58">
        <f>IF(OR(H160="",J160=""),"",H160*J160)</f>
        <v/>
      </c>
      <c r="L160" s="63" t="n"/>
      <c r="M160" s="63" t="n"/>
      <c r="N160" s="63" t="n"/>
      <c r="O160" s="58">
        <f>IF(K160="","",K160-IF(L160="",0,L160)+IF(M160="",0,M160)+IF(N160="",0,N160))</f>
        <v/>
      </c>
    </row>
    <row r="161" ht="15.75" customHeight="1" s="99">
      <c r="A161" s="47" t="n"/>
      <c r="B161" s="45" t="n"/>
      <c r="C161" s="47" t="n"/>
      <c r="D161" s="47" t="n"/>
      <c r="E161" s="47" t="n"/>
      <c r="F161" s="47" t="n"/>
      <c r="G161" s="47" t="n"/>
      <c r="H161" s="48" t="n"/>
      <c r="I161" s="47" t="n"/>
      <c r="J161" s="49" t="n"/>
      <c r="K161" s="50">
        <f>IF(OR(H161="",J161=""),"",H161*J161)</f>
        <v/>
      </c>
      <c r="L161" s="62" t="n"/>
      <c r="M161" s="62" t="n"/>
      <c r="N161" s="62" t="n"/>
      <c r="O161" s="50">
        <f>IF(K161="","",K161-IF(L161="",0,L161)+IF(M161="",0,M161)+IF(N161="",0,N161))</f>
        <v/>
      </c>
    </row>
    <row r="162" ht="15.75" customHeight="1" s="99">
      <c r="A162" s="55" t="n"/>
      <c r="B162" s="53" t="n"/>
      <c r="C162" s="55" t="n"/>
      <c r="D162" s="55" t="n"/>
      <c r="E162" s="55" t="n"/>
      <c r="F162" s="55" t="n"/>
      <c r="G162" s="55" t="n"/>
      <c r="H162" s="56" t="n"/>
      <c r="I162" s="55" t="n"/>
      <c r="J162" s="57" t="n"/>
      <c r="K162" s="58">
        <f>IF(OR(H162="",J162=""),"",H162*J162)</f>
        <v/>
      </c>
      <c r="L162" s="63" t="n"/>
      <c r="M162" s="63" t="n"/>
      <c r="N162" s="63" t="n"/>
      <c r="O162" s="58">
        <f>IF(K162="","",K162-IF(L162="",0,L162)+IF(M162="",0,M162)+IF(N162="",0,N162))</f>
        <v/>
      </c>
    </row>
    <row r="163" ht="15.75" customHeight="1" s="99">
      <c r="A163" s="47" t="n"/>
      <c r="B163" s="45" t="n"/>
      <c r="C163" s="47" t="n"/>
      <c r="D163" s="47" t="n"/>
      <c r="E163" s="47" t="n"/>
      <c r="F163" s="47" t="n"/>
      <c r="G163" s="47" t="n"/>
      <c r="H163" s="48" t="n"/>
      <c r="I163" s="47" t="n"/>
      <c r="J163" s="49" t="n"/>
      <c r="K163" s="50">
        <f>IF(OR(H163="",J163=""),"",H163*J163)</f>
        <v/>
      </c>
      <c r="L163" s="62" t="n"/>
      <c r="M163" s="62" t="n"/>
      <c r="N163" s="62" t="n"/>
      <c r="O163" s="50">
        <f>IF(K163="","",K163-IF(L163="",0,L163)+IF(M163="",0,M163)+IF(N163="",0,N163))</f>
        <v/>
      </c>
    </row>
    <row r="164" ht="15.75" customHeight="1" s="99">
      <c r="A164" s="55" t="n"/>
      <c r="B164" s="53" t="n"/>
      <c r="C164" s="55" t="n"/>
      <c r="D164" s="55" t="n"/>
      <c r="E164" s="55" t="n"/>
      <c r="F164" s="55" t="n"/>
      <c r="G164" s="55" t="n"/>
      <c r="H164" s="56" t="n"/>
      <c r="I164" s="55" t="n"/>
      <c r="J164" s="57" t="n"/>
      <c r="K164" s="58">
        <f>IF(OR(H164="",J164=""),"",H164*J164)</f>
        <v/>
      </c>
      <c r="L164" s="63" t="n"/>
      <c r="M164" s="63" t="n"/>
      <c r="N164" s="63" t="n"/>
      <c r="O164" s="58">
        <f>IF(K164="","",K164-IF(L164="",0,L164)+IF(M164="",0,M164)+IF(N164="",0,N164))</f>
        <v/>
      </c>
    </row>
    <row r="165" ht="15.75" customHeight="1" s="99">
      <c r="A165" s="47" t="n"/>
      <c r="B165" s="45" t="n"/>
      <c r="C165" s="47" t="n"/>
      <c r="D165" s="47" t="n"/>
      <c r="E165" s="47" t="n"/>
      <c r="F165" s="47" t="n"/>
      <c r="G165" s="47" t="n"/>
      <c r="H165" s="48" t="n"/>
      <c r="I165" s="47" t="n"/>
      <c r="J165" s="49" t="n"/>
      <c r="K165" s="50">
        <f>IF(OR(H165="",J165=""),"",H165*J165)</f>
        <v/>
      </c>
      <c r="L165" s="62" t="n"/>
      <c r="M165" s="62" t="n"/>
      <c r="N165" s="62" t="n"/>
      <c r="O165" s="50">
        <f>IF(K165="","",K165-IF(L165="",0,L165)+IF(M165="",0,M165)+IF(N165="",0,N165))</f>
        <v/>
      </c>
    </row>
    <row r="166" ht="15.75" customHeight="1" s="99">
      <c r="A166" s="55" t="n"/>
      <c r="B166" s="53" t="n"/>
      <c r="C166" s="55" t="n"/>
      <c r="D166" s="55" t="n"/>
      <c r="E166" s="55" t="n"/>
      <c r="F166" s="55" t="n"/>
      <c r="G166" s="55" t="n"/>
      <c r="H166" s="56" t="n"/>
      <c r="I166" s="55" t="n"/>
      <c r="J166" s="57" t="n"/>
      <c r="K166" s="58">
        <f>IF(OR(H166="",J166=""),"",H166*J166)</f>
        <v/>
      </c>
      <c r="L166" s="63" t="n"/>
      <c r="M166" s="63" t="n"/>
      <c r="N166" s="63" t="n"/>
      <c r="O166" s="58">
        <f>IF(K166="","",K166-IF(L166="",0,L166)+IF(M166="",0,M166)+IF(N166="",0,N166))</f>
        <v/>
      </c>
    </row>
    <row r="167" ht="15.75" customHeight="1" s="99">
      <c r="A167" s="47" t="n"/>
      <c r="B167" s="45" t="n"/>
      <c r="C167" s="47" t="n"/>
      <c r="D167" s="47" t="n"/>
      <c r="E167" s="47" t="n"/>
      <c r="F167" s="47" t="n"/>
      <c r="G167" s="47" t="n"/>
      <c r="H167" s="48" t="n"/>
      <c r="I167" s="47" t="n"/>
      <c r="J167" s="49" t="n"/>
      <c r="K167" s="50">
        <f>IF(OR(H167="",J167=""),"",H167*J167)</f>
        <v/>
      </c>
      <c r="L167" s="62" t="n"/>
      <c r="M167" s="62" t="n"/>
      <c r="N167" s="62" t="n"/>
      <c r="O167" s="50">
        <f>IF(K167="","",K167-IF(L167="",0,L167)+IF(M167="",0,M167)+IF(N167="",0,N167))</f>
        <v/>
      </c>
    </row>
    <row r="168" ht="15.75" customHeight="1" s="99">
      <c r="A168" s="55" t="n"/>
      <c r="B168" s="53" t="n"/>
      <c r="C168" s="55" t="n"/>
      <c r="D168" s="55" t="n"/>
      <c r="E168" s="55" t="n"/>
      <c r="F168" s="55" t="n"/>
      <c r="G168" s="55" t="n"/>
      <c r="H168" s="56" t="n"/>
      <c r="I168" s="55" t="n"/>
      <c r="J168" s="57" t="n"/>
      <c r="K168" s="58">
        <f>IF(OR(H168="",J168=""),"",H168*J168)</f>
        <v/>
      </c>
      <c r="L168" s="63" t="n"/>
      <c r="M168" s="63" t="n"/>
      <c r="N168" s="63" t="n"/>
      <c r="O168" s="58">
        <f>IF(K168="","",K168-IF(L168="",0,L168)+IF(M168="",0,M168)+IF(N168="",0,N168))</f>
        <v/>
      </c>
    </row>
    <row r="169" ht="15.75" customHeight="1" s="99">
      <c r="A169" s="47" t="n"/>
      <c r="B169" s="45" t="n"/>
      <c r="C169" s="47" t="n"/>
      <c r="D169" s="47" t="n"/>
      <c r="E169" s="47" t="n"/>
      <c r="F169" s="47" t="n"/>
      <c r="G169" s="47" t="n"/>
      <c r="H169" s="48" t="n"/>
      <c r="I169" s="47" t="n"/>
      <c r="J169" s="49" t="n"/>
      <c r="K169" s="50">
        <f>IF(OR(H169="",J169=""),"",H169*J169)</f>
        <v/>
      </c>
      <c r="L169" s="62" t="n"/>
      <c r="M169" s="62" t="n"/>
      <c r="N169" s="62" t="n"/>
      <c r="O169" s="50">
        <f>IF(K169="","",K169-IF(L169="",0,L169)+IF(M169="",0,M169)+IF(N169="",0,N169))</f>
        <v/>
      </c>
    </row>
    <row r="170" ht="15.75" customHeight="1" s="99">
      <c r="A170" s="55" t="n"/>
      <c r="B170" s="53" t="n"/>
      <c r="C170" s="55" t="n"/>
      <c r="D170" s="55" t="n"/>
      <c r="E170" s="55" t="n"/>
      <c r="F170" s="55" t="n"/>
      <c r="G170" s="55" t="n"/>
      <c r="H170" s="56" t="n"/>
      <c r="I170" s="55" t="n"/>
      <c r="J170" s="57" t="n"/>
      <c r="K170" s="58">
        <f>IF(OR(H170="",J170=""),"",H170*J170)</f>
        <v/>
      </c>
      <c r="L170" s="63" t="n"/>
      <c r="M170" s="63" t="n"/>
      <c r="N170" s="63" t="n"/>
      <c r="O170" s="58">
        <f>IF(K170="","",K170-IF(L170="",0,L170)+IF(M170="",0,M170)+IF(N170="",0,N170))</f>
        <v/>
      </c>
    </row>
    <row r="171" ht="15.75" customHeight="1" s="99">
      <c r="A171" s="47" t="n"/>
      <c r="B171" s="45" t="n"/>
      <c r="C171" s="47" t="n"/>
      <c r="D171" s="47" t="n"/>
      <c r="E171" s="47" t="n"/>
      <c r="F171" s="47" t="n"/>
      <c r="G171" s="47" t="n"/>
      <c r="H171" s="48" t="n"/>
      <c r="I171" s="47" t="n"/>
      <c r="J171" s="49" t="n"/>
      <c r="K171" s="50">
        <f>IF(OR(H171="",J171=""),"",H171*J171)</f>
        <v/>
      </c>
      <c r="L171" s="62" t="n"/>
      <c r="M171" s="62" t="n"/>
      <c r="N171" s="62" t="n"/>
      <c r="O171" s="50">
        <f>IF(K171="","",K171-IF(L171="",0,L171)+IF(M171="",0,M171)+IF(N171="",0,N171))</f>
        <v/>
      </c>
    </row>
    <row r="172" ht="15.75" customHeight="1" s="99">
      <c r="A172" s="55" t="n"/>
      <c r="B172" s="53" t="n"/>
      <c r="C172" s="55" t="n"/>
      <c r="D172" s="55" t="n"/>
      <c r="E172" s="55" t="n"/>
      <c r="F172" s="55" t="n"/>
      <c r="G172" s="55" t="n"/>
      <c r="H172" s="56" t="n"/>
      <c r="I172" s="55" t="n"/>
      <c r="J172" s="57" t="n"/>
      <c r="K172" s="58">
        <f>IF(OR(H172="",J172=""),"",H172*J172)</f>
        <v/>
      </c>
      <c r="L172" s="63" t="n"/>
      <c r="M172" s="63" t="n"/>
      <c r="N172" s="63" t="n"/>
      <c r="O172" s="58">
        <f>IF(K172="","",K172-IF(L172="",0,L172)+IF(M172="",0,M172)+IF(N172="",0,N172))</f>
        <v/>
      </c>
    </row>
    <row r="173" ht="15.75" customHeight="1" s="99">
      <c r="A173" s="47" t="n"/>
      <c r="B173" s="45" t="n"/>
      <c r="C173" s="47" t="n"/>
      <c r="D173" s="47" t="n"/>
      <c r="E173" s="47" t="n"/>
      <c r="F173" s="47" t="n"/>
      <c r="G173" s="47" t="n"/>
      <c r="H173" s="48" t="n"/>
      <c r="I173" s="47" t="n"/>
      <c r="J173" s="49" t="n"/>
      <c r="K173" s="50">
        <f>IF(OR(H173="",J173=""),"",H173*J173)</f>
        <v/>
      </c>
      <c r="L173" s="62" t="n"/>
      <c r="M173" s="62" t="n"/>
      <c r="N173" s="62" t="n"/>
      <c r="O173" s="50">
        <f>IF(K173="","",K173-IF(L173="",0,L173)+IF(M173="",0,M173)+IF(N173="",0,N173))</f>
        <v/>
      </c>
    </row>
    <row r="174" ht="15.75" customHeight="1" s="99">
      <c r="A174" s="55" t="n"/>
      <c r="B174" s="53" t="n"/>
      <c r="C174" s="55" t="n"/>
      <c r="D174" s="55" t="n"/>
      <c r="E174" s="55" t="n"/>
      <c r="F174" s="55" t="n"/>
      <c r="G174" s="55" t="n"/>
      <c r="H174" s="56" t="n"/>
      <c r="I174" s="55" t="n"/>
      <c r="J174" s="57" t="n"/>
      <c r="K174" s="58">
        <f>IF(OR(H174="",J174=""),"",H174*J174)</f>
        <v/>
      </c>
      <c r="L174" s="63" t="n"/>
      <c r="M174" s="63" t="n"/>
      <c r="N174" s="63" t="n"/>
      <c r="O174" s="58">
        <f>IF(K174="","",K174-IF(L174="",0,L174)+IF(M174="",0,M174)+IF(N174="",0,N174))</f>
        <v/>
      </c>
    </row>
    <row r="175" ht="15.75" customHeight="1" s="99">
      <c r="A175" s="47" t="n"/>
      <c r="B175" s="45" t="n"/>
      <c r="C175" s="47" t="n"/>
      <c r="D175" s="47" t="n"/>
      <c r="E175" s="47" t="n"/>
      <c r="F175" s="47" t="n"/>
      <c r="G175" s="47" t="n"/>
      <c r="H175" s="48" t="n"/>
      <c r="I175" s="47" t="n"/>
      <c r="J175" s="49" t="n"/>
      <c r="K175" s="50">
        <f>IF(OR(H175="",J175=""),"",H175*J175)</f>
        <v/>
      </c>
      <c r="L175" s="62" t="n"/>
      <c r="M175" s="62" t="n"/>
      <c r="N175" s="62" t="n"/>
      <c r="O175" s="50">
        <f>IF(K175="","",K175-IF(L175="",0,L175)+IF(M175="",0,M175)+IF(N175="",0,N175))</f>
        <v/>
      </c>
    </row>
    <row r="176" ht="15.75" customHeight="1" s="99">
      <c r="A176" s="55" t="n"/>
      <c r="B176" s="53" t="n"/>
      <c r="C176" s="55" t="n"/>
      <c r="D176" s="55" t="n"/>
      <c r="E176" s="55" t="n"/>
      <c r="F176" s="55" t="n"/>
      <c r="G176" s="55" t="n"/>
      <c r="H176" s="56" t="n"/>
      <c r="I176" s="55" t="n"/>
      <c r="J176" s="57" t="n"/>
      <c r="K176" s="58">
        <f>IF(OR(H176="",J176=""),"",H176*J176)</f>
        <v/>
      </c>
      <c r="L176" s="63" t="n"/>
      <c r="M176" s="63" t="n"/>
      <c r="N176" s="63" t="n"/>
      <c r="O176" s="58">
        <f>IF(K176="","",K176-IF(L176="",0,L176)+IF(M176="",0,M176)+IF(N176="",0,N176))</f>
        <v/>
      </c>
    </row>
    <row r="177" ht="15.75" customHeight="1" s="99">
      <c r="A177" s="47" t="n"/>
      <c r="B177" s="45" t="n"/>
      <c r="C177" s="47" t="n"/>
      <c r="D177" s="47" t="n"/>
      <c r="E177" s="47" t="n"/>
      <c r="F177" s="47" t="n"/>
      <c r="G177" s="47" t="n"/>
      <c r="H177" s="48" t="n"/>
      <c r="I177" s="47" t="n"/>
      <c r="J177" s="49" t="n"/>
      <c r="K177" s="50">
        <f>IF(OR(H177="",J177=""),"",H177*J177)</f>
        <v/>
      </c>
      <c r="L177" s="62" t="n"/>
      <c r="M177" s="62" t="n"/>
      <c r="N177" s="62" t="n"/>
      <c r="O177" s="50">
        <f>IF(K177="","",K177-IF(L177="",0,L177)+IF(M177="",0,M177)+IF(N177="",0,N177))</f>
        <v/>
      </c>
    </row>
    <row r="178" ht="15.75" customHeight="1" s="99">
      <c r="A178" s="55" t="n"/>
      <c r="B178" s="53" t="n"/>
      <c r="C178" s="55" t="n"/>
      <c r="D178" s="55" t="n"/>
      <c r="E178" s="55" t="n"/>
      <c r="F178" s="55" t="n"/>
      <c r="G178" s="55" t="n"/>
      <c r="H178" s="56" t="n"/>
      <c r="I178" s="55" t="n"/>
      <c r="J178" s="57" t="n"/>
      <c r="K178" s="58">
        <f>IF(OR(H178="",J178=""),"",H178*J178)</f>
        <v/>
      </c>
      <c r="L178" s="63" t="n"/>
      <c r="M178" s="63" t="n"/>
      <c r="N178" s="63" t="n"/>
      <c r="O178" s="58">
        <f>IF(K178="","",K178-IF(L178="",0,L178)+IF(M178="",0,M178)+IF(N178="",0,N178))</f>
        <v/>
      </c>
    </row>
    <row r="179" ht="15.75" customHeight="1" s="99">
      <c r="A179" s="47" t="n"/>
      <c r="B179" s="45" t="n"/>
      <c r="C179" s="47" t="n"/>
      <c r="D179" s="47" t="n"/>
      <c r="E179" s="47" t="n"/>
      <c r="F179" s="47" t="n"/>
      <c r="G179" s="47" t="n"/>
      <c r="H179" s="48" t="n"/>
      <c r="I179" s="47" t="n"/>
      <c r="J179" s="49" t="n"/>
      <c r="K179" s="50">
        <f>IF(OR(H179="",J179=""),"",H179*J179)</f>
        <v/>
      </c>
      <c r="L179" s="62" t="n"/>
      <c r="M179" s="62" t="n"/>
      <c r="N179" s="62" t="n"/>
      <c r="O179" s="50">
        <f>IF(K179="","",K179-IF(L179="",0,L179)+IF(M179="",0,M179)+IF(N179="",0,N179))</f>
        <v/>
      </c>
    </row>
    <row r="180" ht="15.75" customHeight="1" s="99">
      <c r="A180" s="55" t="n"/>
      <c r="B180" s="53" t="n"/>
      <c r="C180" s="55" t="n"/>
      <c r="D180" s="55" t="n"/>
      <c r="E180" s="55" t="n"/>
      <c r="F180" s="55" t="n"/>
      <c r="G180" s="55" t="n"/>
      <c r="H180" s="56" t="n"/>
      <c r="I180" s="55" t="n"/>
      <c r="J180" s="57" t="n"/>
      <c r="K180" s="58">
        <f>IF(OR(H180="",J180=""),"",H180*J180)</f>
        <v/>
      </c>
      <c r="L180" s="63" t="n"/>
      <c r="M180" s="63" t="n"/>
      <c r="N180" s="63" t="n"/>
      <c r="O180" s="58">
        <f>IF(K180="","",K180-IF(L180="",0,L180)+IF(M180="",0,M180)+IF(N180="",0,N180))</f>
        <v/>
      </c>
    </row>
    <row r="181" ht="15.75" customHeight="1" s="99">
      <c r="A181" s="47" t="n"/>
      <c r="B181" s="45" t="n"/>
      <c r="C181" s="47" t="n"/>
      <c r="D181" s="47" t="n"/>
      <c r="E181" s="47" t="n"/>
      <c r="F181" s="47" t="n"/>
      <c r="G181" s="47" t="n"/>
      <c r="H181" s="48" t="n"/>
      <c r="I181" s="47" t="n"/>
      <c r="J181" s="49" t="n"/>
      <c r="K181" s="50">
        <f>IF(OR(H181="",J181=""),"",H181*J181)</f>
        <v/>
      </c>
      <c r="L181" s="62" t="n"/>
      <c r="M181" s="62" t="n"/>
      <c r="N181" s="62" t="n"/>
      <c r="O181" s="50">
        <f>IF(K181="","",K181-IF(L181="",0,L181)+IF(M181="",0,M181)+IF(N181="",0,N181))</f>
        <v/>
      </c>
    </row>
    <row r="182" ht="15.75" customHeight="1" s="99">
      <c r="A182" s="55" t="n"/>
      <c r="B182" s="53" t="n"/>
      <c r="C182" s="55" t="n"/>
      <c r="D182" s="55" t="n"/>
      <c r="E182" s="55" t="n"/>
      <c r="F182" s="55" t="n"/>
      <c r="G182" s="55" t="n"/>
      <c r="H182" s="56" t="n"/>
      <c r="I182" s="55" t="n"/>
      <c r="J182" s="57" t="n"/>
      <c r="K182" s="58">
        <f>IF(OR(H182="",J182=""),"",H182*J182)</f>
        <v/>
      </c>
      <c r="L182" s="63" t="n"/>
      <c r="M182" s="63" t="n"/>
      <c r="N182" s="63" t="n"/>
      <c r="O182" s="58">
        <f>IF(K182="","",K182-IF(L182="",0,L182)+IF(M182="",0,M182)+IF(N182="",0,N182))</f>
        <v/>
      </c>
    </row>
    <row r="183" ht="15.75" customHeight="1" s="99">
      <c r="A183" s="47" t="n"/>
      <c r="B183" s="45" t="n"/>
      <c r="C183" s="47" t="n"/>
      <c r="D183" s="47" t="n"/>
      <c r="E183" s="47" t="n"/>
      <c r="F183" s="47" t="n"/>
      <c r="G183" s="47" t="n"/>
      <c r="H183" s="48" t="n"/>
      <c r="I183" s="47" t="n"/>
      <c r="J183" s="49" t="n"/>
      <c r="K183" s="50">
        <f>IF(OR(H183="",J183=""),"",H183*J183)</f>
        <v/>
      </c>
      <c r="L183" s="62" t="n"/>
      <c r="M183" s="62" t="n"/>
      <c r="N183" s="62" t="n"/>
      <c r="O183" s="50">
        <f>IF(K183="","",K183-IF(L183="",0,L183)+IF(M183="",0,M183)+IF(N183="",0,N183))</f>
        <v/>
      </c>
    </row>
    <row r="184" ht="15.75" customHeight="1" s="99">
      <c r="A184" s="55" t="n"/>
      <c r="B184" s="53" t="n"/>
      <c r="C184" s="55" t="n"/>
      <c r="D184" s="55" t="n"/>
      <c r="E184" s="55" t="n"/>
      <c r="F184" s="55" t="n"/>
      <c r="G184" s="55" t="n"/>
      <c r="H184" s="56" t="n"/>
      <c r="I184" s="55" t="n"/>
      <c r="J184" s="57" t="n"/>
      <c r="K184" s="58">
        <f>IF(OR(H184="",J184=""),"",H184*J184)</f>
        <v/>
      </c>
      <c r="L184" s="63" t="n"/>
      <c r="M184" s="63" t="n"/>
      <c r="N184" s="63" t="n"/>
      <c r="O184" s="58">
        <f>IF(K184="","",K184-IF(L184="",0,L184)+IF(M184="",0,M184)+IF(N184="",0,N184))</f>
        <v/>
      </c>
    </row>
    <row r="185" ht="15.75" customHeight="1" s="99">
      <c r="A185" s="47" t="n"/>
      <c r="B185" s="45" t="n"/>
      <c r="C185" s="47" t="n"/>
      <c r="D185" s="47" t="n"/>
      <c r="E185" s="47" t="n"/>
      <c r="F185" s="47" t="n"/>
      <c r="G185" s="47" t="n"/>
      <c r="H185" s="48" t="n"/>
      <c r="I185" s="47" t="n"/>
      <c r="J185" s="49" t="n"/>
      <c r="K185" s="50">
        <f>IF(OR(H185="",J185=""),"",H185*J185)</f>
        <v/>
      </c>
      <c r="L185" s="62" t="n"/>
      <c r="M185" s="62" t="n"/>
      <c r="N185" s="62" t="n"/>
      <c r="O185" s="50">
        <f>IF(K185="","",K185-IF(L185="",0,L185)+IF(M185="",0,M185)+IF(N185="",0,N185))</f>
        <v/>
      </c>
    </row>
    <row r="186" ht="15.75" customHeight="1" s="99">
      <c r="A186" s="55" t="n"/>
      <c r="B186" s="53" t="n"/>
      <c r="C186" s="55" t="n"/>
      <c r="D186" s="55" t="n"/>
      <c r="E186" s="55" t="n"/>
      <c r="F186" s="55" t="n"/>
      <c r="G186" s="55" t="n"/>
      <c r="H186" s="56" t="n"/>
      <c r="I186" s="55" t="n"/>
      <c r="J186" s="57" t="n"/>
      <c r="K186" s="58">
        <f>IF(OR(H186="",J186=""),"",H186*J186)</f>
        <v/>
      </c>
      <c r="L186" s="63" t="n"/>
      <c r="M186" s="63" t="n"/>
      <c r="N186" s="63" t="n"/>
      <c r="O186" s="58">
        <f>IF(K186="","",K186-IF(L186="",0,L186)+IF(M186="",0,M186)+IF(N186="",0,N186))</f>
        <v/>
      </c>
    </row>
    <row r="187" ht="15.75" customHeight="1" s="99">
      <c r="A187" s="47" t="n"/>
      <c r="B187" s="45" t="n"/>
      <c r="C187" s="47" t="n"/>
      <c r="D187" s="47" t="n"/>
      <c r="E187" s="47" t="n"/>
      <c r="F187" s="47" t="n"/>
      <c r="G187" s="47" t="n"/>
      <c r="H187" s="48" t="n"/>
      <c r="I187" s="47" t="n"/>
      <c r="J187" s="49" t="n"/>
      <c r="K187" s="50">
        <f>IF(OR(H187="",J187=""),"",H187*J187)</f>
        <v/>
      </c>
      <c r="L187" s="62" t="n"/>
      <c r="M187" s="62" t="n"/>
      <c r="N187" s="62" t="n"/>
      <c r="O187" s="50">
        <f>IF(K187="","",K187-IF(L187="",0,L187)+IF(M187="",0,M187)+IF(N187="",0,N187))</f>
        <v/>
      </c>
    </row>
    <row r="188" ht="15.75" customHeight="1" s="99">
      <c r="A188" s="55" t="n"/>
      <c r="B188" s="53" t="n"/>
      <c r="C188" s="55" t="n"/>
      <c r="D188" s="55" t="n"/>
      <c r="E188" s="55" t="n"/>
      <c r="F188" s="55" t="n"/>
      <c r="G188" s="55" t="n"/>
      <c r="H188" s="56" t="n"/>
      <c r="I188" s="55" t="n"/>
      <c r="J188" s="57" t="n"/>
      <c r="K188" s="58">
        <f>IF(OR(H188="",J188=""),"",H188*J188)</f>
        <v/>
      </c>
      <c r="L188" s="63" t="n"/>
      <c r="M188" s="63" t="n"/>
      <c r="N188" s="63" t="n"/>
      <c r="O188" s="58">
        <f>IF(K188="","",K188-IF(L188="",0,L188)+IF(M188="",0,M188)+IF(N188="",0,N188))</f>
        <v/>
      </c>
    </row>
    <row r="189" ht="15.75" customHeight="1" s="99">
      <c r="A189" s="47" t="n"/>
      <c r="B189" s="45" t="n"/>
      <c r="C189" s="47" t="n"/>
      <c r="D189" s="47" t="n"/>
      <c r="E189" s="47" t="n"/>
      <c r="F189" s="47" t="n"/>
      <c r="G189" s="47" t="n"/>
      <c r="H189" s="48" t="n"/>
      <c r="I189" s="47" t="n"/>
      <c r="J189" s="49" t="n"/>
      <c r="K189" s="50">
        <f>IF(OR(H189="",J189=""),"",H189*J189)</f>
        <v/>
      </c>
      <c r="L189" s="62" t="n"/>
      <c r="M189" s="62" t="n"/>
      <c r="N189" s="62" t="n"/>
      <c r="O189" s="50">
        <f>IF(K189="","",K189-IF(L189="",0,L189)+IF(M189="",0,M189)+IF(N189="",0,N189))</f>
        <v/>
      </c>
    </row>
    <row r="190" ht="15.75" customHeight="1" s="99">
      <c r="A190" s="55" t="n"/>
      <c r="B190" s="53" t="n"/>
      <c r="C190" s="55" t="n"/>
      <c r="D190" s="55" t="n"/>
      <c r="E190" s="55" t="n"/>
      <c r="F190" s="55" t="n"/>
      <c r="G190" s="55" t="n"/>
      <c r="H190" s="56" t="n"/>
      <c r="I190" s="55" t="n"/>
      <c r="J190" s="57" t="n"/>
      <c r="K190" s="58">
        <f>IF(OR(H190="",J190=""),"",H190*J190)</f>
        <v/>
      </c>
      <c r="L190" s="63" t="n"/>
      <c r="M190" s="63" t="n"/>
      <c r="N190" s="63" t="n"/>
      <c r="O190" s="58">
        <f>IF(K190="","",K190-IF(L190="",0,L190)+IF(M190="",0,M190)+IF(N190="",0,N190))</f>
        <v/>
      </c>
    </row>
    <row r="191" ht="15.75" customHeight="1" s="99">
      <c r="A191" s="47" t="n"/>
      <c r="B191" s="45" t="n"/>
      <c r="C191" s="47" t="n"/>
      <c r="D191" s="47" t="n"/>
      <c r="E191" s="47" t="n"/>
      <c r="F191" s="47" t="n"/>
      <c r="G191" s="47" t="n"/>
      <c r="H191" s="48" t="n"/>
      <c r="I191" s="47" t="n"/>
      <c r="J191" s="49" t="n"/>
      <c r="K191" s="50">
        <f>IF(OR(H191="",J191=""),"",H191*J191)</f>
        <v/>
      </c>
      <c r="L191" s="62" t="n"/>
      <c r="M191" s="62" t="n"/>
      <c r="N191" s="62" t="n"/>
      <c r="O191" s="50">
        <f>IF(K191="","",K191-IF(L191="",0,L191)+IF(M191="",0,M191)+IF(N191="",0,N191))</f>
        <v/>
      </c>
    </row>
    <row r="192" ht="15.75" customHeight="1" s="99">
      <c r="A192" s="55" t="n"/>
      <c r="B192" s="53" t="n"/>
      <c r="C192" s="55" t="n"/>
      <c r="D192" s="55" t="n"/>
      <c r="E192" s="55" t="n"/>
      <c r="F192" s="55" t="n"/>
      <c r="G192" s="55" t="n"/>
      <c r="H192" s="56" t="n"/>
      <c r="I192" s="55" t="n"/>
      <c r="J192" s="57" t="n"/>
      <c r="K192" s="58">
        <f>IF(OR(H192="",J192=""),"",H192*J192)</f>
        <v/>
      </c>
      <c r="L192" s="63" t="n"/>
      <c r="M192" s="63" t="n"/>
      <c r="N192" s="63" t="n"/>
      <c r="O192" s="58">
        <f>IF(K192="","",K192-IF(L192="",0,L192)+IF(M192="",0,M192)+IF(N192="",0,N192))</f>
        <v/>
      </c>
    </row>
    <row r="193" ht="15.75" customHeight="1" s="99">
      <c r="A193" s="47" t="n"/>
      <c r="B193" s="45" t="n"/>
      <c r="C193" s="47" t="n"/>
      <c r="D193" s="47" t="n"/>
      <c r="E193" s="47" t="n"/>
      <c r="F193" s="47" t="n"/>
      <c r="G193" s="47" t="n"/>
      <c r="H193" s="48" t="n"/>
      <c r="I193" s="47" t="n"/>
      <c r="J193" s="49" t="n"/>
      <c r="K193" s="50">
        <f>IF(OR(H193="",J193=""),"",H193*J193)</f>
        <v/>
      </c>
      <c r="L193" s="62" t="n"/>
      <c r="M193" s="62" t="n"/>
      <c r="N193" s="62" t="n"/>
      <c r="O193" s="50">
        <f>IF(K193="","",K193-IF(L193="",0,L193)+IF(M193="",0,M193)+IF(N193="",0,N193))</f>
        <v/>
      </c>
    </row>
    <row r="194" ht="15.75" customHeight="1" s="99">
      <c r="A194" s="55" t="n"/>
      <c r="B194" s="53" t="n"/>
      <c r="C194" s="55" t="n"/>
      <c r="D194" s="55" t="n"/>
      <c r="E194" s="55" t="n"/>
      <c r="F194" s="55" t="n"/>
      <c r="G194" s="55" t="n"/>
      <c r="H194" s="56" t="n"/>
      <c r="I194" s="55" t="n"/>
      <c r="J194" s="57" t="n"/>
      <c r="K194" s="58">
        <f>IF(OR(H194="",J194=""),"",H194*J194)</f>
        <v/>
      </c>
      <c r="L194" s="63" t="n"/>
      <c r="M194" s="63" t="n"/>
      <c r="N194" s="63" t="n"/>
      <c r="O194" s="58">
        <f>IF(K194="","",K194-IF(L194="",0,L194)+IF(M194="",0,M194)+IF(N194="",0,N194))</f>
        <v/>
      </c>
    </row>
    <row r="195" ht="15.75" customHeight="1" s="99">
      <c r="A195" s="47" t="n"/>
      <c r="B195" s="45" t="n"/>
      <c r="C195" s="47" t="n"/>
      <c r="D195" s="47" t="n"/>
      <c r="E195" s="47" t="n"/>
      <c r="F195" s="47" t="n"/>
      <c r="G195" s="47" t="n"/>
      <c r="H195" s="48" t="n"/>
      <c r="I195" s="47" t="n"/>
      <c r="J195" s="49" t="n"/>
      <c r="K195" s="50">
        <f>IF(OR(H195="",J195=""),"",H195*J195)</f>
        <v/>
      </c>
      <c r="L195" s="62" t="n"/>
      <c r="M195" s="62" t="n"/>
      <c r="N195" s="62" t="n"/>
      <c r="O195" s="50">
        <f>IF(K195="","",K195-IF(L195="",0,L195)+IF(M195="",0,M195)+IF(N195="",0,N195))</f>
        <v/>
      </c>
    </row>
    <row r="196" ht="15.75" customHeight="1" s="99">
      <c r="A196" s="55" t="n"/>
      <c r="B196" s="53" t="n"/>
      <c r="C196" s="55" t="n"/>
      <c r="D196" s="55" t="n"/>
      <c r="E196" s="55" t="n"/>
      <c r="F196" s="55" t="n"/>
      <c r="G196" s="55" t="n"/>
      <c r="H196" s="56" t="n"/>
      <c r="I196" s="55" t="n"/>
      <c r="J196" s="57" t="n"/>
      <c r="K196" s="58">
        <f>IF(OR(H196="",J196=""),"",H196*J196)</f>
        <v/>
      </c>
      <c r="L196" s="63" t="n"/>
      <c r="M196" s="63" t="n"/>
      <c r="N196" s="63" t="n"/>
      <c r="O196" s="58">
        <f>IF(K196="","",K196-IF(L196="",0,L196)+IF(M196="",0,M196)+IF(N196="",0,N196))</f>
        <v/>
      </c>
    </row>
    <row r="197" ht="15.75" customHeight="1" s="99">
      <c r="A197" s="47" t="n"/>
      <c r="B197" s="45" t="n"/>
      <c r="C197" s="47" t="n"/>
      <c r="D197" s="47" t="n"/>
      <c r="E197" s="47" t="n"/>
      <c r="F197" s="47" t="n"/>
      <c r="G197" s="47" t="n"/>
      <c r="H197" s="48" t="n"/>
      <c r="I197" s="47" t="n"/>
      <c r="J197" s="49" t="n"/>
      <c r="K197" s="50">
        <f>IF(OR(H197="",J197=""),"",H197*J197)</f>
        <v/>
      </c>
      <c r="L197" s="62" t="n"/>
      <c r="M197" s="62" t="n"/>
      <c r="N197" s="62" t="n"/>
      <c r="O197" s="50">
        <f>IF(K197="","",K197-IF(L197="",0,L197)+IF(M197="",0,M197)+IF(N197="",0,N197))</f>
        <v/>
      </c>
    </row>
    <row r="198" ht="15.75" customHeight="1" s="99">
      <c r="A198" s="55" t="n"/>
      <c r="B198" s="53" t="n"/>
      <c r="C198" s="55" t="n"/>
      <c r="D198" s="55" t="n"/>
      <c r="E198" s="55" t="n"/>
      <c r="F198" s="55" t="n"/>
      <c r="G198" s="55" t="n"/>
      <c r="H198" s="56" t="n"/>
      <c r="I198" s="55" t="n"/>
      <c r="J198" s="57" t="n"/>
      <c r="K198" s="58">
        <f>IF(OR(H198="",J198=""),"",H198*J198)</f>
        <v/>
      </c>
      <c r="L198" s="63" t="n"/>
      <c r="M198" s="63" t="n"/>
      <c r="N198" s="63" t="n"/>
      <c r="O198" s="58">
        <f>IF(K198="","",K198-IF(L198="",0,L198)+IF(M198="",0,M198)+IF(N198="",0,N198))</f>
        <v/>
      </c>
    </row>
    <row r="199" ht="15.75" customHeight="1" s="99">
      <c r="A199" s="47" t="n"/>
      <c r="B199" s="45" t="n"/>
      <c r="C199" s="47" t="n"/>
      <c r="D199" s="47" t="n"/>
      <c r="E199" s="47" t="n"/>
      <c r="F199" s="47" t="n"/>
      <c r="G199" s="47" t="n"/>
      <c r="H199" s="48" t="n"/>
      <c r="I199" s="47" t="n"/>
      <c r="J199" s="49" t="n"/>
      <c r="K199" s="50">
        <f>IF(OR(H199="",J199=""),"",H199*J199)</f>
        <v/>
      </c>
      <c r="L199" s="62" t="n"/>
      <c r="M199" s="62" t="n"/>
      <c r="N199" s="62" t="n"/>
      <c r="O199" s="50">
        <f>IF(K199="","",K199-IF(L199="",0,L199)+IF(M199="",0,M199)+IF(N199="",0,N199))</f>
        <v/>
      </c>
    </row>
    <row r="200" ht="15.75" customHeight="1" s="99">
      <c r="A200" s="55" t="n"/>
      <c r="B200" s="53" t="n"/>
      <c r="C200" s="55" t="n"/>
      <c r="D200" s="55" t="n"/>
      <c r="E200" s="55" t="n"/>
      <c r="F200" s="55" t="n"/>
      <c r="G200" s="55" t="n"/>
      <c r="H200" s="56" t="n"/>
      <c r="I200" s="55" t="n"/>
      <c r="J200" s="57" t="n"/>
      <c r="K200" s="58">
        <f>IF(OR(H200="",J200=""),"",H200*J200)</f>
        <v/>
      </c>
      <c r="L200" s="63" t="n"/>
      <c r="M200" s="63" t="n"/>
      <c r="N200" s="63" t="n"/>
      <c r="O200" s="58">
        <f>IF(K200="","",K200-IF(L200="",0,L200)+IF(M200="",0,M200)+IF(N200="",0,N200))</f>
        <v/>
      </c>
    </row>
    <row r="201" ht="15.75" customHeight="1" s="99">
      <c r="A201" s="47" t="n"/>
      <c r="B201" s="45" t="n"/>
      <c r="C201" s="47" t="n"/>
      <c r="D201" s="47" t="n"/>
      <c r="E201" s="47" t="n"/>
      <c r="F201" s="47" t="n"/>
      <c r="G201" s="47" t="n"/>
      <c r="H201" s="48" t="n"/>
      <c r="I201" s="47" t="n"/>
      <c r="J201" s="49" t="n"/>
      <c r="K201" s="50">
        <f>IF(OR(H201="",J201=""),"",H201*J201)</f>
        <v/>
      </c>
      <c r="L201" s="62" t="n"/>
      <c r="M201" s="62" t="n"/>
      <c r="N201" s="62" t="n"/>
      <c r="O201" s="50">
        <f>IF(K201="","",K201-IF(L201="",0,L201)+IF(M201="",0,M201)+IF(N201="",0,N201))</f>
        <v/>
      </c>
    </row>
    <row r="202" ht="15.75" customHeight="1" s="99">
      <c r="A202" s="55" t="n"/>
      <c r="B202" s="53" t="n"/>
      <c r="C202" s="55" t="n"/>
      <c r="D202" s="55" t="n"/>
      <c r="E202" s="55" t="n"/>
      <c r="F202" s="55" t="n"/>
      <c r="G202" s="55" t="n"/>
      <c r="H202" s="56" t="n"/>
      <c r="I202" s="55" t="n"/>
      <c r="J202" s="57" t="n"/>
      <c r="K202" s="58">
        <f>IF(OR(H202="",J202=""),"",H202*J202)</f>
        <v/>
      </c>
      <c r="L202" s="63" t="n"/>
      <c r="M202" s="63" t="n"/>
      <c r="N202" s="63" t="n"/>
      <c r="O202" s="58">
        <f>IF(K202="","",K202-IF(L202="",0,L202)+IF(M202="",0,M202)+IF(N202="",0,N202))</f>
        <v/>
      </c>
    </row>
    <row r="203" ht="15.75" customHeight="1" s="99">
      <c r="A203" s="47" t="n"/>
      <c r="B203" s="45" t="n"/>
      <c r="C203" s="47" t="n"/>
      <c r="D203" s="47" t="n"/>
      <c r="E203" s="47" t="n"/>
      <c r="F203" s="47" t="n"/>
      <c r="G203" s="47" t="n"/>
      <c r="H203" s="48" t="n"/>
      <c r="I203" s="47" t="n"/>
      <c r="J203" s="49" t="n"/>
      <c r="K203" s="50">
        <f>IF(OR(H203="",J203=""),"",H203*J203)</f>
        <v/>
      </c>
      <c r="L203" s="62" t="n"/>
      <c r="M203" s="62" t="n"/>
      <c r="N203" s="62" t="n"/>
      <c r="O203" s="50">
        <f>IF(K203="","",K203-IF(L203="",0,L203)+IF(M203="",0,M203)+IF(N203="",0,N203))</f>
        <v/>
      </c>
    </row>
    <row r="204" ht="15.75" customHeight="1" s="99">
      <c r="A204" s="55" t="n"/>
      <c r="B204" s="53" t="n"/>
      <c r="C204" s="55" t="n"/>
      <c r="D204" s="55" t="n"/>
      <c r="E204" s="55" t="n"/>
      <c r="F204" s="55" t="n"/>
      <c r="G204" s="55" t="n"/>
      <c r="H204" s="56" t="n"/>
      <c r="I204" s="55" t="n"/>
      <c r="J204" s="57" t="n"/>
      <c r="K204" s="58">
        <f>IF(OR(H204="",J204=""),"",H204*J204)</f>
        <v/>
      </c>
      <c r="L204" s="63" t="n"/>
      <c r="M204" s="63" t="n"/>
      <c r="N204" s="63" t="n"/>
      <c r="O204" s="58">
        <f>IF(K204="","",K204-IF(L204="",0,L204)+IF(M204="",0,M204)+IF(N204="",0,N204))</f>
        <v/>
      </c>
    </row>
    <row r="205" ht="15.75" customHeight="1" s="99">
      <c r="A205" s="47" t="n"/>
      <c r="B205" s="45" t="n"/>
      <c r="C205" s="47" t="n"/>
      <c r="D205" s="47" t="n"/>
      <c r="E205" s="47" t="n"/>
      <c r="F205" s="47" t="n"/>
      <c r="G205" s="47" t="n"/>
      <c r="H205" s="48" t="n"/>
      <c r="I205" s="47" t="n"/>
      <c r="J205" s="49" t="n"/>
      <c r="K205" s="50">
        <f>IF(OR(H205="",J205=""),"",H205*J205)</f>
        <v/>
      </c>
      <c r="L205" s="62" t="n"/>
      <c r="M205" s="62" t="n"/>
      <c r="N205" s="62" t="n"/>
      <c r="O205" s="50">
        <f>IF(K205="","",K205-IF(L205="",0,L205)+IF(M205="",0,M205)+IF(N205="",0,N205))</f>
        <v/>
      </c>
    </row>
    <row r="206" ht="15.75" customHeight="1" s="99">
      <c r="A206" s="55" t="n"/>
      <c r="B206" s="53" t="n"/>
      <c r="C206" s="55" t="n"/>
      <c r="D206" s="55" t="n"/>
      <c r="E206" s="55" t="n"/>
      <c r="F206" s="55" t="n"/>
      <c r="G206" s="55" t="n"/>
      <c r="H206" s="56" t="n"/>
      <c r="I206" s="55" t="n"/>
      <c r="J206" s="57" t="n"/>
      <c r="K206" s="58">
        <f>IF(OR(H206="",J206=""),"",H206*J206)</f>
        <v/>
      </c>
      <c r="L206" s="63" t="n"/>
      <c r="M206" s="63" t="n"/>
      <c r="N206" s="63" t="n"/>
      <c r="O206" s="58">
        <f>IF(K206="","",K206-IF(L206="",0,L206)+IF(M206="",0,M206)+IF(N206="",0,N206))</f>
        <v/>
      </c>
    </row>
    <row r="207" ht="15.75" customHeight="1" s="99">
      <c r="A207" s="47" t="n"/>
      <c r="B207" s="45" t="n"/>
      <c r="C207" s="47" t="n"/>
      <c r="D207" s="47" t="n"/>
      <c r="E207" s="47" t="n"/>
      <c r="F207" s="47" t="n"/>
      <c r="G207" s="47" t="n"/>
      <c r="H207" s="48" t="n"/>
      <c r="I207" s="47" t="n"/>
      <c r="J207" s="49" t="n"/>
      <c r="K207" s="50">
        <f>IF(OR(H207="",J207=""),"",H207*J207)</f>
        <v/>
      </c>
      <c r="L207" s="62" t="n"/>
      <c r="M207" s="62" t="n"/>
      <c r="N207" s="62" t="n"/>
      <c r="O207" s="50">
        <f>IF(K207="","",K207-IF(L207="",0,L207)+IF(M207="",0,M207)+IF(N207="",0,N207))</f>
        <v/>
      </c>
    </row>
    <row r="208" ht="15.75" customHeight="1" s="99">
      <c r="A208" s="55" t="n"/>
      <c r="B208" s="53" t="n"/>
      <c r="C208" s="55" t="n"/>
      <c r="D208" s="55" t="n"/>
      <c r="E208" s="55" t="n"/>
      <c r="F208" s="55" t="n"/>
      <c r="G208" s="55" t="n"/>
      <c r="H208" s="56" t="n"/>
      <c r="I208" s="55" t="n"/>
      <c r="J208" s="57" t="n"/>
      <c r="K208" s="58">
        <f>IF(OR(H208="",J208=""),"",H208*J208)</f>
        <v/>
      </c>
      <c r="L208" s="63" t="n"/>
      <c r="M208" s="63" t="n"/>
      <c r="N208" s="63" t="n"/>
      <c r="O208" s="58">
        <f>IF(K208="","",K208-IF(L208="",0,L208)+IF(M208="",0,M208)+IF(N208="",0,N208))</f>
        <v/>
      </c>
    </row>
    <row r="209" ht="15.75" customHeight="1" s="99">
      <c r="A209" s="47" t="n"/>
      <c r="B209" s="45" t="n"/>
      <c r="C209" s="47" t="n"/>
      <c r="D209" s="47" t="n"/>
      <c r="E209" s="47" t="n"/>
      <c r="F209" s="47" t="n"/>
      <c r="G209" s="47" t="n"/>
      <c r="H209" s="48" t="n"/>
      <c r="I209" s="47" t="n"/>
      <c r="J209" s="49" t="n"/>
      <c r="K209" s="50">
        <f>IF(OR(H209="",J209=""),"",H209*J209)</f>
        <v/>
      </c>
      <c r="L209" s="62" t="n"/>
      <c r="M209" s="62" t="n"/>
      <c r="N209" s="62" t="n"/>
      <c r="O209" s="50">
        <f>IF(K209="","",K209-IF(L209="",0,L209)+IF(M209="",0,M209)+IF(N209="",0,N209))</f>
        <v/>
      </c>
    </row>
    <row r="210" ht="15.75" customHeight="1" s="99">
      <c r="A210" s="55" t="n"/>
      <c r="B210" s="53" t="n"/>
      <c r="C210" s="55" t="n"/>
      <c r="D210" s="55" t="n"/>
      <c r="E210" s="55" t="n"/>
      <c r="F210" s="55" t="n"/>
      <c r="G210" s="55" t="n"/>
      <c r="H210" s="56" t="n"/>
      <c r="I210" s="55" t="n"/>
      <c r="J210" s="57" t="n"/>
      <c r="K210" s="58">
        <f>IF(OR(H210="",J210=""),"",H210*J210)</f>
        <v/>
      </c>
      <c r="L210" s="63" t="n"/>
      <c r="M210" s="63" t="n"/>
      <c r="N210" s="63" t="n"/>
      <c r="O210" s="58">
        <f>IF(K210="","",K210-IF(L210="",0,L210)+IF(M210="",0,M210)+IF(N210="",0,N210))</f>
        <v/>
      </c>
    </row>
    <row r="211" ht="15.75" customHeight="1" s="99">
      <c r="A211" s="47" t="n"/>
      <c r="B211" s="45" t="n"/>
      <c r="C211" s="47" t="n"/>
      <c r="D211" s="47" t="n"/>
      <c r="E211" s="47" t="n"/>
      <c r="F211" s="47" t="n"/>
      <c r="G211" s="47" t="n"/>
      <c r="H211" s="48" t="n"/>
      <c r="I211" s="47" t="n"/>
      <c r="J211" s="49" t="n"/>
      <c r="K211" s="50">
        <f>IF(OR(H211="",J211=""),"",H211*J211)</f>
        <v/>
      </c>
      <c r="L211" s="62" t="n"/>
      <c r="M211" s="62" t="n"/>
      <c r="N211" s="62" t="n"/>
      <c r="O211" s="50">
        <f>IF(K211="","",K211-IF(L211="",0,L211)+IF(M211="",0,M211)+IF(N211="",0,N211))</f>
        <v/>
      </c>
    </row>
    <row r="212" ht="15.75" customHeight="1" s="99">
      <c r="A212" s="55" t="n"/>
      <c r="B212" s="53" t="n"/>
      <c r="C212" s="55" t="n"/>
      <c r="D212" s="55" t="n"/>
      <c r="E212" s="55" t="n"/>
      <c r="F212" s="55" t="n"/>
      <c r="G212" s="55" t="n"/>
      <c r="H212" s="56" t="n"/>
      <c r="I212" s="55" t="n"/>
      <c r="J212" s="57" t="n"/>
      <c r="K212" s="58">
        <f>IF(OR(H212="",J212=""),"",H212*J212)</f>
        <v/>
      </c>
      <c r="L212" s="63" t="n"/>
      <c r="M212" s="63" t="n"/>
      <c r="N212" s="63" t="n"/>
      <c r="O212" s="58">
        <f>IF(K212="","",K212-IF(L212="",0,L212)+IF(M212="",0,M212)+IF(N212="",0,N212))</f>
        <v/>
      </c>
    </row>
    <row r="213" ht="15.75" customHeight="1" s="99">
      <c r="A213" s="47" t="n"/>
      <c r="B213" s="45" t="n"/>
      <c r="C213" s="47" t="n"/>
      <c r="D213" s="47" t="n"/>
      <c r="E213" s="47" t="n"/>
      <c r="F213" s="47" t="n"/>
      <c r="G213" s="47" t="n"/>
      <c r="H213" s="48" t="n"/>
      <c r="I213" s="47" t="n"/>
      <c r="J213" s="49" t="n"/>
      <c r="K213" s="50">
        <f>IF(OR(H213="",J213=""),"",H213*J213)</f>
        <v/>
      </c>
      <c r="L213" s="62" t="n"/>
      <c r="M213" s="62" t="n"/>
      <c r="N213" s="62" t="n"/>
      <c r="O213" s="50">
        <f>IF(K213="","",K213-IF(L213="",0,L213)+IF(M213="",0,M213)+IF(N213="",0,N213))</f>
        <v/>
      </c>
    </row>
    <row r="214" ht="15.75" customHeight="1" s="99">
      <c r="A214" s="55" t="n"/>
      <c r="B214" s="53" t="n"/>
      <c r="C214" s="55" t="n"/>
      <c r="D214" s="55" t="n"/>
      <c r="E214" s="55" t="n"/>
      <c r="F214" s="55" t="n"/>
      <c r="G214" s="55" t="n"/>
      <c r="H214" s="56" t="n"/>
      <c r="I214" s="55" t="n"/>
      <c r="J214" s="57" t="n"/>
      <c r="K214" s="58">
        <f>IF(OR(H214="",J214=""),"",H214*J214)</f>
        <v/>
      </c>
      <c r="L214" s="63" t="n"/>
      <c r="M214" s="63" t="n"/>
      <c r="N214" s="63" t="n"/>
      <c r="O214" s="58">
        <f>IF(K214="","",K214-IF(L214="",0,L214)+IF(M214="",0,M214)+IF(N214="",0,N214))</f>
        <v/>
      </c>
    </row>
    <row r="215" ht="15.75" customHeight="1" s="99">
      <c r="A215" s="47" t="n"/>
      <c r="B215" s="45" t="n"/>
      <c r="C215" s="47" t="n"/>
      <c r="D215" s="47" t="n"/>
      <c r="E215" s="47" t="n"/>
      <c r="F215" s="47" t="n"/>
      <c r="G215" s="47" t="n"/>
      <c r="H215" s="48" t="n"/>
      <c r="I215" s="47" t="n"/>
      <c r="J215" s="49" t="n"/>
      <c r="K215" s="50">
        <f>IF(OR(H215="",J215=""),"",H215*J215)</f>
        <v/>
      </c>
      <c r="L215" s="62" t="n"/>
      <c r="M215" s="62" t="n"/>
      <c r="N215" s="62" t="n"/>
      <c r="O215" s="50">
        <f>IF(K215="","",K215-IF(L215="",0,L215)+IF(M215="",0,M215)+IF(N215="",0,N215))</f>
        <v/>
      </c>
    </row>
    <row r="216" ht="15.75" customHeight="1" s="99">
      <c r="A216" s="55" t="n"/>
      <c r="B216" s="53" t="n"/>
      <c r="C216" s="55" t="n"/>
      <c r="D216" s="55" t="n"/>
      <c r="E216" s="55" t="n"/>
      <c r="F216" s="55" t="n"/>
      <c r="G216" s="55" t="n"/>
      <c r="H216" s="56" t="n"/>
      <c r="I216" s="55" t="n"/>
      <c r="J216" s="57" t="n"/>
      <c r="K216" s="58">
        <f>IF(OR(H216="",J216=""),"",H216*J216)</f>
        <v/>
      </c>
      <c r="L216" s="63" t="n"/>
      <c r="M216" s="63" t="n"/>
      <c r="N216" s="63" t="n"/>
      <c r="O216" s="58">
        <f>IF(K216="","",K216-IF(L216="",0,L216)+IF(M216="",0,M216)+IF(N216="",0,N216))</f>
        <v/>
      </c>
    </row>
    <row r="217" ht="15.75" customHeight="1" s="99">
      <c r="A217" s="47" t="n"/>
      <c r="B217" s="45" t="n"/>
      <c r="C217" s="47" t="n"/>
      <c r="D217" s="47" t="n"/>
      <c r="E217" s="47" t="n"/>
      <c r="F217" s="47" t="n"/>
      <c r="G217" s="47" t="n"/>
      <c r="H217" s="48" t="n"/>
      <c r="I217" s="47" t="n"/>
      <c r="J217" s="49" t="n"/>
      <c r="K217" s="50">
        <f>IF(OR(H217="",J217=""),"",H217*J217)</f>
        <v/>
      </c>
      <c r="L217" s="62" t="n"/>
      <c r="M217" s="62" t="n"/>
      <c r="N217" s="62" t="n"/>
      <c r="O217" s="50">
        <f>IF(K217="","",K217-IF(L217="",0,L217)+IF(M217="",0,M217)+IF(N217="",0,N217))</f>
        <v/>
      </c>
    </row>
    <row r="218" ht="15.75" customHeight="1" s="99">
      <c r="A218" s="55" t="n"/>
      <c r="B218" s="53" t="n"/>
      <c r="C218" s="55" t="n"/>
      <c r="D218" s="55" t="n"/>
      <c r="E218" s="55" t="n"/>
      <c r="F218" s="55" t="n"/>
      <c r="G218" s="55" t="n"/>
      <c r="H218" s="56" t="n"/>
      <c r="I218" s="55" t="n"/>
      <c r="J218" s="57" t="n"/>
      <c r="K218" s="58">
        <f>IF(OR(H218="",J218=""),"",H218*J218)</f>
        <v/>
      </c>
      <c r="L218" s="63" t="n"/>
      <c r="M218" s="63" t="n"/>
      <c r="N218" s="63" t="n"/>
      <c r="O218" s="58">
        <f>IF(K218="","",K218-IF(L218="",0,L218)+IF(M218="",0,M218)+IF(N218="",0,N218))</f>
        <v/>
      </c>
    </row>
    <row r="219" ht="15.75" customHeight="1" s="99">
      <c r="A219" s="47" t="n"/>
      <c r="B219" s="45" t="n"/>
      <c r="C219" s="47" t="n"/>
      <c r="D219" s="47" t="n"/>
      <c r="E219" s="47" t="n"/>
      <c r="F219" s="47" t="n"/>
      <c r="G219" s="47" t="n"/>
      <c r="H219" s="48" t="n"/>
      <c r="I219" s="47" t="n"/>
      <c r="J219" s="49" t="n"/>
      <c r="K219" s="50">
        <f>IF(OR(H219="",J219=""),"",H219*J219)</f>
        <v/>
      </c>
      <c r="L219" s="62" t="n"/>
      <c r="M219" s="62" t="n"/>
      <c r="N219" s="62" t="n"/>
      <c r="O219" s="50">
        <f>IF(K219="","",K219-IF(L219="",0,L219)+IF(M219="",0,M219)+IF(N219="",0,N219))</f>
        <v/>
      </c>
    </row>
    <row r="220" ht="15.75" customHeight="1" s="99">
      <c r="A220" s="55" t="n"/>
      <c r="B220" s="53" t="n"/>
      <c r="C220" s="55" t="n"/>
      <c r="D220" s="55" t="n"/>
      <c r="E220" s="55" t="n"/>
      <c r="F220" s="55" t="n"/>
      <c r="G220" s="55" t="n"/>
      <c r="H220" s="56" t="n"/>
      <c r="I220" s="55" t="n"/>
      <c r="J220" s="57" t="n"/>
      <c r="K220" s="58">
        <f>IF(OR(H220="",J220=""),"",H220*J220)</f>
        <v/>
      </c>
      <c r="L220" s="63" t="n"/>
      <c r="M220" s="63" t="n"/>
      <c r="N220" s="63" t="n"/>
      <c r="O220" s="58">
        <f>IF(K220="","",K220-IF(L220="",0,L220)+IF(M220="",0,M220)+IF(N220="",0,N220))</f>
        <v/>
      </c>
    </row>
    <row r="221" ht="15.75" customHeight="1" s="99">
      <c r="A221" s="47" t="n"/>
      <c r="B221" s="45" t="n"/>
      <c r="C221" s="47" t="n"/>
      <c r="D221" s="47" t="n"/>
      <c r="E221" s="47" t="n"/>
      <c r="F221" s="47" t="n"/>
      <c r="G221" s="47" t="n"/>
      <c r="H221" s="48" t="n"/>
      <c r="I221" s="47" t="n"/>
      <c r="J221" s="49" t="n"/>
      <c r="K221" s="50">
        <f>IF(OR(H221="",J221=""),"",H221*J221)</f>
        <v/>
      </c>
      <c r="L221" s="62" t="n"/>
      <c r="M221" s="62" t="n"/>
      <c r="N221" s="62" t="n"/>
      <c r="O221" s="50">
        <f>IF(K221="","",K221-IF(L221="",0,L221)+IF(M221="",0,M221)+IF(N221="",0,N221))</f>
        <v/>
      </c>
    </row>
    <row r="222" ht="15.75" customHeight="1" s="99">
      <c r="A222" s="55" t="n"/>
      <c r="B222" s="53" t="n"/>
      <c r="C222" s="55" t="n"/>
      <c r="D222" s="55" t="n"/>
      <c r="E222" s="55" t="n"/>
      <c r="F222" s="55" t="n"/>
      <c r="G222" s="55" t="n"/>
      <c r="H222" s="56" t="n"/>
      <c r="I222" s="55" t="n"/>
      <c r="J222" s="57" t="n"/>
      <c r="K222" s="58">
        <f>IF(OR(H222="",J222=""),"",H222*J222)</f>
        <v/>
      </c>
      <c r="L222" s="63" t="n"/>
      <c r="M222" s="63" t="n"/>
      <c r="N222" s="63" t="n"/>
      <c r="O222" s="58">
        <f>IF(K222="","",K222-IF(L222="",0,L222)+IF(M222="",0,M222)+IF(N222="",0,N222))</f>
        <v/>
      </c>
    </row>
    <row r="223" ht="15.75" customHeight="1" s="99">
      <c r="A223" s="47" t="n"/>
      <c r="B223" s="45" t="n"/>
      <c r="C223" s="47" t="n"/>
      <c r="D223" s="47" t="n"/>
      <c r="E223" s="47" t="n"/>
      <c r="F223" s="47" t="n"/>
      <c r="G223" s="47" t="n"/>
      <c r="H223" s="48" t="n"/>
      <c r="I223" s="47" t="n"/>
      <c r="J223" s="49" t="n"/>
      <c r="K223" s="50">
        <f>IF(OR(H223="",J223=""),"",H223*J223)</f>
        <v/>
      </c>
      <c r="L223" s="62" t="n"/>
      <c r="M223" s="62" t="n"/>
      <c r="N223" s="62" t="n"/>
      <c r="O223" s="50">
        <f>IF(K223="","",K223-IF(L223="",0,L223)+IF(M223="",0,M223)+IF(N223="",0,N223))</f>
        <v/>
      </c>
    </row>
    <row r="224" ht="15.75" customHeight="1" s="99">
      <c r="A224" s="55" t="n"/>
      <c r="B224" s="53" t="n"/>
      <c r="C224" s="55" t="n"/>
      <c r="D224" s="55" t="n"/>
      <c r="E224" s="55" t="n"/>
      <c r="F224" s="55" t="n"/>
      <c r="G224" s="55" t="n"/>
      <c r="H224" s="56" t="n"/>
      <c r="I224" s="55" t="n"/>
      <c r="J224" s="57" t="n"/>
      <c r="K224" s="58">
        <f>IF(OR(H224="",J224=""),"",H224*J224)</f>
        <v/>
      </c>
      <c r="L224" s="63" t="n"/>
      <c r="M224" s="63" t="n"/>
      <c r="N224" s="63" t="n"/>
      <c r="O224" s="58">
        <f>IF(K224="","",K224-IF(L224="",0,L224)+IF(M224="",0,M224)+IF(N224="",0,N224))</f>
        <v/>
      </c>
    </row>
    <row r="225" ht="15.75" customHeight="1" s="99">
      <c r="A225" s="47" t="n"/>
      <c r="B225" s="45" t="n"/>
      <c r="C225" s="47" t="n"/>
      <c r="D225" s="47" t="n"/>
      <c r="E225" s="47" t="n"/>
      <c r="F225" s="47" t="n"/>
      <c r="G225" s="47" t="n"/>
      <c r="H225" s="48" t="n"/>
      <c r="I225" s="47" t="n"/>
      <c r="J225" s="49" t="n"/>
      <c r="K225" s="50">
        <f>IF(OR(H225="",J225=""),"",H225*J225)</f>
        <v/>
      </c>
      <c r="L225" s="62" t="n"/>
      <c r="M225" s="62" t="n"/>
      <c r="N225" s="62" t="n"/>
      <c r="O225" s="50">
        <f>IF(K225="","",K225-IF(L225="",0,L225)+IF(M225="",0,M225)+IF(N225="",0,N225))</f>
        <v/>
      </c>
    </row>
    <row r="226" ht="15.75" customHeight="1" s="99">
      <c r="A226" s="55" t="n"/>
      <c r="B226" s="53" t="n"/>
      <c r="C226" s="55" t="n"/>
      <c r="D226" s="55" t="n"/>
      <c r="E226" s="55" t="n"/>
      <c r="F226" s="55" t="n"/>
      <c r="G226" s="55" t="n"/>
      <c r="H226" s="56" t="n"/>
      <c r="I226" s="55" t="n"/>
      <c r="J226" s="57" t="n"/>
      <c r="K226" s="58">
        <f>IF(OR(H226="",J226=""),"",H226*J226)</f>
        <v/>
      </c>
      <c r="L226" s="63" t="n"/>
      <c r="M226" s="63" t="n"/>
      <c r="N226" s="63" t="n"/>
      <c r="O226" s="58">
        <f>IF(K226="","",K226-IF(L226="",0,L226)+IF(M226="",0,M226)+IF(N226="",0,N226))</f>
        <v/>
      </c>
    </row>
    <row r="227" ht="15.75" customHeight="1" s="99">
      <c r="A227" s="47" t="n"/>
      <c r="B227" s="45" t="n"/>
      <c r="C227" s="47" t="n"/>
      <c r="D227" s="47" t="n"/>
      <c r="E227" s="47" t="n"/>
      <c r="F227" s="47" t="n"/>
      <c r="G227" s="47" t="n"/>
      <c r="H227" s="48" t="n"/>
      <c r="I227" s="47" t="n"/>
      <c r="J227" s="49" t="n"/>
      <c r="K227" s="50">
        <f>IF(OR(H227="",J227=""),"",H227*J227)</f>
        <v/>
      </c>
      <c r="L227" s="62" t="n"/>
      <c r="M227" s="62" t="n"/>
      <c r="N227" s="62" t="n"/>
      <c r="O227" s="50">
        <f>IF(K227="","",K227-IF(L227="",0,L227)+IF(M227="",0,M227)+IF(N227="",0,N227))</f>
        <v/>
      </c>
    </row>
    <row r="228" ht="15.75" customHeight="1" s="99">
      <c r="A228" s="55" t="n"/>
      <c r="B228" s="53" t="n"/>
      <c r="C228" s="55" t="n"/>
      <c r="D228" s="55" t="n"/>
      <c r="E228" s="55" t="n"/>
      <c r="F228" s="55" t="n"/>
      <c r="G228" s="55" t="n"/>
      <c r="H228" s="56" t="n"/>
      <c r="I228" s="55" t="n"/>
      <c r="J228" s="57" t="n"/>
      <c r="K228" s="58">
        <f>IF(OR(H228="",J228=""),"",H228*J228)</f>
        <v/>
      </c>
      <c r="L228" s="63" t="n"/>
      <c r="M228" s="63" t="n"/>
      <c r="N228" s="63" t="n"/>
      <c r="O228" s="58">
        <f>IF(K228="","",K228-IF(L228="",0,L228)+IF(M228="",0,M228)+IF(N228="",0,N228))</f>
        <v/>
      </c>
    </row>
    <row r="229" ht="15.75" customHeight="1" s="99">
      <c r="A229" s="47" t="n"/>
      <c r="B229" s="45" t="n"/>
      <c r="C229" s="47" t="n"/>
      <c r="D229" s="47" t="n"/>
      <c r="E229" s="47" t="n"/>
      <c r="F229" s="47" t="n"/>
      <c r="G229" s="47" t="n"/>
      <c r="H229" s="48" t="n"/>
      <c r="I229" s="47" t="n"/>
      <c r="J229" s="49" t="n"/>
      <c r="K229" s="50">
        <f>IF(OR(H229="",J229=""),"",H229*J229)</f>
        <v/>
      </c>
      <c r="L229" s="62" t="n"/>
      <c r="M229" s="62" t="n"/>
      <c r="N229" s="62" t="n"/>
      <c r="O229" s="50">
        <f>IF(K229="","",K229-IF(L229="",0,L229)+IF(M229="",0,M229)+IF(N229="",0,N229))</f>
        <v/>
      </c>
    </row>
    <row r="230" ht="15.75" customHeight="1" s="99">
      <c r="A230" s="55" t="n"/>
      <c r="B230" s="53" t="n"/>
      <c r="C230" s="55" t="n"/>
      <c r="D230" s="55" t="n"/>
      <c r="E230" s="55" t="n"/>
      <c r="F230" s="55" t="n"/>
      <c r="G230" s="55" t="n"/>
      <c r="H230" s="56" t="n"/>
      <c r="I230" s="55" t="n"/>
      <c r="J230" s="57" t="n"/>
      <c r="K230" s="58">
        <f>IF(OR(H230="",J230=""),"",H230*J230)</f>
        <v/>
      </c>
      <c r="L230" s="63" t="n"/>
      <c r="M230" s="63" t="n"/>
      <c r="N230" s="63" t="n"/>
      <c r="O230" s="58">
        <f>IF(K230="","",K230-IF(L230="",0,L230)+IF(M230="",0,M230)+IF(N230="",0,N230))</f>
        <v/>
      </c>
    </row>
    <row r="231" ht="15.75" customHeight="1" s="99">
      <c r="A231" s="47" t="n"/>
      <c r="B231" s="45" t="n"/>
      <c r="C231" s="47" t="n"/>
      <c r="D231" s="47" t="n"/>
      <c r="E231" s="47" t="n"/>
      <c r="F231" s="47" t="n"/>
      <c r="G231" s="47" t="n"/>
      <c r="H231" s="48" t="n"/>
      <c r="I231" s="47" t="n"/>
      <c r="J231" s="49" t="n"/>
      <c r="K231" s="50">
        <f>IF(OR(H231="",J231=""),"",H231*J231)</f>
        <v/>
      </c>
      <c r="L231" s="62" t="n"/>
      <c r="M231" s="62" t="n"/>
      <c r="N231" s="62" t="n"/>
      <c r="O231" s="50">
        <f>IF(K231="","",K231-IF(L231="",0,L231)+IF(M231="",0,M231)+IF(N231="",0,N231))</f>
        <v/>
      </c>
    </row>
    <row r="232" ht="15.75" customHeight="1" s="99">
      <c r="A232" s="55" t="n"/>
      <c r="B232" s="53" t="n"/>
      <c r="C232" s="55" t="n"/>
      <c r="D232" s="55" t="n"/>
      <c r="E232" s="55" t="n"/>
      <c r="F232" s="55" t="n"/>
      <c r="G232" s="55" t="n"/>
      <c r="H232" s="56" t="n"/>
      <c r="I232" s="55" t="n"/>
      <c r="J232" s="57" t="n"/>
      <c r="K232" s="58">
        <f>IF(OR(H232="",J232=""),"",H232*J232)</f>
        <v/>
      </c>
      <c r="L232" s="63" t="n"/>
      <c r="M232" s="63" t="n"/>
      <c r="N232" s="63" t="n"/>
      <c r="O232" s="58">
        <f>IF(K232="","",K232-IF(L232="",0,L232)+IF(M232="",0,M232)+IF(N232="",0,N232))</f>
        <v/>
      </c>
    </row>
    <row r="233" ht="15.75" customHeight="1" s="99">
      <c r="A233" s="47" t="n"/>
      <c r="B233" s="45" t="n"/>
      <c r="C233" s="47" t="n"/>
      <c r="D233" s="47" t="n"/>
      <c r="E233" s="47" t="n"/>
      <c r="F233" s="47" t="n"/>
      <c r="G233" s="47" t="n"/>
      <c r="H233" s="48" t="n"/>
      <c r="I233" s="47" t="n"/>
      <c r="J233" s="49" t="n"/>
      <c r="K233" s="50">
        <f>IF(OR(H233="",J233=""),"",H233*J233)</f>
        <v/>
      </c>
      <c r="L233" s="62" t="n"/>
      <c r="M233" s="62" t="n"/>
      <c r="N233" s="62" t="n"/>
      <c r="O233" s="50">
        <f>IF(K233="","",K233-IF(L233="",0,L233)+IF(M233="",0,M233)+IF(N233="",0,N233))</f>
        <v/>
      </c>
    </row>
    <row r="234" ht="15.75" customHeight="1" s="99">
      <c r="A234" s="55" t="n"/>
      <c r="B234" s="53" t="n"/>
      <c r="C234" s="55" t="n"/>
      <c r="D234" s="55" t="n"/>
      <c r="E234" s="55" t="n"/>
      <c r="F234" s="55" t="n"/>
      <c r="G234" s="55" t="n"/>
      <c r="H234" s="56" t="n"/>
      <c r="I234" s="55" t="n"/>
      <c r="J234" s="57" t="n"/>
      <c r="K234" s="58">
        <f>IF(OR(H234="",J234=""),"",H234*J234)</f>
        <v/>
      </c>
      <c r="L234" s="63" t="n"/>
      <c r="M234" s="63" t="n"/>
      <c r="N234" s="63" t="n"/>
      <c r="O234" s="58">
        <f>IF(K234="","",K234-IF(L234="",0,L234)+IF(M234="",0,M234)+IF(N234="",0,N234))</f>
        <v/>
      </c>
    </row>
    <row r="235" ht="15.75" customHeight="1" s="99">
      <c r="A235" s="47" t="n"/>
      <c r="B235" s="45" t="n"/>
      <c r="C235" s="47" t="n"/>
      <c r="D235" s="47" t="n"/>
      <c r="E235" s="47" t="n"/>
      <c r="F235" s="47" t="n"/>
      <c r="G235" s="47" t="n"/>
      <c r="H235" s="48" t="n"/>
      <c r="I235" s="47" t="n"/>
      <c r="J235" s="49" t="n"/>
      <c r="K235" s="50">
        <f>IF(OR(H235="",J235=""),"",H235*J235)</f>
        <v/>
      </c>
      <c r="L235" s="62" t="n"/>
      <c r="M235" s="62" t="n"/>
      <c r="N235" s="62" t="n"/>
      <c r="O235" s="50">
        <f>IF(K235="","",K235-IF(L235="",0,L235)+IF(M235="",0,M235)+IF(N235="",0,N235))</f>
        <v/>
      </c>
    </row>
    <row r="236" ht="15.75" customHeight="1" s="99">
      <c r="A236" s="55" t="n"/>
      <c r="B236" s="53" t="n"/>
      <c r="C236" s="55" t="n"/>
      <c r="D236" s="55" t="n"/>
      <c r="E236" s="55" t="n"/>
      <c r="F236" s="55" t="n"/>
      <c r="G236" s="55" t="n"/>
      <c r="H236" s="56" t="n"/>
      <c r="I236" s="55" t="n"/>
      <c r="J236" s="57" t="n"/>
      <c r="K236" s="58">
        <f>IF(OR(H236="",J236=""),"",H236*J236)</f>
        <v/>
      </c>
      <c r="L236" s="63" t="n"/>
      <c r="M236" s="63" t="n"/>
      <c r="N236" s="63" t="n"/>
      <c r="O236" s="58">
        <f>IF(K236="","",K236-IF(L236="",0,L236)+IF(M236="",0,M236)+IF(N236="",0,N236))</f>
        <v/>
      </c>
    </row>
    <row r="237" ht="15.75" customHeight="1" s="99">
      <c r="A237" s="47" t="n"/>
      <c r="B237" s="45" t="n"/>
      <c r="C237" s="47" t="n"/>
      <c r="D237" s="47" t="n"/>
      <c r="E237" s="47" t="n"/>
      <c r="F237" s="47" t="n"/>
      <c r="G237" s="47" t="n"/>
      <c r="H237" s="48" t="n"/>
      <c r="I237" s="47" t="n"/>
      <c r="J237" s="49" t="n"/>
      <c r="K237" s="50">
        <f>IF(OR(H237="",J237=""),"",H237*J237)</f>
        <v/>
      </c>
      <c r="L237" s="62" t="n"/>
      <c r="M237" s="62" t="n"/>
      <c r="N237" s="62" t="n"/>
      <c r="O237" s="50">
        <f>IF(K237="","",K237-IF(L237="",0,L237)+IF(M237="",0,M237)+IF(N237="",0,N237))</f>
        <v/>
      </c>
    </row>
    <row r="238" ht="15.75" customHeight="1" s="99">
      <c r="A238" s="55" t="n"/>
      <c r="B238" s="53" t="n"/>
      <c r="C238" s="55" t="n"/>
      <c r="D238" s="55" t="n"/>
      <c r="E238" s="55" t="n"/>
      <c r="F238" s="55" t="n"/>
      <c r="G238" s="55" t="n"/>
      <c r="H238" s="56" t="n"/>
      <c r="I238" s="55" t="n"/>
      <c r="J238" s="57" t="n"/>
      <c r="K238" s="58">
        <f>IF(OR(H238="",J238=""),"",H238*J238)</f>
        <v/>
      </c>
      <c r="L238" s="63" t="n"/>
      <c r="M238" s="63" t="n"/>
      <c r="N238" s="63" t="n"/>
      <c r="O238" s="58">
        <f>IF(K238="","",K238-IF(L238="",0,L238)+IF(M238="",0,M238)+IF(N238="",0,N238))</f>
        <v/>
      </c>
    </row>
    <row r="239" ht="15.75" customHeight="1" s="99">
      <c r="A239" s="47" t="n"/>
      <c r="B239" s="45" t="n"/>
      <c r="C239" s="47" t="n"/>
      <c r="D239" s="47" t="n"/>
      <c r="E239" s="47" t="n"/>
      <c r="F239" s="47" t="n"/>
      <c r="G239" s="47" t="n"/>
      <c r="H239" s="48" t="n"/>
      <c r="I239" s="47" t="n"/>
      <c r="J239" s="49" t="n"/>
      <c r="K239" s="50">
        <f>IF(OR(H239="",J239=""),"",H239*J239)</f>
        <v/>
      </c>
      <c r="L239" s="62" t="n"/>
      <c r="M239" s="62" t="n"/>
      <c r="N239" s="62" t="n"/>
      <c r="O239" s="50">
        <f>IF(K239="","",K239-IF(L239="",0,L239)+IF(M239="",0,M239)+IF(N239="",0,N239))</f>
        <v/>
      </c>
    </row>
    <row r="240" ht="15.75" customHeight="1" s="99">
      <c r="A240" s="55" t="n"/>
      <c r="B240" s="53" t="n"/>
      <c r="C240" s="55" t="n"/>
      <c r="D240" s="55" t="n"/>
      <c r="E240" s="55" t="n"/>
      <c r="F240" s="55" t="n"/>
      <c r="G240" s="55" t="n"/>
      <c r="H240" s="56" t="n"/>
      <c r="I240" s="55" t="n"/>
      <c r="J240" s="57" t="n"/>
      <c r="K240" s="58">
        <f>IF(OR(H240="",J240=""),"",H240*J240)</f>
        <v/>
      </c>
      <c r="L240" s="63" t="n"/>
      <c r="M240" s="63" t="n"/>
      <c r="N240" s="63" t="n"/>
      <c r="O240" s="58">
        <f>IF(K240="","",K240-IF(L240="",0,L240)+IF(M240="",0,M240)+IF(N240="",0,N240))</f>
        <v/>
      </c>
    </row>
    <row r="241" ht="15.75" customHeight="1" s="99">
      <c r="A241" s="47" t="n"/>
      <c r="B241" s="45" t="n"/>
      <c r="C241" s="47" t="n"/>
      <c r="D241" s="47" t="n"/>
      <c r="E241" s="47" t="n"/>
      <c r="F241" s="47" t="n"/>
      <c r="G241" s="47" t="n"/>
      <c r="H241" s="48" t="n"/>
      <c r="I241" s="47" t="n"/>
      <c r="J241" s="49" t="n"/>
      <c r="K241" s="50">
        <f>IF(OR(H241="",J241=""),"",H241*J241)</f>
        <v/>
      </c>
      <c r="L241" s="62" t="n"/>
      <c r="M241" s="62" t="n"/>
      <c r="N241" s="62" t="n"/>
      <c r="O241" s="50">
        <f>IF(K241="","",K241-IF(L241="",0,L241)+IF(M241="",0,M241)+IF(N241="",0,N241))</f>
        <v/>
      </c>
    </row>
    <row r="242" ht="15.75" customHeight="1" s="99">
      <c r="A242" s="55" t="n"/>
      <c r="B242" s="53" t="n"/>
      <c r="C242" s="55" t="n"/>
      <c r="D242" s="55" t="n"/>
      <c r="E242" s="55" t="n"/>
      <c r="F242" s="55" t="n"/>
      <c r="G242" s="55" t="n"/>
      <c r="H242" s="56" t="n"/>
      <c r="I242" s="55" t="n"/>
      <c r="J242" s="57" t="n"/>
      <c r="K242" s="58">
        <f>IF(OR(H242="",J242=""),"",H242*J242)</f>
        <v/>
      </c>
      <c r="L242" s="63" t="n"/>
      <c r="M242" s="63" t="n"/>
      <c r="N242" s="63" t="n"/>
      <c r="O242" s="58">
        <f>IF(K242="","",K242-IF(L242="",0,L242)+IF(M242="",0,M242)+IF(N242="",0,N242))</f>
        <v/>
      </c>
    </row>
    <row r="243" ht="15.75" customHeight="1" s="99">
      <c r="A243" s="47" t="n"/>
      <c r="B243" s="45" t="n"/>
      <c r="C243" s="47" t="n"/>
      <c r="D243" s="47" t="n"/>
      <c r="E243" s="47" t="n"/>
      <c r="F243" s="47" t="n"/>
      <c r="G243" s="47" t="n"/>
      <c r="H243" s="48" t="n"/>
      <c r="I243" s="47" t="n"/>
      <c r="J243" s="49" t="n"/>
      <c r="K243" s="50">
        <f>IF(OR(H243="",J243=""),"",H243*J243)</f>
        <v/>
      </c>
      <c r="L243" s="62" t="n"/>
      <c r="M243" s="62" t="n"/>
      <c r="N243" s="62" t="n"/>
      <c r="O243" s="50">
        <f>IF(K243="","",K243-IF(L243="",0,L243)+IF(M243="",0,M243)+IF(N243="",0,N243))</f>
        <v/>
      </c>
    </row>
    <row r="244" ht="15.75" customHeight="1" s="99">
      <c r="A244" s="55" t="n"/>
      <c r="B244" s="53" t="n"/>
      <c r="C244" s="55" t="n"/>
      <c r="D244" s="55" t="n"/>
      <c r="E244" s="55" t="n"/>
      <c r="F244" s="55" t="n"/>
      <c r="G244" s="55" t="n"/>
      <c r="H244" s="56" t="n"/>
      <c r="I244" s="55" t="n"/>
      <c r="J244" s="57" t="n"/>
      <c r="K244" s="58">
        <f>IF(OR(H244="",J244=""),"",H244*J244)</f>
        <v/>
      </c>
      <c r="L244" s="63" t="n"/>
      <c r="M244" s="63" t="n"/>
      <c r="N244" s="63" t="n"/>
      <c r="O244" s="58">
        <f>IF(K244="","",K244-IF(L244="",0,L244)+IF(M244="",0,M244)+IF(N244="",0,N244))</f>
        <v/>
      </c>
    </row>
    <row r="245" ht="15.75" customHeight="1" s="99">
      <c r="A245" s="47" t="n"/>
      <c r="B245" s="45" t="n"/>
      <c r="C245" s="47" t="n"/>
      <c r="D245" s="47" t="n"/>
      <c r="E245" s="47" t="n"/>
      <c r="F245" s="47" t="n"/>
      <c r="G245" s="47" t="n"/>
      <c r="H245" s="48" t="n"/>
      <c r="I245" s="47" t="n"/>
      <c r="J245" s="49" t="n"/>
      <c r="K245" s="50">
        <f>IF(OR(H245="",J245=""),"",H245*J245)</f>
        <v/>
      </c>
      <c r="L245" s="62" t="n"/>
      <c r="M245" s="62" t="n"/>
      <c r="N245" s="62" t="n"/>
      <c r="O245" s="50">
        <f>IF(K245="","",K245-IF(L245="",0,L245)+IF(M245="",0,M245)+IF(N245="",0,N245))</f>
        <v/>
      </c>
    </row>
    <row r="246" ht="15.75" customHeight="1" s="99">
      <c r="A246" s="55" t="n"/>
      <c r="B246" s="53" t="n"/>
      <c r="C246" s="55" t="n"/>
      <c r="D246" s="55" t="n"/>
      <c r="E246" s="55" t="n"/>
      <c r="F246" s="55" t="n"/>
      <c r="G246" s="55" t="n"/>
      <c r="H246" s="56" t="n"/>
      <c r="I246" s="55" t="n"/>
      <c r="J246" s="57" t="n"/>
      <c r="K246" s="58">
        <f>IF(OR(H246="",J246=""),"",H246*J246)</f>
        <v/>
      </c>
      <c r="L246" s="63" t="n"/>
      <c r="M246" s="63" t="n"/>
      <c r="N246" s="63" t="n"/>
      <c r="O246" s="58">
        <f>IF(K246="","",K246-IF(L246="",0,L246)+IF(M246="",0,M246)+IF(N246="",0,N246))</f>
        <v/>
      </c>
    </row>
    <row r="247" ht="15.75" customHeight="1" s="99">
      <c r="A247" s="47" t="n"/>
      <c r="B247" s="45" t="n"/>
      <c r="C247" s="47" t="n"/>
      <c r="D247" s="47" t="n"/>
      <c r="E247" s="47" t="n"/>
      <c r="F247" s="47" t="n"/>
      <c r="G247" s="47" t="n"/>
      <c r="H247" s="48" t="n"/>
      <c r="I247" s="47" t="n"/>
      <c r="J247" s="49" t="n"/>
      <c r="K247" s="50">
        <f>IF(OR(H247="",J247=""),"",H247*J247)</f>
        <v/>
      </c>
      <c r="L247" s="62" t="n"/>
      <c r="M247" s="62" t="n"/>
      <c r="N247" s="62" t="n"/>
      <c r="O247" s="50">
        <f>IF(K247="","",K247-IF(L247="",0,L247)+IF(M247="",0,M247)+IF(N247="",0,N247))</f>
        <v/>
      </c>
    </row>
    <row r="248" ht="15.75" customHeight="1" s="99">
      <c r="A248" s="55" t="n"/>
      <c r="B248" s="53" t="n"/>
      <c r="C248" s="55" t="n"/>
      <c r="D248" s="55" t="n"/>
      <c r="E248" s="55" t="n"/>
      <c r="F248" s="55" t="n"/>
      <c r="G248" s="55" t="n"/>
      <c r="H248" s="56" t="n"/>
      <c r="I248" s="55" t="n"/>
      <c r="J248" s="57" t="n"/>
      <c r="K248" s="58">
        <f>IF(OR(H248="",J248=""),"",H248*J248)</f>
        <v/>
      </c>
      <c r="L248" s="63" t="n"/>
      <c r="M248" s="63" t="n"/>
      <c r="N248" s="63" t="n"/>
      <c r="O248" s="58">
        <f>IF(K248="","",K248-IF(L248="",0,L248)+IF(M248="",0,M248)+IF(N248="",0,N248))</f>
        <v/>
      </c>
    </row>
    <row r="249" ht="15.75" customHeight="1" s="99">
      <c r="A249" s="47" t="n"/>
      <c r="B249" s="45" t="n"/>
      <c r="C249" s="47" t="n"/>
      <c r="D249" s="47" t="n"/>
      <c r="E249" s="47" t="n"/>
      <c r="F249" s="47" t="n"/>
      <c r="G249" s="47" t="n"/>
      <c r="H249" s="48" t="n"/>
      <c r="I249" s="47" t="n"/>
      <c r="J249" s="49" t="n"/>
      <c r="K249" s="50">
        <f>IF(OR(H249="",J249=""),"",H249*J249)</f>
        <v/>
      </c>
      <c r="L249" s="62" t="n"/>
      <c r="M249" s="62" t="n"/>
      <c r="N249" s="62" t="n"/>
      <c r="O249" s="50">
        <f>IF(K249="","",K249-IF(L249="",0,L249)+IF(M249="",0,M249)+IF(N249="",0,N249))</f>
        <v/>
      </c>
    </row>
    <row r="250" ht="15.75" customHeight="1" s="99">
      <c r="A250" s="55" t="n"/>
      <c r="B250" s="53" t="n"/>
      <c r="C250" s="55" t="n"/>
      <c r="D250" s="55" t="n"/>
      <c r="E250" s="55" t="n"/>
      <c r="F250" s="55" t="n"/>
      <c r="G250" s="55" t="n"/>
      <c r="H250" s="56" t="n"/>
      <c r="I250" s="55" t="n"/>
      <c r="J250" s="57" t="n"/>
      <c r="K250" s="58">
        <f>IF(OR(H250="",J250=""),"",H250*J250)</f>
        <v/>
      </c>
      <c r="L250" s="63" t="n"/>
      <c r="M250" s="63" t="n"/>
      <c r="N250" s="63" t="n"/>
      <c r="O250" s="58">
        <f>IF(K250="","",K250-IF(L250="",0,L250)+IF(M250="",0,M250)+IF(N250="",0,N250))</f>
        <v/>
      </c>
    </row>
    <row r="251" ht="15.75" customHeight="1" s="99">
      <c r="A251" s="47" t="n"/>
      <c r="B251" s="45" t="n"/>
      <c r="C251" s="47" t="n"/>
      <c r="D251" s="47" t="n"/>
      <c r="E251" s="47" t="n"/>
      <c r="F251" s="47" t="n"/>
      <c r="G251" s="47" t="n"/>
      <c r="H251" s="48" t="n"/>
      <c r="I251" s="47" t="n"/>
      <c r="J251" s="49" t="n"/>
      <c r="K251" s="50">
        <f>IF(OR(H251="",J251=""),"",H251*J251)</f>
        <v/>
      </c>
      <c r="L251" s="62" t="n"/>
      <c r="M251" s="62" t="n"/>
      <c r="N251" s="62" t="n"/>
      <c r="O251" s="50">
        <f>IF(K251="","",K251-IF(L251="",0,L251)+IF(M251="",0,M251)+IF(N251="",0,N251))</f>
        <v/>
      </c>
    </row>
    <row r="252" ht="15.75" customHeight="1" s="99">
      <c r="A252" s="55" t="n"/>
      <c r="B252" s="53" t="n"/>
      <c r="C252" s="55" t="n"/>
      <c r="D252" s="55" t="n"/>
      <c r="E252" s="55" t="n"/>
      <c r="F252" s="55" t="n"/>
      <c r="G252" s="55" t="n"/>
      <c r="H252" s="56" t="n"/>
      <c r="I252" s="55" t="n"/>
      <c r="J252" s="57" t="n"/>
      <c r="K252" s="58">
        <f>IF(OR(H252="",J252=""),"",H252*J252)</f>
        <v/>
      </c>
      <c r="L252" s="63" t="n"/>
      <c r="M252" s="63" t="n"/>
      <c r="N252" s="63" t="n"/>
      <c r="O252" s="58">
        <f>IF(K252="","",K252-IF(L252="",0,L252)+IF(M252="",0,M252)+IF(N252="",0,N252))</f>
        <v/>
      </c>
    </row>
    <row r="253" ht="15.75" customHeight="1" s="99">
      <c r="A253" s="47" t="n"/>
      <c r="B253" s="45" t="n"/>
      <c r="C253" s="47" t="n"/>
      <c r="D253" s="47" t="n"/>
      <c r="E253" s="47" t="n"/>
      <c r="F253" s="47" t="n"/>
      <c r="G253" s="47" t="n"/>
      <c r="H253" s="48" t="n"/>
      <c r="I253" s="47" t="n"/>
      <c r="J253" s="49" t="n"/>
      <c r="K253" s="50">
        <f>IF(OR(H253="",J253=""),"",H253*J253)</f>
        <v/>
      </c>
      <c r="L253" s="62" t="n"/>
      <c r="M253" s="62" t="n"/>
      <c r="N253" s="62" t="n"/>
      <c r="O253" s="50">
        <f>IF(K253="","",K253-IF(L253="",0,L253)+IF(M253="",0,M253)+IF(N253="",0,N253))</f>
        <v/>
      </c>
    </row>
    <row r="254" ht="15.75" customHeight="1" s="99">
      <c r="A254" s="55" t="n"/>
      <c r="B254" s="53" t="n"/>
      <c r="C254" s="55" t="n"/>
      <c r="D254" s="55" t="n"/>
      <c r="E254" s="55" t="n"/>
      <c r="F254" s="55" t="n"/>
      <c r="G254" s="55" t="n"/>
      <c r="H254" s="56" t="n"/>
      <c r="I254" s="55" t="n"/>
      <c r="J254" s="57" t="n"/>
      <c r="K254" s="58">
        <f>IF(OR(H254="",J254=""),"",H254*J254)</f>
        <v/>
      </c>
      <c r="L254" s="63" t="n"/>
      <c r="M254" s="63" t="n"/>
      <c r="N254" s="63" t="n"/>
      <c r="O254" s="58">
        <f>IF(K254="","",K254-IF(L254="",0,L254)+IF(M254="",0,M254)+IF(N254="",0,N254))</f>
        <v/>
      </c>
    </row>
    <row r="255" ht="15.75" customHeight="1" s="99">
      <c r="A255" s="47" t="n"/>
      <c r="B255" s="45" t="n"/>
      <c r="C255" s="47" t="n"/>
      <c r="D255" s="47" t="n"/>
      <c r="E255" s="47" t="n"/>
      <c r="F255" s="47" t="n"/>
      <c r="G255" s="47" t="n"/>
      <c r="H255" s="48" t="n"/>
      <c r="I255" s="47" t="n"/>
      <c r="J255" s="49" t="n"/>
      <c r="K255" s="50">
        <f>IF(OR(H255="",J255=""),"",H255*J255)</f>
        <v/>
      </c>
      <c r="L255" s="62" t="n"/>
      <c r="M255" s="62" t="n"/>
      <c r="N255" s="62" t="n"/>
      <c r="O255" s="50">
        <f>IF(K255="","",K255-IF(L255="",0,L255)+IF(M255="",0,M255)+IF(N255="",0,N255))</f>
        <v/>
      </c>
    </row>
    <row r="256" ht="15.75" customHeight="1" s="99">
      <c r="A256" s="55" t="n"/>
      <c r="B256" s="53" t="n"/>
      <c r="C256" s="55" t="n"/>
      <c r="D256" s="55" t="n"/>
      <c r="E256" s="55" t="n"/>
      <c r="F256" s="55" t="n"/>
      <c r="G256" s="55" t="n"/>
      <c r="H256" s="56" t="n"/>
      <c r="I256" s="55" t="n"/>
      <c r="J256" s="57" t="n"/>
      <c r="K256" s="58">
        <f>IF(OR(H256="",J256=""),"",H256*J256)</f>
        <v/>
      </c>
      <c r="L256" s="63" t="n"/>
      <c r="M256" s="63" t="n"/>
      <c r="N256" s="63" t="n"/>
      <c r="O256" s="58">
        <f>IF(K256="","",K256-IF(L256="",0,L256)+IF(M256="",0,M256)+IF(N256="",0,N256))</f>
        <v/>
      </c>
    </row>
    <row r="257" ht="15.75" customHeight="1" s="99">
      <c r="A257" s="47" t="n"/>
      <c r="B257" s="45" t="n"/>
      <c r="C257" s="47" t="n"/>
      <c r="D257" s="47" t="n"/>
      <c r="E257" s="47" t="n"/>
      <c r="F257" s="47" t="n"/>
      <c r="G257" s="47" t="n"/>
      <c r="H257" s="48" t="n"/>
      <c r="I257" s="47" t="n"/>
      <c r="J257" s="49" t="n"/>
      <c r="K257" s="50">
        <f>IF(OR(H257="",J257=""),"",H257*J257)</f>
        <v/>
      </c>
      <c r="L257" s="62" t="n"/>
      <c r="M257" s="62" t="n"/>
      <c r="N257" s="62" t="n"/>
      <c r="O257" s="50">
        <f>IF(K257="","",K257-IF(L257="",0,L257)+IF(M257="",0,M257)+IF(N257="",0,N257))</f>
        <v/>
      </c>
    </row>
    <row r="258" ht="15.75" customHeight="1" s="99">
      <c r="A258" s="55" t="n"/>
      <c r="B258" s="53" t="n"/>
      <c r="C258" s="55" t="n"/>
      <c r="D258" s="55" t="n"/>
      <c r="E258" s="55" t="n"/>
      <c r="F258" s="55" t="n"/>
      <c r="G258" s="55" t="n"/>
      <c r="H258" s="56" t="n"/>
      <c r="I258" s="55" t="n"/>
      <c r="J258" s="57" t="n"/>
      <c r="K258" s="58">
        <f>IF(OR(H258="",J258=""),"",H258*J258)</f>
        <v/>
      </c>
      <c r="L258" s="63" t="n"/>
      <c r="M258" s="63" t="n"/>
      <c r="N258" s="63" t="n"/>
      <c r="O258" s="58">
        <f>IF(K258="","",K258-IF(L258="",0,L258)+IF(M258="",0,M258)+IF(N258="",0,N258))</f>
        <v/>
      </c>
    </row>
    <row r="259" ht="15.75" customHeight="1" s="99">
      <c r="A259" s="47" t="n"/>
      <c r="B259" s="45" t="n"/>
      <c r="C259" s="47" t="n"/>
      <c r="D259" s="47" t="n"/>
      <c r="E259" s="47" t="n"/>
      <c r="F259" s="47" t="n"/>
      <c r="G259" s="47" t="n"/>
      <c r="H259" s="48" t="n"/>
      <c r="I259" s="47" t="n"/>
      <c r="J259" s="49" t="n"/>
      <c r="K259" s="50">
        <f>IF(OR(H259="",J259=""),"",H259*J259)</f>
        <v/>
      </c>
      <c r="L259" s="62" t="n"/>
      <c r="M259" s="62" t="n"/>
      <c r="N259" s="62" t="n"/>
      <c r="O259" s="50">
        <f>IF(K259="","",K259-IF(L259="",0,L259)+IF(M259="",0,M259)+IF(N259="",0,N259))</f>
        <v/>
      </c>
    </row>
    <row r="260" ht="15.75" customHeight="1" s="99">
      <c r="A260" s="55" t="n"/>
      <c r="B260" s="53" t="n"/>
      <c r="C260" s="55" t="n"/>
      <c r="D260" s="55" t="n"/>
      <c r="E260" s="55" t="n"/>
      <c r="F260" s="55" t="n"/>
      <c r="G260" s="55" t="n"/>
      <c r="H260" s="56" t="n"/>
      <c r="I260" s="55" t="n"/>
      <c r="J260" s="57" t="n"/>
      <c r="K260" s="58">
        <f>IF(OR(H260="",J260=""),"",H260*J260)</f>
        <v/>
      </c>
      <c r="L260" s="63" t="n"/>
      <c r="M260" s="63" t="n"/>
      <c r="N260" s="63" t="n"/>
      <c r="O260" s="58">
        <f>IF(K260="","",K260-IF(L260="",0,L260)+IF(M260="",0,M260)+IF(N260="",0,N260))</f>
        <v/>
      </c>
    </row>
    <row r="261" ht="15.75" customHeight="1" s="99">
      <c r="A261" s="47" t="n"/>
      <c r="B261" s="45" t="n"/>
      <c r="C261" s="47" t="n"/>
      <c r="D261" s="47" t="n"/>
      <c r="E261" s="47" t="n"/>
      <c r="F261" s="47" t="n"/>
      <c r="G261" s="47" t="n"/>
      <c r="H261" s="48" t="n"/>
      <c r="I261" s="47" t="n"/>
      <c r="J261" s="49" t="n"/>
      <c r="K261" s="50">
        <f>IF(OR(H261="",J261=""),"",H261*J261)</f>
        <v/>
      </c>
      <c r="L261" s="62" t="n"/>
      <c r="M261" s="62" t="n"/>
      <c r="N261" s="62" t="n"/>
      <c r="O261" s="50">
        <f>IF(K261="","",K261-IF(L261="",0,L261)+IF(M261="",0,M261)+IF(N261="",0,N261))</f>
        <v/>
      </c>
    </row>
    <row r="262" ht="15.75" customHeight="1" s="99">
      <c r="A262" s="55" t="n"/>
      <c r="B262" s="53" t="n"/>
      <c r="C262" s="55" t="n"/>
      <c r="D262" s="55" t="n"/>
      <c r="E262" s="55" t="n"/>
      <c r="F262" s="55" t="n"/>
      <c r="G262" s="55" t="n"/>
      <c r="H262" s="56" t="n"/>
      <c r="I262" s="55" t="n"/>
      <c r="J262" s="57" t="n"/>
      <c r="K262" s="58">
        <f>IF(OR(H262="",J262=""),"",H262*J262)</f>
        <v/>
      </c>
      <c r="L262" s="63" t="n"/>
      <c r="M262" s="63" t="n"/>
      <c r="N262" s="63" t="n"/>
      <c r="O262" s="58">
        <f>IF(K262="","",K262-IF(L262="",0,L262)+IF(M262="",0,M262)+IF(N262="",0,N262))</f>
        <v/>
      </c>
    </row>
    <row r="263" ht="15.75" customHeight="1" s="99">
      <c r="A263" s="47" t="n"/>
      <c r="B263" s="45" t="n"/>
      <c r="C263" s="47" t="n"/>
      <c r="D263" s="47" t="n"/>
      <c r="E263" s="47" t="n"/>
      <c r="F263" s="47" t="n"/>
      <c r="G263" s="47" t="n"/>
      <c r="H263" s="48" t="n"/>
      <c r="I263" s="47" t="n"/>
      <c r="J263" s="49" t="n"/>
      <c r="K263" s="50">
        <f>IF(OR(H263="",J263=""),"",H263*J263)</f>
        <v/>
      </c>
      <c r="L263" s="62" t="n"/>
      <c r="M263" s="62" t="n"/>
      <c r="N263" s="62" t="n"/>
      <c r="O263" s="50">
        <f>IF(K263="","",K263-IF(L263="",0,L263)+IF(M263="",0,M263)+IF(N263="",0,N263))</f>
        <v/>
      </c>
    </row>
    <row r="264" ht="15.75" customHeight="1" s="99">
      <c r="A264" s="55" t="n"/>
      <c r="B264" s="53" t="n"/>
      <c r="C264" s="55" t="n"/>
      <c r="D264" s="55" t="n"/>
      <c r="E264" s="55" t="n"/>
      <c r="F264" s="55" t="n"/>
      <c r="G264" s="55" t="n"/>
      <c r="H264" s="56" t="n"/>
      <c r="I264" s="55" t="n"/>
      <c r="J264" s="57" t="n"/>
      <c r="K264" s="58">
        <f>IF(OR(H264="",J264=""),"",H264*J264)</f>
        <v/>
      </c>
      <c r="L264" s="63" t="n"/>
      <c r="M264" s="63" t="n"/>
      <c r="N264" s="63" t="n"/>
      <c r="O264" s="58">
        <f>IF(K264="","",K264-IF(L264="",0,L264)+IF(M264="",0,M264)+IF(N264="",0,N264))</f>
        <v/>
      </c>
    </row>
    <row r="265" ht="15.75" customHeight="1" s="99">
      <c r="A265" s="47" t="n"/>
      <c r="B265" s="45" t="n"/>
      <c r="C265" s="47" t="n"/>
      <c r="D265" s="47" t="n"/>
      <c r="E265" s="47" t="n"/>
      <c r="F265" s="47" t="n"/>
      <c r="G265" s="47" t="n"/>
      <c r="H265" s="48" t="n"/>
      <c r="I265" s="47" t="n"/>
      <c r="J265" s="49" t="n"/>
      <c r="K265" s="50">
        <f>IF(OR(H265="",J265=""),"",H265*J265)</f>
        <v/>
      </c>
      <c r="L265" s="62" t="n"/>
      <c r="M265" s="62" t="n"/>
      <c r="N265" s="62" t="n"/>
      <c r="O265" s="50">
        <f>IF(K265="","",K265-IF(L265="",0,L265)+IF(M265="",0,M265)+IF(N265="",0,N265))</f>
        <v/>
      </c>
    </row>
    <row r="266" ht="15.75" customHeight="1" s="99">
      <c r="A266" s="55" t="n"/>
      <c r="B266" s="53" t="n"/>
      <c r="C266" s="55" t="n"/>
      <c r="D266" s="55" t="n"/>
      <c r="E266" s="55" t="n"/>
      <c r="F266" s="55" t="n"/>
      <c r="G266" s="55" t="n"/>
      <c r="H266" s="56" t="n"/>
      <c r="I266" s="55" t="n"/>
      <c r="J266" s="57" t="n"/>
      <c r="K266" s="58">
        <f>IF(OR(H266="",J266=""),"",H266*J266)</f>
        <v/>
      </c>
      <c r="L266" s="63" t="n"/>
      <c r="M266" s="63" t="n"/>
      <c r="N266" s="63" t="n"/>
      <c r="O266" s="58">
        <f>IF(K266="","",K266-IF(L266="",0,L266)+IF(M266="",0,M266)+IF(N266="",0,N266))</f>
        <v/>
      </c>
    </row>
    <row r="267" ht="15.75" customHeight="1" s="99">
      <c r="A267" s="47" t="n"/>
      <c r="B267" s="45" t="n"/>
      <c r="C267" s="47" t="n"/>
      <c r="D267" s="47" t="n"/>
      <c r="E267" s="47" t="n"/>
      <c r="F267" s="47" t="n"/>
      <c r="G267" s="47" t="n"/>
      <c r="H267" s="48" t="n"/>
      <c r="I267" s="47" t="n"/>
      <c r="J267" s="49" t="n"/>
      <c r="K267" s="50">
        <f>IF(OR(H267="",J267=""),"",H267*J267)</f>
        <v/>
      </c>
      <c r="L267" s="62" t="n"/>
      <c r="M267" s="62" t="n"/>
      <c r="N267" s="62" t="n"/>
      <c r="O267" s="50">
        <f>IF(K267="","",K267-IF(L267="",0,L267)+IF(M267="",0,M267)+IF(N267="",0,N267))</f>
        <v/>
      </c>
    </row>
    <row r="268" ht="15.75" customHeight="1" s="99">
      <c r="A268" s="55" t="n"/>
      <c r="B268" s="53" t="n"/>
      <c r="C268" s="55" t="n"/>
      <c r="D268" s="55" t="n"/>
      <c r="E268" s="55" t="n"/>
      <c r="F268" s="55" t="n"/>
      <c r="G268" s="55" t="n"/>
      <c r="H268" s="56" t="n"/>
      <c r="I268" s="55" t="n"/>
      <c r="J268" s="57" t="n"/>
      <c r="K268" s="58">
        <f>IF(OR(H268="",J268=""),"",H268*J268)</f>
        <v/>
      </c>
      <c r="L268" s="63" t="n"/>
      <c r="M268" s="63" t="n"/>
      <c r="N268" s="63" t="n"/>
      <c r="O268" s="58">
        <f>IF(K268="","",K268-IF(L268="",0,L268)+IF(M268="",0,M268)+IF(N268="",0,N268))</f>
        <v/>
      </c>
    </row>
    <row r="269" ht="15.75" customHeight="1" s="99">
      <c r="A269" s="47" t="n"/>
      <c r="B269" s="45" t="n"/>
      <c r="C269" s="47" t="n"/>
      <c r="D269" s="47" t="n"/>
      <c r="E269" s="47" t="n"/>
      <c r="F269" s="47" t="n"/>
      <c r="G269" s="47" t="n"/>
      <c r="H269" s="48" t="n"/>
      <c r="I269" s="47" t="n"/>
      <c r="J269" s="49" t="n"/>
      <c r="K269" s="50">
        <f>IF(OR(H269="",J269=""),"",H269*J269)</f>
        <v/>
      </c>
      <c r="L269" s="62" t="n"/>
      <c r="M269" s="62" t="n"/>
      <c r="N269" s="62" t="n"/>
      <c r="O269" s="50">
        <f>IF(K269="","",K269-IF(L269="",0,L269)+IF(M269="",0,M269)+IF(N269="",0,N269))</f>
        <v/>
      </c>
    </row>
    <row r="270" ht="15.75" customHeight="1" s="99">
      <c r="A270" s="55" t="n"/>
      <c r="B270" s="53" t="n"/>
      <c r="C270" s="55" t="n"/>
      <c r="D270" s="55" t="n"/>
      <c r="E270" s="55" t="n"/>
      <c r="F270" s="55" t="n"/>
      <c r="G270" s="55" t="n"/>
      <c r="H270" s="56" t="n"/>
      <c r="I270" s="55" t="n"/>
      <c r="J270" s="57" t="n"/>
      <c r="K270" s="58">
        <f>IF(OR(H270="",J270=""),"",H270*J270)</f>
        <v/>
      </c>
      <c r="L270" s="63" t="n"/>
      <c r="M270" s="63" t="n"/>
      <c r="N270" s="63" t="n"/>
      <c r="O270" s="58">
        <f>IF(K270="","",K270-IF(L270="",0,L270)+IF(M270="",0,M270)+IF(N270="",0,N270))</f>
        <v/>
      </c>
    </row>
    <row r="271" ht="15.75" customHeight="1" s="99">
      <c r="A271" s="47" t="n"/>
      <c r="B271" s="45" t="n"/>
      <c r="C271" s="47" t="n"/>
      <c r="D271" s="47" t="n"/>
      <c r="E271" s="47" t="n"/>
      <c r="F271" s="47" t="n"/>
      <c r="G271" s="47" t="n"/>
      <c r="H271" s="48" t="n"/>
      <c r="I271" s="47" t="n"/>
      <c r="J271" s="49" t="n"/>
      <c r="K271" s="50">
        <f>IF(OR(H271="",J271=""),"",H271*J271)</f>
        <v/>
      </c>
      <c r="L271" s="62" t="n"/>
      <c r="M271" s="62" t="n"/>
      <c r="N271" s="62" t="n"/>
      <c r="O271" s="50">
        <f>IF(K271="","",K271-IF(L271="",0,L271)+IF(M271="",0,M271)+IF(N271="",0,N271))</f>
        <v/>
      </c>
    </row>
    <row r="272" ht="15.75" customHeight="1" s="99">
      <c r="A272" s="55" t="n"/>
      <c r="B272" s="53" t="n"/>
      <c r="C272" s="55" t="n"/>
      <c r="D272" s="55" t="n"/>
      <c r="E272" s="55" t="n"/>
      <c r="F272" s="55" t="n"/>
      <c r="G272" s="55" t="n"/>
      <c r="H272" s="56" t="n"/>
      <c r="I272" s="55" t="n"/>
      <c r="J272" s="57" t="n"/>
      <c r="K272" s="58">
        <f>IF(OR(H272="",J272=""),"",H272*J272)</f>
        <v/>
      </c>
      <c r="L272" s="63" t="n"/>
      <c r="M272" s="63" t="n"/>
      <c r="N272" s="63" t="n"/>
      <c r="O272" s="58">
        <f>IF(K272="","",K272-IF(L272="",0,L272)+IF(M272="",0,M272)+IF(N272="",0,N272))</f>
        <v/>
      </c>
    </row>
    <row r="273" ht="15.75" customHeight="1" s="99">
      <c r="A273" s="47" t="n"/>
      <c r="B273" s="45" t="n"/>
      <c r="C273" s="47" t="n"/>
      <c r="D273" s="47" t="n"/>
      <c r="E273" s="47" t="n"/>
      <c r="F273" s="47" t="n"/>
      <c r="G273" s="47" t="n"/>
      <c r="H273" s="48" t="n"/>
      <c r="I273" s="47" t="n"/>
      <c r="J273" s="49" t="n"/>
      <c r="K273" s="50">
        <f>IF(OR(H273="",J273=""),"",H273*J273)</f>
        <v/>
      </c>
      <c r="L273" s="62" t="n"/>
      <c r="M273" s="62" t="n"/>
      <c r="N273" s="62" t="n"/>
      <c r="O273" s="50">
        <f>IF(K273="","",K273-IF(L273="",0,L273)+IF(M273="",0,M273)+IF(N273="",0,N273))</f>
        <v/>
      </c>
    </row>
    <row r="274" ht="15.75" customHeight="1" s="99">
      <c r="A274" s="55" t="n"/>
      <c r="B274" s="53" t="n"/>
      <c r="C274" s="55" t="n"/>
      <c r="D274" s="55" t="n"/>
      <c r="E274" s="55" t="n"/>
      <c r="F274" s="55" t="n"/>
      <c r="G274" s="55" t="n"/>
      <c r="H274" s="56" t="n"/>
      <c r="I274" s="55" t="n"/>
      <c r="J274" s="57" t="n"/>
      <c r="K274" s="58">
        <f>IF(OR(H274="",J274=""),"",H274*J274)</f>
        <v/>
      </c>
      <c r="L274" s="63" t="n"/>
      <c r="M274" s="63" t="n"/>
      <c r="N274" s="63" t="n"/>
      <c r="O274" s="58">
        <f>IF(K274="","",K274-IF(L274="",0,L274)+IF(M274="",0,M274)+IF(N274="",0,N274))</f>
        <v/>
      </c>
    </row>
    <row r="275" ht="15.75" customHeight="1" s="99">
      <c r="A275" s="47" t="n"/>
      <c r="B275" s="45" t="n"/>
      <c r="C275" s="47" t="n"/>
      <c r="D275" s="47" t="n"/>
      <c r="E275" s="47" t="n"/>
      <c r="F275" s="47" t="n"/>
      <c r="G275" s="47" t="n"/>
      <c r="H275" s="48" t="n"/>
      <c r="I275" s="47" t="n"/>
      <c r="J275" s="49" t="n"/>
      <c r="K275" s="50">
        <f>IF(OR(H275="",J275=""),"",H275*J275)</f>
        <v/>
      </c>
      <c r="L275" s="62" t="n"/>
      <c r="M275" s="62" t="n"/>
      <c r="N275" s="62" t="n"/>
      <c r="O275" s="50">
        <f>IF(K275="","",K275-IF(L275="",0,L275)+IF(M275="",0,M275)+IF(N275="",0,N275))</f>
        <v/>
      </c>
    </row>
    <row r="276" ht="15.75" customHeight="1" s="99">
      <c r="A276" s="55" t="n"/>
      <c r="B276" s="53" t="n"/>
      <c r="C276" s="55" t="n"/>
      <c r="D276" s="55" t="n"/>
      <c r="E276" s="55" t="n"/>
      <c r="F276" s="55" t="n"/>
      <c r="G276" s="55" t="n"/>
      <c r="H276" s="56" t="n"/>
      <c r="I276" s="55" t="n"/>
      <c r="J276" s="57" t="n"/>
      <c r="K276" s="58">
        <f>IF(OR(H276="",J276=""),"",H276*J276)</f>
        <v/>
      </c>
      <c r="L276" s="63" t="n"/>
      <c r="M276" s="63" t="n"/>
      <c r="N276" s="63" t="n"/>
      <c r="O276" s="58">
        <f>IF(K276="","",K276-IF(L276="",0,L276)+IF(M276="",0,M276)+IF(N276="",0,N276))</f>
        <v/>
      </c>
    </row>
    <row r="277" ht="15.75" customHeight="1" s="99">
      <c r="A277" s="47" t="n"/>
      <c r="B277" s="45" t="n"/>
      <c r="C277" s="47" t="n"/>
      <c r="D277" s="47" t="n"/>
      <c r="E277" s="47" t="n"/>
      <c r="F277" s="47" t="n"/>
      <c r="G277" s="47" t="n"/>
      <c r="H277" s="48" t="n"/>
      <c r="I277" s="47" t="n"/>
      <c r="J277" s="49" t="n"/>
      <c r="K277" s="50">
        <f>IF(OR(H277="",J277=""),"",H277*J277)</f>
        <v/>
      </c>
      <c r="L277" s="62" t="n"/>
      <c r="M277" s="62" t="n"/>
      <c r="N277" s="62" t="n"/>
      <c r="O277" s="50">
        <f>IF(K277="","",K277-IF(L277="",0,L277)+IF(M277="",0,M277)+IF(N277="",0,N277))</f>
        <v/>
      </c>
    </row>
    <row r="278" ht="15.75" customHeight="1" s="99">
      <c r="A278" s="55" t="n"/>
      <c r="B278" s="53" t="n"/>
      <c r="C278" s="55" t="n"/>
      <c r="D278" s="55" t="n"/>
      <c r="E278" s="55" t="n"/>
      <c r="F278" s="55" t="n"/>
      <c r="G278" s="55" t="n"/>
      <c r="H278" s="56" t="n"/>
      <c r="I278" s="55" t="n"/>
      <c r="J278" s="57" t="n"/>
      <c r="K278" s="58">
        <f>IF(OR(H278="",J278=""),"",H278*J278)</f>
        <v/>
      </c>
      <c r="L278" s="63" t="n"/>
      <c r="M278" s="63" t="n"/>
      <c r="N278" s="63" t="n"/>
      <c r="O278" s="58">
        <f>IF(K278="","",K278-IF(L278="",0,L278)+IF(M278="",0,M278)+IF(N278="",0,N278))</f>
        <v/>
      </c>
    </row>
    <row r="279" ht="15.75" customHeight="1" s="99">
      <c r="A279" s="47" t="n"/>
      <c r="B279" s="45" t="n"/>
      <c r="C279" s="47" t="n"/>
      <c r="D279" s="47" t="n"/>
      <c r="E279" s="47" t="n"/>
      <c r="F279" s="47" t="n"/>
      <c r="G279" s="47" t="n"/>
      <c r="H279" s="48" t="n"/>
      <c r="I279" s="47" t="n"/>
      <c r="J279" s="49" t="n"/>
      <c r="K279" s="50">
        <f>IF(OR(H279="",J279=""),"",H279*J279)</f>
        <v/>
      </c>
      <c r="L279" s="62" t="n"/>
      <c r="M279" s="62" t="n"/>
      <c r="N279" s="62" t="n"/>
      <c r="O279" s="50">
        <f>IF(K279="","",K279-IF(L279="",0,L279)+IF(M279="",0,M279)+IF(N279="",0,N279))</f>
        <v/>
      </c>
    </row>
    <row r="280" ht="15.75" customHeight="1" s="99">
      <c r="A280" s="55" t="n"/>
      <c r="B280" s="53" t="n"/>
      <c r="C280" s="55" t="n"/>
      <c r="D280" s="55" t="n"/>
      <c r="E280" s="55" t="n"/>
      <c r="F280" s="55" t="n"/>
      <c r="G280" s="55" t="n"/>
      <c r="H280" s="56" t="n"/>
      <c r="I280" s="55" t="n"/>
      <c r="J280" s="57" t="n"/>
      <c r="K280" s="58">
        <f>IF(OR(H280="",J280=""),"",H280*J280)</f>
        <v/>
      </c>
      <c r="L280" s="63" t="n"/>
      <c r="M280" s="63" t="n"/>
      <c r="N280" s="63" t="n"/>
      <c r="O280" s="58">
        <f>IF(K280="","",K280-IF(L280="",0,L280)+IF(M280="",0,M280)+IF(N280="",0,N280))</f>
        <v/>
      </c>
    </row>
    <row r="281" ht="15.75" customHeight="1" s="99">
      <c r="A281" s="47" t="n"/>
      <c r="B281" s="45" t="n"/>
      <c r="C281" s="47" t="n"/>
      <c r="D281" s="47" t="n"/>
      <c r="E281" s="47" t="n"/>
      <c r="F281" s="47" t="n"/>
      <c r="G281" s="47" t="n"/>
      <c r="H281" s="48" t="n"/>
      <c r="I281" s="47" t="n"/>
      <c r="J281" s="49" t="n"/>
      <c r="K281" s="50">
        <f>IF(OR(H281="",J281=""),"",H281*J281)</f>
        <v/>
      </c>
      <c r="L281" s="62" t="n"/>
      <c r="M281" s="62" t="n"/>
      <c r="N281" s="62" t="n"/>
      <c r="O281" s="50">
        <f>IF(K281="","",K281-IF(L281="",0,L281)+IF(M281="",0,M281)+IF(N281="",0,N281))</f>
        <v/>
      </c>
    </row>
    <row r="282" ht="15.75" customHeight="1" s="99">
      <c r="A282" s="55" t="n"/>
      <c r="B282" s="53" t="n"/>
      <c r="C282" s="55" t="n"/>
      <c r="D282" s="55" t="n"/>
      <c r="E282" s="55" t="n"/>
      <c r="F282" s="55" t="n"/>
      <c r="G282" s="55" t="n"/>
      <c r="H282" s="56" t="n"/>
      <c r="I282" s="55" t="n"/>
      <c r="J282" s="57" t="n"/>
      <c r="K282" s="58">
        <f>IF(OR(H282="",J282=""),"",H282*J282)</f>
        <v/>
      </c>
      <c r="L282" s="63" t="n"/>
      <c r="M282" s="63" t="n"/>
      <c r="N282" s="63" t="n"/>
      <c r="O282" s="58">
        <f>IF(K282="","",K282-IF(L282="",0,L282)+IF(M282="",0,M282)+IF(N282="",0,N282))</f>
        <v/>
      </c>
    </row>
    <row r="283" ht="15.75" customHeight="1" s="99">
      <c r="A283" s="47" t="n"/>
      <c r="B283" s="45" t="n"/>
      <c r="C283" s="47" t="n"/>
      <c r="D283" s="47" t="n"/>
      <c r="E283" s="47" t="n"/>
      <c r="F283" s="47" t="n"/>
      <c r="G283" s="47" t="n"/>
      <c r="H283" s="48" t="n"/>
      <c r="I283" s="47" t="n"/>
      <c r="J283" s="49" t="n"/>
      <c r="K283" s="50">
        <f>IF(OR(H283="",J283=""),"",H283*J283)</f>
        <v/>
      </c>
      <c r="L283" s="62" t="n"/>
      <c r="M283" s="62" t="n"/>
      <c r="N283" s="62" t="n"/>
      <c r="O283" s="50">
        <f>IF(K283="","",K283-IF(L283="",0,L283)+IF(M283="",0,M283)+IF(N283="",0,N283))</f>
        <v/>
      </c>
    </row>
    <row r="284" ht="15.75" customHeight="1" s="99">
      <c r="A284" s="55" t="n"/>
      <c r="B284" s="53" t="n"/>
      <c r="C284" s="55" t="n"/>
      <c r="D284" s="55" t="n"/>
      <c r="E284" s="55" t="n"/>
      <c r="F284" s="55" t="n"/>
      <c r="G284" s="55" t="n"/>
      <c r="H284" s="56" t="n"/>
      <c r="I284" s="55" t="n"/>
      <c r="J284" s="57" t="n"/>
      <c r="K284" s="58">
        <f>IF(OR(H284="",J284=""),"",H284*J284)</f>
        <v/>
      </c>
      <c r="L284" s="63" t="n"/>
      <c r="M284" s="63" t="n"/>
      <c r="N284" s="63" t="n"/>
      <c r="O284" s="58">
        <f>IF(K284="","",K284-IF(L284="",0,L284)+IF(M284="",0,M284)+IF(N284="",0,N284))</f>
        <v/>
      </c>
    </row>
    <row r="285" ht="15.75" customHeight="1" s="99">
      <c r="A285" s="47" t="n"/>
      <c r="B285" s="45" t="n"/>
      <c r="C285" s="47" t="n"/>
      <c r="D285" s="47" t="n"/>
      <c r="E285" s="47" t="n"/>
      <c r="F285" s="47" t="n"/>
      <c r="G285" s="47" t="n"/>
      <c r="H285" s="48" t="n"/>
      <c r="I285" s="47" t="n"/>
      <c r="J285" s="49" t="n"/>
      <c r="K285" s="50">
        <f>IF(OR(H285="",J285=""),"",H285*J285)</f>
        <v/>
      </c>
      <c r="L285" s="62" t="n"/>
      <c r="M285" s="62" t="n"/>
      <c r="N285" s="62" t="n"/>
      <c r="O285" s="50">
        <f>IF(K285="","",K285-IF(L285="",0,L285)+IF(M285="",0,M285)+IF(N285="",0,N285))</f>
        <v/>
      </c>
    </row>
    <row r="286" ht="15.75" customHeight="1" s="99">
      <c r="A286" s="55" t="n"/>
      <c r="B286" s="53" t="n"/>
      <c r="C286" s="55" t="n"/>
      <c r="D286" s="55" t="n"/>
      <c r="E286" s="55" t="n"/>
      <c r="F286" s="55" t="n"/>
      <c r="G286" s="55" t="n"/>
      <c r="H286" s="56" t="n"/>
      <c r="I286" s="55" t="n"/>
      <c r="J286" s="57" t="n"/>
      <c r="K286" s="58">
        <f>IF(OR(H286="",J286=""),"",H286*J286)</f>
        <v/>
      </c>
      <c r="L286" s="63" t="n"/>
      <c r="M286" s="63" t="n"/>
      <c r="N286" s="63" t="n"/>
      <c r="O286" s="58">
        <f>IF(K286="","",K286-IF(L286="",0,L286)+IF(M286="",0,M286)+IF(N286="",0,N286))</f>
        <v/>
      </c>
    </row>
    <row r="287" ht="15.75" customHeight="1" s="99">
      <c r="A287" s="47" t="n"/>
      <c r="B287" s="45" t="n"/>
      <c r="C287" s="47" t="n"/>
      <c r="D287" s="47" t="n"/>
      <c r="E287" s="47" t="n"/>
      <c r="F287" s="47" t="n"/>
      <c r="G287" s="47" t="n"/>
      <c r="H287" s="48" t="n"/>
      <c r="I287" s="47" t="n"/>
      <c r="J287" s="49" t="n"/>
      <c r="K287" s="50">
        <f>IF(OR(H287="",J287=""),"",H287*J287)</f>
        <v/>
      </c>
      <c r="L287" s="62" t="n"/>
      <c r="M287" s="62" t="n"/>
      <c r="N287" s="62" t="n"/>
      <c r="O287" s="50">
        <f>IF(K287="","",K287-IF(L287="",0,L287)+IF(M287="",0,M287)+IF(N287="",0,N287))</f>
        <v/>
      </c>
    </row>
    <row r="288" ht="15.75" customHeight="1" s="99">
      <c r="A288" s="55" t="n"/>
      <c r="B288" s="53" t="n"/>
      <c r="C288" s="55" t="n"/>
      <c r="D288" s="55" t="n"/>
      <c r="E288" s="55" t="n"/>
      <c r="F288" s="55" t="n"/>
      <c r="G288" s="55" t="n"/>
      <c r="H288" s="56" t="n"/>
      <c r="I288" s="55" t="n"/>
      <c r="J288" s="57" t="n"/>
      <c r="K288" s="58">
        <f>IF(OR(H288="",J288=""),"",H288*J288)</f>
        <v/>
      </c>
      <c r="L288" s="63" t="n"/>
      <c r="M288" s="63" t="n"/>
      <c r="N288" s="63" t="n"/>
      <c r="O288" s="58">
        <f>IF(K288="","",K288-IF(L288="",0,L288)+IF(M288="",0,M288)+IF(N288="",0,N288))</f>
        <v/>
      </c>
    </row>
    <row r="289" ht="15.75" customHeight="1" s="99">
      <c r="A289" s="47" t="n"/>
      <c r="B289" s="45" t="n"/>
      <c r="C289" s="47" t="n"/>
      <c r="D289" s="47" t="n"/>
      <c r="E289" s="47" t="n"/>
      <c r="F289" s="47" t="n"/>
      <c r="G289" s="47" t="n"/>
      <c r="H289" s="48" t="n"/>
      <c r="I289" s="47" t="n"/>
      <c r="J289" s="49" t="n"/>
      <c r="K289" s="50">
        <f>IF(OR(H289="",J289=""),"",H289*J289)</f>
        <v/>
      </c>
      <c r="L289" s="62" t="n"/>
      <c r="M289" s="62" t="n"/>
      <c r="N289" s="62" t="n"/>
      <c r="O289" s="50">
        <f>IF(K289="","",K289-IF(L289="",0,L289)+IF(M289="",0,M289)+IF(N289="",0,N289))</f>
        <v/>
      </c>
    </row>
    <row r="290" ht="15.75" customHeight="1" s="99">
      <c r="A290" s="55" t="n"/>
      <c r="B290" s="53" t="n"/>
      <c r="C290" s="55" t="n"/>
      <c r="D290" s="55" t="n"/>
      <c r="E290" s="55" t="n"/>
      <c r="F290" s="55" t="n"/>
      <c r="G290" s="55" t="n"/>
      <c r="H290" s="56" t="n"/>
      <c r="I290" s="55" t="n"/>
      <c r="J290" s="57" t="n"/>
      <c r="K290" s="58">
        <f>IF(OR(H290="",J290=""),"",H290*J290)</f>
        <v/>
      </c>
      <c r="L290" s="63" t="n"/>
      <c r="M290" s="63" t="n"/>
      <c r="N290" s="63" t="n"/>
      <c r="O290" s="58">
        <f>IF(K290="","",K290-IF(L290="",0,L290)+IF(M290="",0,M290)+IF(N290="",0,N290))</f>
        <v/>
      </c>
    </row>
    <row r="291" ht="15.75" customHeight="1" s="99">
      <c r="A291" s="47" t="n"/>
      <c r="B291" s="45" t="n"/>
      <c r="C291" s="47" t="n"/>
      <c r="D291" s="47" t="n"/>
      <c r="E291" s="47" t="n"/>
      <c r="F291" s="47" t="n"/>
      <c r="G291" s="47" t="n"/>
      <c r="H291" s="48" t="n"/>
      <c r="I291" s="47" t="n"/>
      <c r="J291" s="49" t="n"/>
      <c r="K291" s="50">
        <f>IF(OR(H291="",J291=""),"",H291*J291)</f>
        <v/>
      </c>
      <c r="L291" s="62" t="n"/>
      <c r="M291" s="62" t="n"/>
      <c r="N291" s="62" t="n"/>
      <c r="O291" s="50">
        <f>IF(K291="","",K291-IF(L291="",0,L291)+IF(M291="",0,M291)+IF(N291="",0,N291))</f>
        <v/>
      </c>
    </row>
    <row r="292" ht="15.75" customHeight="1" s="99">
      <c r="A292" s="55" t="n"/>
      <c r="B292" s="53" t="n"/>
      <c r="C292" s="55" t="n"/>
      <c r="D292" s="55" t="n"/>
      <c r="E292" s="55" t="n"/>
      <c r="F292" s="55" t="n"/>
      <c r="G292" s="55" t="n"/>
      <c r="H292" s="56" t="n"/>
      <c r="I292" s="55" t="n"/>
      <c r="J292" s="57" t="n"/>
      <c r="K292" s="58">
        <f>IF(OR(H292="",J292=""),"",H292*J292)</f>
        <v/>
      </c>
      <c r="L292" s="63" t="n"/>
      <c r="M292" s="63" t="n"/>
      <c r="N292" s="63" t="n"/>
      <c r="O292" s="58">
        <f>IF(K292="","",K292-IF(L292="",0,L292)+IF(M292="",0,M292)+IF(N292="",0,N292))</f>
        <v/>
      </c>
    </row>
    <row r="293" ht="15.75" customHeight="1" s="99">
      <c r="A293" s="47" t="n"/>
      <c r="B293" s="45" t="n"/>
      <c r="C293" s="47" t="n"/>
      <c r="D293" s="47" t="n"/>
      <c r="E293" s="47" t="n"/>
      <c r="F293" s="47" t="n"/>
      <c r="G293" s="47" t="n"/>
      <c r="H293" s="48" t="n"/>
      <c r="I293" s="47" t="n"/>
      <c r="J293" s="49" t="n"/>
      <c r="K293" s="50">
        <f>IF(OR(H293="",J293=""),"",H293*J293)</f>
        <v/>
      </c>
      <c r="L293" s="62" t="n"/>
      <c r="M293" s="62" t="n"/>
      <c r="N293" s="62" t="n"/>
      <c r="O293" s="50">
        <f>IF(K293="","",K293-IF(L293="",0,L293)+IF(M293="",0,M293)+IF(N293="",0,N293))</f>
        <v/>
      </c>
    </row>
    <row r="294" ht="15.75" customHeight="1" s="99">
      <c r="A294" s="55" t="n"/>
      <c r="B294" s="53" t="n"/>
      <c r="C294" s="55" t="n"/>
      <c r="D294" s="55" t="n"/>
      <c r="E294" s="55" t="n"/>
      <c r="F294" s="55" t="n"/>
      <c r="G294" s="55" t="n"/>
      <c r="H294" s="56" t="n"/>
      <c r="I294" s="55" t="n"/>
      <c r="J294" s="57" t="n"/>
      <c r="K294" s="58">
        <f>IF(OR(H294="",J294=""),"",H294*J294)</f>
        <v/>
      </c>
      <c r="L294" s="63" t="n"/>
      <c r="M294" s="63" t="n"/>
      <c r="N294" s="63" t="n"/>
      <c r="O294" s="58">
        <f>IF(K294="","",K294-IF(L294="",0,L294)+IF(M294="",0,M294)+IF(N294="",0,N294))</f>
        <v/>
      </c>
    </row>
    <row r="295" ht="15.75" customHeight="1" s="99">
      <c r="A295" s="47" t="n"/>
      <c r="B295" s="45" t="n"/>
      <c r="C295" s="47" t="n"/>
      <c r="D295" s="47" t="n"/>
      <c r="E295" s="47" t="n"/>
      <c r="F295" s="47" t="n"/>
      <c r="G295" s="47" t="n"/>
      <c r="H295" s="48" t="n"/>
      <c r="I295" s="47" t="n"/>
      <c r="J295" s="49" t="n"/>
      <c r="K295" s="50">
        <f>IF(OR(H295="",J295=""),"",H295*J295)</f>
        <v/>
      </c>
      <c r="L295" s="62" t="n"/>
      <c r="M295" s="62" t="n"/>
      <c r="N295" s="62" t="n"/>
      <c r="O295" s="50">
        <f>IF(K295="","",K295-IF(L295="",0,L295)+IF(M295="",0,M295)+IF(N295="",0,N295))</f>
        <v/>
      </c>
    </row>
    <row r="296" ht="15.75" customHeight="1" s="99">
      <c r="A296" s="55" t="n"/>
      <c r="B296" s="53" t="n"/>
      <c r="C296" s="55" t="n"/>
      <c r="D296" s="55" t="n"/>
      <c r="E296" s="55" t="n"/>
      <c r="F296" s="55" t="n"/>
      <c r="G296" s="55" t="n"/>
      <c r="H296" s="56" t="n"/>
      <c r="I296" s="55" t="n"/>
      <c r="J296" s="57" t="n"/>
      <c r="K296" s="58">
        <f>IF(OR(H296="",J296=""),"",H296*J296)</f>
        <v/>
      </c>
      <c r="L296" s="63" t="n"/>
      <c r="M296" s="63" t="n"/>
      <c r="N296" s="63" t="n"/>
      <c r="O296" s="58">
        <f>IF(K296="","",K296-IF(L296="",0,L296)+IF(M296="",0,M296)+IF(N296="",0,N296))</f>
        <v/>
      </c>
    </row>
    <row r="297" ht="15.75" customHeight="1" s="99">
      <c r="A297" s="47" t="n"/>
      <c r="B297" s="45" t="n"/>
      <c r="C297" s="47" t="n"/>
      <c r="D297" s="47" t="n"/>
      <c r="E297" s="47" t="n"/>
      <c r="F297" s="47" t="n"/>
      <c r="G297" s="47" t="n"/>
      <c r="H297" s="48" t="n"/>
      <c r="I297" s="47" t="n"/>
      <c r="J297" s="49" t="n"/>
      <c r="K297" s="50">
        <f>IF(OR(H297="",J297=""),"",H297*J297)</f>
        <v/>
      </c>
      <c r="L297" s="62" t="n"/>
      <c r="M297" s="62" t="n"/>
      <c r="N297" s="62" t="n"/>
      <c r="O297" s="50">
        <f>IF(K297="","",K297-IF(L297="",0,L297)+IF(M297="",0,M297)+IF(N297="",0,N297))</f>
        <v/>
      </c>
    </row>
    <row r="298" ht="15.75" customHeight="1" s="99">
      <c r="A298" s="55" t="n"/>
      <c r="B298" s="53" t="n"/>
      <c r="C298" s="55" t="n"/>
      <c r="D298" s="55" t="n"/>
      <c r="E298" s="55" t="n"/>
      <c r="F298" s="55" t="n"/>
      <c r="G298" s="55" t="n"/>
      <c r="H298" s="56" t="n"/>
      <c r="I298" s="55" t="n"/>
      <c r="J298" s="57" t="n"/>
      <c r="K298" s="58">
        <f>IF(OR(H298="",J298=""),"",H298*J298)</f>
        <v/>
      </c>
      <c r="L298" s="63" t="n"/>
      <c r="M298" s="63" t="n"/>
      <c r="N298" s="63" t="n"/>
      <c r="O298" s="58">
        <f>IF(K298="","",K298-IF(L298="",0,L298)+IF(M298="",0,M298)+IF(N298="",0,N298))</f>
        <v/>
      </c>
    </row>
    <row r="299" ht="15.75" customHeight="1" s="99">
      <c r="A299" s="47" t="n"/>
      <c r="B299" s="45" t="n"/>
      <c r="C299" s="47" t="n"/>
      <c r="D299" s="47" t="n"/>
      <c r="E299" s="47" t="n"/>
      <c r="F299" s="47" t="n"/>
      <c r="G299" s="47" t="n"/>
      <c r="H299" s="48" t="n"/>
      <c r="I299" s="47" t="n"/>
      <c r="J299" s="49" t="n"/>
      <c r="K299" s="50">
        <f>IF(OR(H299="",J299=""),"",H299*J299)</f>
        <v/>
      </c>
      <c r="L299" s="62" t="n"/>
      <c r="M299" s="62" t="n"/>
      <c r="N299" s="62" t="n"/>
      <c r="O299" s="50">
        <f>IF(K299="","",K299-IF(L299="",0,L299)+IF(M299="",0,M299)+IF(N299="",0,N299))</f>
        <v/>
      </c>
    </row>
    <row r="300" ht="15.75" customHeight="1" s="99">
      <c r="A300" s="55" t="n"/>
      <c r="B300" s="53" t="n"/>
      <c r="C300" s="55" t="n"/>
      <c r="D300" s="55" t="n"/>
      <c r="E300" s="55" t="n"/>
      <c r="F300" s="55" t="n"/>
      <c r="G300" s="55" t="n"/>
      <c r="H300" s="56" t="n"/>
      <c r="I300" s="55" t="n"/>
      <c r="J300" s="57" t="n"/>
      <c r="K300" s="58">
        <f>IF(OR(H300="",J300=""),"",H300*J300)</f>
        <v/>
      </c>
      <c r="L300" s="63" t="n"/>
      <c r="M300" s="63" t="n"/>
      <c r="N300" s="63" t="n"/>
      <c r="O300" s="58">
        <f>IF(K300="","",K300-IF(L300="",0,L300)+IF(M300="",0,M300)+IF(N300="",0,N300))</f>
        <v/>
      </c>
    </row>
    <row r="301" ht="15.75" customHeight="1" s="99">
      <c r="A301" s="47" t="n"/>
      <c r="B301" s="45" t="n"/>
      <c r="C301" s="47" t="n"/>
      <c r="D301" s="47" t="n"/>
      <c r="E301" s="47" t="n"/>
      <c r="F301" s="47" t="n"/>
      <c r="G301" s="47" t="n"/>
      <c r="H301" s="48" t="n"/>
      <c r="I301" s="47" t="n"/>
      <c r="J301" s="49" t="n"/>
      <c r="K301" s="50">
        <f>IF(OR(H301="",J301=""),"",H301*J301)</f>
        <v/>
      </c>
      <c r="L301" s="62" t="n"/>
      <c r="M301" s="62" t="n"/>
      <c r="N301" s="62" t="n"/>
      <c r="O301" s="50">
        <f>IF(K301="","",K301-IF(L301="",0,L301)+IF(M301="",0,M301)+IF(N301="",0,N301))</f>
        <v/>
      </c>
    </row>
    <row r="302" ht="15.75" customHeight="1" s="99">
      <c r="A302" s="55" t="n"/>
      <c r="B302" s="53" t="n"/>
      <c r="C302" s="55" t="n"/>
      <c r="D302" s="55" t="n"/>
      <c r="E302" s="55" t="n"/>
      <c r="F302" s="55" t="n"/>
      <c r="G302" s="55" t="n"/>
      <c r="H302" s="56" t="n"/>
      <c r="I302" s="55" t="n"/>
      <c r="J302" s="57" t="n"/>
      <c r="K302" s="58">
        <f>IF(OR(H302="",J302=""),"",H302*J302)</f>
        <v/>
      </c>
      <c r="L302" s="63" t="n"/>
      <c r="M302" s="63" t="n"/>
      <c r="N302" s="63" t="n"/>
      <c r="O302" s="58">
        <f>IF(K302="","",K302-IF(L302="",0,L302)+IF(M302="",0,M302)+IF(N302="",0,N302))</f>
        <v/>
      </c>
    </row>
    <row r="303" ht="15.75" customHeight="1" s="99">
      <c r="A303" s="47" t="n"/>
      <c r="B303" s="45" t="n"/>
      <c r="C303" s="47" t="n"/>
      <c r="D303" s="47" t="n"/>
      <c r="E303" s="47" t="n"/>
      <c r="F303" s="47" t="n"/>
      <c r="G303" s="47" t="n"/>
      <c r="H303" s="48" t="n"/>
      <c r="I303" s="47" t="n"/>
      <c r="J303" s="49" t="n"/>
      <c r="K303" s="50">
        <f>IF(OR(H303="",J303=""),"",H303*J303)</f>
        <v/>
      </c>
      <c r="L303" s="62" t="n"/>
      <c r="M303" s="62" t="n"/>
      <c r="N303" s="62" t="n"/>
      <c r="O303" s="50">
        <f>IF(K303="","",K303-IF(L303="",0,L303)+IF(M303="",0,M303)+IF(N303="",0,N303))</f>
        <v/>
      </c>
    </row>
    <row r="304" ht="15.75" customHeight="1" s="99">
      <c r="A304" s="55" t="n"/>
      <c r="B304" s="53" t="n"/>
      <c r="C304" s="55" t="n"/>
      <c r="D304" s="55" t="n"/>
      <c r="E304" s="55" t="n"/>
      <c r="F304" s="55" t="n"/>
      <c r="G304" s="55" t="n"/>
      <c r="H304" s="56" t="n"/>
      <c r="I304" s="55" t="n"/>
      <c r="J304" s="57" t="n"/>
      <c r="K304" s="58">
        <f>IF(OR(H304="",J304=""),"",H304*J304)</f>
        <v/>
      </c>
      <c r="L304" s="63" t="n"/>
      <c r="M304" s="63" t="n"/>
      <c r="N304" s="63" t="n"/>
      <c r="O304" s="58">
        <f>IF(K304="","",K304-IF(L304="",0,L304)+IF(M304="",0,M304)+IF(N304="",0,N304))</f>
        <v/>
      </c>
    </row>
    <row r="305" ht="15.75" customHeight="1" s="99">
      <c r="A305" s="47" t="n"/>
      <c r="B305" s="45" t="n"/>
      <c r="C305" s="47" t="n"/>
      <c r="D305" s="47" t="n"/>
      <c r="E305" s="47" t="n"/>
      <c r="F305" s="47" t="n"/>
      <c r="G305" s="47" t="n"/>
      <c r="H305" s="48" t="n"/>
      <c r="I305" s="47" t="n"/>
      <c r="J305" s="49" t="n"/>
      <c r="K305" s="50">
        <f>IF(OR(H305="",J305=""),"",H305*J305)</f>
        <v/>
      </c>
      <c r="L305" s="62" t="n"/>
      <c r="M305" s="62" t="n"/>
      <c r="N305" s="62" t="n"/>
      <c r="O305" s="50">
        <f>IF(K305="","",K305-IF(L305="",0,L305)+IF(M305="",0,M305)+IF(N305="",0,N305))</f>
        <v/>
      </c>
    </row>
    <row r="306" ht="15.75" customHeight="1" s="99">
      <c r="A306" s="55" t="n"/>
      <c r="B306" s="53" t="n"/>
      <c r="C306" s="55" t="n"/>
      <c r="D306" s="55" t="n"/>
      <c r="E306" s="55" t="n"/>
      <c r="F306" s="55" t="n"/>
      <c r="G306" s="55" t="n"/>
      <c r="H306" s="56" t="n"/>
      <c r="I306" s="55" t="n"/>
      <c r="J306" s="57" t="n"/>
      <c r="K306" s="58">
        <f>IF(OR(H306="",J306=""),"",H306*J306)</f>
        <v/>
      </c>
      <c r="L306" s="63" t="n"/>
      <c r="M306" s="63" t="n"/>
      <c r="N306" s="63" t="n"/>
      <c r="O306" s="58">
        <f>IF(K306="","",K306-IF(L306="",0,L306)+IF(M306="",0,M306)+IF(N306="",0,N306))</f>
        <v/>
      </c>
    </row>
    <row r="307" ht="15.75" customHeight="1" s="99">
      <c r="A307" s="47" t="n"/>
      <c r="B307" s="45" t="n"/>
      <c r="C307" s="47" t="n"/>
      <c r="D307" s="47" t="n"/>
      <c r="E307" s="47" t="n"/>
      <c r="F307" s="47" t="n"/>
      <c r="G307" s="47" t="n"/>
      <c r="H307" s="48" t="n"/>
      <c r="I307" s="47" t="n"/>
      <c r="J307" s="49" t="n"/>
      <c r="K307" s="50">
        <f>IF(OR(H307="",J307=""),"",H307*J307)</f>
        <v/>
      </c>
      <c r="L307" s="62" t="n"/>
      <c r="M307" s="62" t="n"/>
      <c r="N307" s="62" t="n"/>
      <c r="O307" s="50">
        <f>IF(K307="","",K307-IF(L307="",0,L307)+IF(M307="",0,M307)+IF(N307="",0,N307))</f>
        <v/>
      </c>
    </row>
    <row r="308" ht="15.75" customHeight="1" s="99">
      <c r="A308" s="55" t="n"/>
      <c r="B308" s="53" t="n"/>
      <c r="C308" s="55" t="n"/>
      <c r="D308" s="55" t="n"/>
      <c r="E308" s="55" t="n"/>
      <c r="F308" s="55" t="n"/>
      <c r="G308" s="55" t="n"/>
      <c r="H308" s="56" t="n"/>
      <c r="I308" s="55" t="n"/>
      <c r="J308" s="57" t="n"/>
      <c r="K308" s="58">
        <f>IF(OR(H308="",J308=""),"",H308*J308)</f>
        <v/>
      </c>
      <c r="L308" s="63" t="n"/>
      <c r="M308" s="63" t="n"/>
      <c r="N308" s="63" t="n"/>
      <c r="O308" s="58">
        <f>IF(K308="","",K308-IF(L308="",0,L308)+IF(M308="",0,M308)+IF(N308="",0,N308))</f>
        <v/>
      </c>
    </row>
    <row r="309" ht="15.75" customHeight="1" s="99">
      <c r="A309" s="47" t="n"/>
      <c r="B309" s="45" t="n"/>
      <c r="C309" s="47" t="n"/>
      <c r="D309" s="47" t="n"/>
      <c r="E309" s="47" t="n"/>
      <c r="F309" s="47" t="n"/>
      <c r="G309" s="47" t="n"/>
      <c r="H309" s="48" t="n"/>
      <c r="I309" s="47" t="n"/>
      <c r="J309" s="49" t="n"/>
      <c r="K309" s="50">
        <f>IF(OR(H309="",J309=""),"",H309*J309)</f>
        <v/>
      </c>
      <c r="L309" s="62" t="n"/>
      <c r="M309" s="62" t="n"/>
      <c r="N309" s="62" t="n"/>
      <c r="O309" s="50">
        <f>IF(K309="","",K309-IF(L309="",0,L309)+IF(M309="",0,M309)+IF(N309="",0,N309))</f>
        <v/>
      </c>
    </row>
    <row r="310" ht="15.75" customHeight="1" s="99">
      <c r="A310" s="55" t="n"/>
      <c r="B310" s="53" t="n"/>
      <c r="C310" s="55" t="n"/>
      <c r="D310" s="55" t="n"/>
      <c r="E310" s="55" t="n"/>
      <c r="F310" s="55" t="n"/>
      <c r="G310" s="55" t="n"/>
      <c r="H310" s="56" t="n"/>
      <c r="I310" s="55" t="n"/>
      <c r="J310" s="57" t="n"/>
      <c r="K310" s="58">
        <f>IF(OR(H310="",J310=""),"",H310*J310)</f>
        <v/>
      </c>
      <c r="L310" s="63" t="n"/>
      <c r="M310" s="63" t="n"/>
      <c r="N310" s="63" t="n"/>
      <c r="O310" s="58">
        <f>IF(K310="","",K310-IF(L310="",0,L310)+IF(M310="",0,M310)+IF(N310="",0,N310))</f>
        <v/>
      </c>
    </row>
    <row r="311" ht="15.75" customHeight="1" s="99">
      <c r="A311" s="47" t="n"/>
      <c r="B311" s="45" t="n"/>
      <c r="C311" s="47" t="n"/>
      <c r="D311" s="47" t="n"/>
      <c r="E311" s="47" t="n"/>
      <c r="F311" s="47" t="n"/>
      <c r="G311" s="47" t="n"/>
      <c r="H311" s="48" t="n"/>
      <c r="I311" s="47" t="n"/>
      <c r="J311" s="49" t="n"/>
      <c r="K311" s="50">
        <f>IF(OR(H311="",J311=""),"",H311*J311)</f>
        <v/>
      </c>
      <c r="L311" s="62" t="n"/>
      <c r="M311" s="62" t="n"/>
      <c r="N311" s="62" t="n"/>
      <c r="O311" s="50">
        <f>IF(K311="","",K311-IF(L311="",0,L311)+IF(M311="",0,M311)+IF(N311="",0,N311))</f>
        <v/>
      </c>
    </row>
    <row r="312" ht="15.75" customHeight="1" s="99">
      <c r="A312" s="55" t="n"/>
      <c r="B312" s="53" t="n"/>
      <c r="C312" s="55" t="n"/>
      <c r="D312" s="55" t="n"/>
      <c r="E312" s="55" t="n"/>
      <c r="F312" s="55" t="n"/>
      <c r="G312" s="55" t="n"/>
      <c r="H312" s="56" t="n"/>
      <c r="I312" s="55" t="n"/>
      <c r="J312" s="57" t="n"/>
      <c r="K312" s="58">
        <f>IF(OR(H312="",J312=""),"",H312*J312)</f>
        <v/>
      </c>
      <c r="L312" s="63" t="n"/>
      <c r="M312" s="63" t="n"/>
      <c r="N312" s="63" t="n"/>
      <c r="O312" s="58">
        <f>IF(K312="","",K312-IF(L312="",0,L312)+IF(M312="",0,M312)+IF(N312="",0,N312))</f>
        <v/>
      </c>
    </row>
    <row r="313" ht="15.75" customHeight="1" s="99">
      <c r="A313" s="47" t="n"/>
      <c r="B313" s="45" t="n"/>
      <c r="C313" s="47" t="n"/>
      <c r="D313" s="47" t="n"/>
      <c r="E313" s="47" t="n"/>
      <c r="F313" s="47" t="n"/>
      <c r="G313" s="47" t="n"/>
      <c r="H313" s="48" t="n"/>
      <c r="I313" s="47" t="n"/>
      <c r="J313" s="49" t="n"/>
      <c r="K313" s="50">
        <f>IF(OR(H313="",J313=""),"",H313*J313)</f>
        <v/>
      </c>
      <c r="L313" s="62" t="n"/>
      <c r="M313" s="62" t="n"/>
      <c r="N313" s="62" t="n"/>
      <c r="O313" s="50">
        <f>IF(K313="","",K313-IF(L313="",0,L313)+IF(M313="",0,M313)+IF(N313="",0,N313))</f>
        <v/>
      </c>
    </row>
    <row r="314" ht="15.75" customHeight="1" s="99">
      <c r="A314" s="55" t="n"/>
      <c r="B314" s="53" t="n"/>
      <c r="C314" s="55" t="n"/>
      <c r="D314" s="55" t="n"/>
      <c r="E314" s="55" t="n"/>
      <c r="F314" s="55" t="n"/>
      <c r="G314" s="55" t="n"/>
      <c r="H314" s="56" t="n"/>
      <c r="I314" s="55" t="n"/>
      <c r="J314" s="57" t="n"/>
      <c r="K314" s="58">
        <f>IF(OR(H314="",J314=""),"",H314*J314)</f>
        <v/>
      </c>
      <c r="L314" s="63" t="n"/>
      <c r="M314" s="63" t="n"/>
      <c r="N314" s="63" t="n"/>
      <c r="O314" s="58">
        <f>IF(K314="","",K314-IF(L314="",0,L314)+IF(M314="",0,M314)+IF(N314="",0,N314))</f>
        <v/>
      </c>
    </row>
    <row r="315" ht="15.75" customHeight="1" s="99">
      <c r="A315" s="47" t="n"/>
      <c r="B315" s="45" t="n"/>
      <c r="C315" s="47" t="n"/>
      <c r="D315" s="47" t="n"/>
      <c r="E315" s="47" t="n"/>
      <c r="F315" s="47" t="n"/>
      <c r="G315" s="47" t="n"/>
      <c r="H315" s="48" t="n"/>
      <c r="I315" s="47" t="n"/>
      <c r="J315" s="49" t="n"/>
      <c r="K315" s="50">
        <f>IF(OR(H315="",J315=""),"",H315*J315)</f>
        <v/>
      </c>
      <c r="L315" s="62" t="n"/>
      <c r="M315" s="62" t="n"/>
      <c r="N315" s="62" t="n"/>
      <c r="O315" s="50">
        <f>IF(K315="","",K315-IF(L315="",0,L315)+IF(M315="",0,M315)+IF(N315="",0,N315))</f>
        <v/>
      </c>
    </row>
    <row r="316" ht="15.75" customHeight="1" s="99">
      <c r="A316" s="55" t="n"/>
      <c r="B316" s="53" t="n"/>
      <c r="C316" s="55" t="n"/>
      <c r="D316" s="55" t="n"/>
      <c r="E316" s="55" t="n"/>
      <c r="F316" s="55" t="n"/>
      <c r="G316" s="55" t="n"/>
      <c r="H316" s="56" t="n"/>
      <c r="I316" s="55" t="n"/>
      <c r="J316" s="57" t="n"/>
      <c r="K316" s="58">
        <f>IF(OR(H316="",J316=""),"",H316*J316)</f>
        <v/>
      </c>
      <c r="L316" s="63" t="n"/>
      <c r="M316" s="63" t="n"/>
      <c r="N316" s="63" t="n"/>
      <c r="O316" s="58">
        <f>IF(K316="","",K316-IF(L316="",0,L316)+IF(M316="",0,M316)+IF(N316="",0,N316))</f>
        <v/>
      </c>
    </row>
    <row r="317" ht="15.75" customHeight="1" s="99">
      <c r="A317" s="47" t="n"/>
      <c r="B317" s="45" t="n"/>
      <c r="C317" s="47" t="n"/>
      <c r="D317" s="47" t="n"/>
      <c r="E317" s="47" t="n"/>
      <c r="F317" s="47" t="n"/>
      <c r="G317" s="47" t="n"/>
      <c r="H317" s="48" t="n"/>
      <c r="I317" s="47" t="n"/>
      <c r="J317" s="49" t="n"/>
      <c r="K317" s="50">
        <f>IF(OR(H317="",J317=""),"",H317*J317)</f>
        <v/>
      </c>
      <c r="L317" s="62" t="n"/>
      <c r="M317" s="62" t="n"/>
      <c r="N317" s="62" t="n"/>
      <c r="O317" s="50">
        <f>IF(K317="","",K317-IF(L317="",0,L317)+IF(M317="",0,M317)+IF(N317="",0,N317))</f>
        <v/>
      </c>
    </row>
    <row r="318" ht="15.75" customHeight="1" s="99">
      <c r="A318" s="55" t="n"/>
      <c r="B318" s="53" t="n"/>
      <c r="C318" s="55" t="n"/>
      <c r="D318" s="55" t="n"/>
      <c r="E318" s="55" t="n"/>
      <c r="F318" s="55" t="n"/>
      <c r="G318" s="55" t="n"/>
      <c r="H318" s="56" t="n"/>
      <c r="I318" s="55" t="n"/>
      <c r="J318" s="57" t="n"/>
      <c r="K318" s="58">
        <f>IF(OR(H318="",J318=""),"",H318*J318)</f>
        <v/>
      </c>
      <c r="L318" s="63" t="n"/>
      <c r="M318" s="63" t="n"/>
      <c r="N318" s="63" t="n"/>
      <c r="O318" s="58">
        <f>IF(K318="","",K318-IF(L318="",0,L318)+IF(M318="",0,M318)+IF(N318="",0,N318))</f>
        <v/>
      </c>
    </row>
    <row r="319" ht="15.75" customHeight="1" s="99">
      <c r="A319" s="47" t="n"/>
      <c r="B319" s="45" t="n"/>
      <c r="C319" s="47" t="n"/>
      <c r="D319" s="47" t="n"/>
      <c r="E319" s="47" t="n"/>
      <c r="F319" s="47" t="n"/>
      <c r="G319" s="47" t="n"/>
      <c r="H319" s="48" t="n"/>
      <c r="I319" s="47" t="n"/>
      <c r="J319" s="49" t="n"/>
      <c r="K319" s="50">
        <f>IF(OR(H319="",J319=""),"",H319*J319)</f>
        <v/>
      </c>
      <c r="L319" s="62" t="n"/>
      <c r="M319" s="62" t="n"/>
      <c r="N319" s="62" t="n"/>
      <c r="O319" s="50">
        <f>IF(K319="","",K319-IF(L319="",0,L319)+IF(M319="",0,M319)+IF(N319="",0,N319))</f>
        <v/>
      </c>
    </row>
    <row r="320" ht="15.75" customHeight="1" s="99">
      <c r="A320" s="55" t="n"/>
      <c r="B320" s="53" t="n"/>
      <c r="C320" s="55" t="n"/>
      <c r="D320" s="55" t="n"/>
      <c r="E320" s="55" t="n"/>
      <c r="F320" s="55" t="n"/>
      <c r="G320" s="55" t="n"/>
      <c r="H320" s="56" t="n"/>
      <c r="I320" s="55" t="n"/>
      <c r="J320" s="57" t="n"/>
      <c r="K320" s="58">
        <f>IF(OR(H320="",J320=""),"",H320*J320)</f>
        <v/>
      </c>
      <c r="L320" s="63" t="n"/>
      <c r="M320" s="63" t="n"/>
      <c r="N320" s="63" t="n"/>
      <c r="O320" s="58">
        <f>IF(K320="","",K320-IF(L320="",0,L320)+IF(M320="",0,M320)+IF(N320="",0,N320))</f>
        <v/>
      </c>
    </row>
    <row r="321" ht="15.75" customHeight="1" s="99">
      <c r="A321" s="47" t="n"/>
      <c r="B321" s="45" t="n"/>
      <c r="C321" s="47" t="n"/>
      <c r="D321" s="47" t="n"/>
      <c r="E321" s="47" t="n"/>
      <c r="F321" s="47" t="n"/>
      <c r="G321" s="47" t="n"/>
      <c r="H321" s="48" t="n"/>
      <c r="I321" s="47" t="n"/>
      <c r="J321" s="49" t="n"/>
      <c r="K321" s="50">
        <f>IF(OR(H321="",J321=""),"",H321*J321)</f>
        <v/>
      </c>
      <c r="L321" s="62" t="n"/>
      <c r="M321" s="62" t="n"/>
      <c r="N321" s="62" t="n"/>
      <c r="O321" s="50">
        <f>IF(K321="","",K321-IF(L321="",0,L321)+IF(M321="",0,M321)+IF(N321="",0,N321))</f>
        <v/>
      </c>
    </row>
    <row r="322" ht="15.75" customHeight="1" s="99">
      <c r="A322" s="55" t="n"/>
      <c r="B322" s="53" t="n"/>
      <c r="C322" s="55" t="n"/>
      <c r="D322" s="55" t="n"/>
      <c r="E322" s="55" t="n"/>
      <c r="F322" s="55" t="n"/>
      <c r="G322" s="55" t="n"/>
      <c r="H322" s="56" t="n"/>
      <c r="I322" s="55" t="n"/>
      <c r="J322" s="57" t="n"/>
      <c r="K322" s="58">
        <f>IF(OR(H322="",J322=""),"",H322*J322)</f>
        <v/>
      </c>
      <c r="L322" s="63" t="n"/>
      <c r="M322" s="63" t="n"/>
      <c r="N322" s="63" t="n"/>
      <c r="O322" s="58">
        <f>IF(K322="","",K322-IF(L322="",0,L322)+IF(M322="",0,M322)+IF(N322="",0,N322))</f>
        <v/>
      </c>
    </row>
    <row r="323" ht="15.75" customHeight="1" s="99">
      <c r="A323" s="47" t="n"/>
      <c r="B323" s="45" t="n"/>
      <c r="C323" s="47" t="n"/>
      <c r="D323" s="47" t="n"/>
      <c r="E323" s="47" t="n"/>
      <c r="F323" s="47" t="n"/>
      <c r="G323" s="47" t="n"/>
      <c r="H323" s="48" t="n"/>
      <c r="I323" s="47" t="n"/>
      <c r="J323" s="49" t="n"/>
      <c r="K323" s="50">
        <f>IF(OR(H323="",J323=""),"",H323*J323)</f>
        <v/>
      </c>
      <c r="L323" s="62" t="n"/>
      <c r="M323" s="62" t="n"/>
      <c r="N323" s="62" t="n"/>
      <c r="O323" s="50">
        <f>IF(K323="","",K323-IF(L323="",0,L323)+IF(M323="",0,M323)+IF(N323="",0,N323))</f>
        <v/>
      </c>
    </row>
    <row r="324" ht="15.75" customHeight="1" s="99">
      <c r="A324" s="55" t="n"/>
      <c r="B324" s="53" t="n"/>
      <c r="C324" s="55" t="n"/>
      <c r="D324" s="55" t="n"/>
      <c r="E324" s="55" t="n"/>
      <c r="F324" s="55" t="n"/>
      <c r="G324" s="55" t="n"/>
      <c r="H324" s="56" t="n"/>
      <c r="I324" s="55" t="n"/>
      <c r="J324" s="57" t="n"/>
      <c r="K324" s="58">
        <f>IF(OR(H324="",J324=""),"",H324*J324)</f>
        <v/>
      </c>
      <c r="L324" s="63" t="n"/>
      <c r="M324" s="63" t="n"/>
      <c r="N324" s="63" t="n"/>
      <c r="O324" s="58">
        <f>IF(K324="","",K324-IF(L324="",0,L324)+IF(M324="",0,M324)+IF(N324="",0,N324))</f>
        <v/>
      </c>
    </row>
    <row r="325" ht="15.75" customHeight="1" s="99">
      <c r="A325" s="47" t="n"/>
      <c r="B325" s="45" t="n"/>
      <c r="C325" s="47" t="n"/>
      <c r="D325" s="47" t="n"/>
      <c r="E325" s="47" t="n"/>
      <c r="F325" s="47" t="n"/>
      <c r="G325" s="47" t="n"/>
      <c r="H325" s="48" t="n"/>
      <c r="I325" s="47" t="n"/>
      <c r="J325" s="49" t="n"/>
      <c r="K325" s="50">
        <f>IF(OR(H325="",J325=""),"",H325*J325)</f>
        <v/>
      </c>
      <c r="L325" s="62" t="n"/>
      <c r="M325" s="62" t="n"/>
      <c r="N325" s="62" t="n"/>
      <c r="O325" s="50">
        <f>IF(K325="","",K325-IF(L325="",0,L325)+IF(M325="",0,M325)+IF(N325="",0,N325))</f>
        <v/>
      </c>
    </row>
    <row r="326" ht="15.75" customHeight="1" s="99">
      <c r="A326" s="55" t="n"/>
      <c r="B326" s="53" t="n"/>
      <c r="C326" s="55" t="n"/>
      <c r="D326" s="55" t="n"/>
      <c r="E326" s="55" t="n"/>
      <c r="F326" s="55" t="n"/>
      <c r="G326" s="55" t="n"/>
      <c r="H326" s="56" t="n"/>
      <c r="I326" s="55" t="n"/>
      <c r="J326" s="57" t="n"/>
      <c r="K326" s="58">
        <f>IF(OR(H326="",J326=""),"",H326*J326)</f>
        <v/>
      </c>
      <c r="L326" s="63" t="n"/>
      <c r="M326" s="63" t="n"/>
      <c r="N326" s="63" t="n"/>
      <c r="O326" s="58">
        <f>IF(K326="","",K326-IF(L326="",0,L326)+IF(M326="",0,M326)+IF(N326="",0,N326))</f>
        <v/>
      </c>
    </row>
    <row r="327" ht="15.75" customHeight="1" s="99">
      <c r="A327" s="47" t="n"/>
      <c r="B327" s="45" t="n"/>
      <c r="C327" s="47" t="n"/>
      <c r="D327" s="47" t="n"/>
      <c r="E327" s="47" t="n"/>
      <c r="F327" s="47" t="n"/>
      <c r="G327" s="47" t="n"/>
      <c r="H327" s="48" t="n"/>
      <c r="I327" s="47" t="n"/>
      <c r="J327" s="49" t="n"/>
      <c r="K327" s="50">
        <f>IF(OR(H327="",J327=""),"",H327*J327)</f>
        <v/>
      </c>
      <c r="L327" s="62" t="n"/>
      <c r="M327" s="62" t="n"/>
      <c r="N327" s="62" t="n"/>
      <c r="O327" s="50">
        <f>IF(K327="","",K327-IF(L327="",0,L327)+IF(M327="",0,M327)+IF(N327="",0,N327))</f>
        <v/>
      </c>
    </row>
    <row r="328" ht="15.75" customHeight="1" s="99">
      <c r="A328" s="55" t="n"/>
      <c r="B328" s="53" t="n"/>
      <c r="C328" s="55" t="n"/>
      <c r="D328" s="55" t="n"/>
      <c r="E328" s="55" t="n"/>
      <c r="F328" s="55" t="n"/>
      <c r="G328" s="55" t="n"/>
      <c r="H328" s="56" t="n"/>
      <c r="I328" s="55" t="n"/>
      <c r="J328" s="57" t="n"/>
      <c r="K328" s="58">
        <f>IF(OR(H328="",J328=""),"",H328*J328)</f>
        <v/>
      </c>
      <c r="L328" s="63" t="n"/>
      <c r="M328" s="63" t="n"/>
      <c r="N328" s="63" t="n"/>
      <c r="O328" s="58">
        <f>IF(K328="","",K328-IF(L328="",0,L328)+IF(M328="",0,M328)+IF(N328="",0,N328))</f>
        <v/>
      </c>
    </row>
    <row r="329" ht="15.75" customHeight="1" s="99">
      <c r="A329" s="47" t="n"/>
      <c r="B329" s="45" t="n"/>
      <c r="C329" s="47" t="n"/>
      <c r="D329" s="47" t="n"/>
      <c r="E329" s="47" t="n"/>
      <c r="F329" s="47" t="n"/>
      <c r="G329" s="47" t="n"/>
      <c r="H329" s="48" t="n"/>
      <c r="I329" s="47" t="n"/>
      <c r="J329" s="49" t="n"/>
      <c r="K329" s="50">
        <f>IF(OR(H329="",J329=""),"",H329*J329)</f>
        <v/>
      </c>
      <c r="L329" s="62" t="n"/>
      <c r="M329" s="62" t="n"/>
      <c r="N329" s="62" t="n"/>
      <c r="O329" s="50">
        <f>IF(K329="","",K329-IF(L329="",0,L329)+IF(M329="",0,M329)+IF(N329="",0,N329))</f>
        <v/>
      </c>
    </row>
    <row r="330" ht="15.75" customHeight="1" s="99">
      <c r="A330" s="55" t="n"/>
      <c r="B330" s="53" t="n"/>
      <c r="C330" s="55" t="n"/>
      <c r="D330" s="55" t="n"/>
      <c r="E330" s="55" t="n"/>
      <c r="F330" s="55" t="n"/>
      <c r="G330" s="55" t="n"/>
      <c r="H330" s="56" t="n"/>
      <c r="I330" s="55" t="n"/>
      <c r="J330" s="57" t="n"/>
      <c r="K330" s="58">
        <f>IF(OR(H330="",J330=""),"",H330*J330)</f>
        <v/>
      </c>
      <c r="L330" s="63" t="n"/>
      <c r="M330" s="63" t="n"/>
      <c r="N330" s="63" t="n"/>
      <c r="O330" s="58">
        <f>IF(K330="","",K330-IF(L330="",0,L330)+IF(M330="",0,M330)+IF(N330="",0,N330))</f>
        <v/>
      </c>
    </row>
    <row r="331" ht="15.75" customHeight="1" s="99">
      <c r="A331" s="47" t="n"/>
      <c r="B331" s="45" t="n"/>
      <c r="C331" s="47" t="n"/>
      <c r="D331" s="47" t="n"/>
      <c r="E331" s="47" t="n"/>
      <c r="F331" s="47" t="n"/>
      <c r="G331" s="47" t="n"/>
      <c r="H331" s="48" t="n"/>
      <c r="I331" s="47" t="n"/>
      <c r="J331" s="49" t="n"/>
      <c r="K331" s="50">
        <f>IF(OR(H331="",J331=""),"",H331*J331)</f>
        <v/>
      </c>
      <c r="L331" s="62" t="n"/>
      <c r="M331" s="62" t="n"/>
      <c r="N331" s="62" t="n"/>
      <c r="O331" s="50">
        <f>IF(K331="","",K331-IF(L331="",0,L331)+IF(M331="",0,M331)+IF(N331="",0,N331))</f>
        <v/>
      </c>
    </row>
    <row r="332" ht="15.75" customHeight="1" s="99">
      <c r="A332" s="55" t="n"/>
      <c r="B332" s="53" t="n"/>
      <c r="C332" s="55" t="n"/>
      <c r="D332" s="55" t="n"/>
      <c r="E332" s="55" t="n"/>
      <c r="F332" s="55" t="n"/>
      <c r="G332" s="55" t="n"/>
      <c r="H332" s="56" t="n"/>
      <c r="I332" s="55" t="n"/>
      <c r="J332" s="57" t="n"/>
      <c r="K332" s="58">
        <f>IF(OR(H332="",J332=""),"",H332*J332)</f>
        <v/>
      </c>
      <c r="L332" s="63" t="n"/>
      <c r="M332" s="63" t="n"/>
      <c r="N332" s="63" t="n"/>
      <c r="O332" s="58">
        <f>IF(K332="","",K332-IF(L332="",0,L332)+IF(M332="",0,M332)+IF(N332="",0,N332))</f>
        <v/>
      </c>
    </row>
    <row r="333" ht="15.75" customHeight="1" s="99">
      <c r="A333" s="47" t="n"/>
      <c r="B333" s="45" t="n"/>
      <c r="C333" s="47" t="n"/>
      <c r="D333" s="47" t="n"/>
      <c r="E333" s="47" t="n"/>
      <c r="F333" s="47" t="n"/>
      <c r="G333" s="47" t="n"/>
      <c r="H333" s="48" t="n"/>
      <c r="I333" s="47" t="n"/>
      <c r="J333" s="49" t="n"/>
      <c r="K333" s="50">
        <f>IF(OR(H333="",J333=""),"",H333*J333)</f>
        <v/>
      </c>
      <c r="L333" s="62" t="n"/>
      <c r="M333" s="62" t="n"/>
      <c r="N333" s="62" t="n"/>
      <c r="O333" s="50">
        <f>IF(K333="","",K333-IF(L333="",0,L333)+IF(M333="",0,M333)+IF(N333="",0,N333))</f>
        <v/>
      </c>
    </row>
    <row r="334" ht="15.75" customHeight="1" s="99">
      <c r="A334" s="55" t="n"/>
      <c r="B334" s="53" t="n"/>
      <c r="C334" s="55" t="n"/>
      <c r="D334" s="55" t="n"/>
      <c r="E334" s="55" t="n"/>
      <c r="F334" s="55" t="n"/>
      <c r="G334" s="55" t="n"/>
      <c r="H334" s="56" t="n"/>
      <c r="I334" s="55" t="n"/>
      <c r="J334" s="57" t="n"/>
      <c r="K334" s="58">
        <f>IF(OR(H334="",J334=""),"",H334*J334)</f>
        <v/>
      </c>
      <c r="L334" s="63" t="n"/>
      <c r="M334" s="63" t="n"/>
      <c r="N334" s="63" t="n"/>
      <c r="O334" s="58">
        <f>IF(K334="","",K334-IF(L334="",0,L334)+IF(M334="",0,M334)+IF(N334="",0,N334))</f>
        <v/>
      </c>
    </row>
    <row r="335" ht="15.75" customHeight="1" s="99">
      <c r="A335" s="47" t="n"/>
      <c r="B335" s="45" t="n"/>
      <c r="C335" s="47" t="n"/>
      <c r="D335" s="47" t="n"/>
      <c r="E335" s="47" t="n"/>
      <c r="F335" s="47" t="n"/>
      <c r="G335" s="47" t="n"/>
      <c r="H335" s="48" t="n"/>
      <c r="I335" s="47" t="n"/>
      <c r="J335" s="49" t="n"/>
      <c r="K335" s="50">
        <f>IF(OR(H335="",J335=""),"",H335*J335)</f>
        <v/>
      </c>
      <c r="L335" s="62" t="n"/>
      <c r="M335" s="62" t="n"/>
      <c r="N335" s="62" t="n"/>
      <c r="O335" s="50">
        <f>IF(K335="","",K335-IF(L335="",0,L335)+IF(M335="",0,M335)+IF(N335="",0,N335))</f>
        <v/>
      </c>
    </row>
    <row r="336" ht="15.75" customHeight="1" s="99">
      <c r="A336" s="55" t="n"/>
      <c r="B336" s="53" t="n"/>
      <c r="C336" s="55" t="n"/>
      <c r="D336" s="55" t="n"/>
      <c r="E336" s="55" t="n"/>
      <c r="F336" s="55" t="n"/>
      <c r="G336" s="55" t="n"/>
      <c r="H336" s="56" t="n"/>
      <c r="I336" s="55" t="n"/>
      <c r="J336" s="57" t="n"/>
      <c r="K336" s="58">
        <f>IF(OR(H336="",J336=""),"",H336*J336)</f>
        <v/>
      </c>
      <c r="L336" s="63" t="n"/>
      <c r="M336" s="63" t="n"/>
      <c r="N336" s="63" t="n"/>
      <c r="O336" s="58">
        <f>IF(K336="","",K336-IF(L336="",0,L336)+IF(M336="",0,M336)+IF(N336="",0,N336))</f>
        <v/>
      </c>
    </row>
    <row r="337" ht="15.75" customHeight="1" s="99">
      <c r="A337" s="47" t="n"/>
      <c r="B337" s="45" t="n"/>
      <c r="C337" s="47" t="n"/>
      <c r="D337" s="47" t="n"/>
      <c r="E337" s="47" t="n"/>
      <c r="F337" s="47" t="n"/>
      <c r="G337" s="47" t="n"/>
      <c r="H337" s="48" t="n"/>
      <c r="I337" s="47" t="n"/>
      <c r="J337" s="49" t="n"/>
      <c r="K337" s="50">
        <f>IF(OR(H337="",J337=""),"",H337*J337)</f>
        <v/>
      </c>
      <c r="L337" s="62" t="n"/>
      <c r="M337" s="62" t="n"/>
      <c r="N337" s="62" t="n"/>
      <c r="O337" s="50">
        <f>IF(K337="","",K337-IF(L337="",0,L337)+IF(M337="",0,M337)+IF(N337="",0,N337))</f>
        <v/>
      </c>
    </row>
    <row r="338" ht="15.75" customHeight="1" s="99">
      <c r="A338" s="55" t="n"/>
      <c r="B338" s="53" t="n"/>
      <c r="C338" s="55" t="n"/>
      <c r="D338" s="55" t="n"/>
      <c r="E338" s="55" t="n"/>
      <c r="F338" s="55" t="n"/>
      <c r="G338" s="55" t="n"/>
      <c r="H338" s="56" t="n"/>
      <c r="I338" s="55" t="n"/>
      <c r="J338" s="57" t="n"/>
      <c r="K338" s="58">
        <f>IF(OR(H338="",J338=""),"",H338*J338)</f>
        <v/>
      </c>
      <c r="L338" s="63" t="n"/>
      <c r="M338" s="63" t="n"/>
      <c r="N338" s="63" t="n"/>
      <c r="O338" s="58">
        <f>IF(K338="","",K338-IF(L338="",0,L338)+IF(M338="",0,M338)+IF(N338="",0,N338))</f>
        <v/>
      </c>
    </row>
    <row r="339" ht="15.75" customHeight="1" s="99">
      <c r="A339" s="47" t="n"/>
      <c r="B339" s="45" t="n"/>
      <c r="C339" s="47" t="n"/>
      <c r="D339" s="47" t="n"/>
      <c r="E339" s="47" t="n"/>
      <c r="F339" s="47" t="n"/>
      <c r="G339" s="47" t="n"/>
      <c r="H339" s="48" t="n"/>
      <c r="I339" s="47" t="n"/>
      <c r="J339" s="49" t="n"/>
      <c r="K339" s="50">
        <f>IF(OR(H339="",J339=""),"",H339*J339)</f>
        <v/>
      </c>
      <c r="L339" s="62" t="n"/>
      <c r="M339" s="62" t="n"/>
      <c r="N339" s="62" t="n"/>
      <c r="O339" s="50">
        <f>IF(K339="","",K339-IF(L339="",0,L339)+IF(M339="",0,M339)+IF(N339="",0,N339))</f>
        <v/>
      </c>
    </row>
    <row r="340" ht="15.75" customHeight="1" s="99">
      <c r="A340" s="55" t="n"/>
      <c r="B340" s="53" t="n"/>
      <c r="C340" s="55" t="n"/>
      <c r="D340" s="55" t="n"/>
      <c r="E340" s="55" t="n"/>
      <c r="F340" s="55" t="n"/>
      <c r="G340" s="55" t="n"/>
      <c r="H340" s="56" t="n"/>
      <c r="I340" s="55" t="n"/>
      <c r="J340" s="57" t="n"/>
      <c r="K340" s="58">
        <f>IF(OR(H340="",J340=""),"",H340*J340)</f>
        <v/>
      </c>
      <c r="L340" s="63" t="n"/>
      <c r="M340" s="63" t="n"/>
      <c r="N340" s="63" t="n"/>
      <c r="O340" s="58">
        <f>IF(K340="","",K340-IF(L340="",0,L340)+IF(M340="",0,M340)+IF(N340="",0,N340))</f>
        <v/>
      </c>
    </row>
    <row r="341" ht="15.75" customHeight="1" s="99">
      <c r="A341" s="47" t="n"/>
      <c r="B341" s="45" t="n"/>
      <c r="C341" s="47" t="n"/>
      <c r="D341" s="47" t="n"/>
      <c r="E341" s="47" t="n"/>
      <c r="F341" s="47" t="n"/>
      <c r="G341" s="47" t="n"/>
      <c r="H341" s="48" t="n"/>
      <c r="I341" s="47" t="n"/>
      <c r="J341" s="49" t="n"/>
      <c r="K341" s="50">
        <f>IF(OR(H341="",J341=""),"",H341*J341)</f>
        <v/>
      </c>
      <c r="L341" s="62" t="n"/>
      <c r="M341" s="62" t="n"/>
      <c r="N341" s="62" t="n"/>
      <c r="O341" s="50">
        <f>IF(K341="","",K341-IF(L341="",0,L341)+IF(M341="",0,M341)+IF(N341="",0,N341))</f>
        <v/>
      </c>
    </row>
    <row r="342" ht="15.75" customHeight="1" s="99">
      <c r="A342" s="55" t="n"/>
      <c r="B342" s="53" t="n"/>
      <c r="C342" s="55" t="n"/>
      <c r="D342" s="55" t="n"/>
      <c r="E342" s="55" t="n"/>
      <c r="F342" s="55" t="n"/>
      <c r="G342" s="55" t="n"/>
      <c r="H342" s="56" t="n"/>
      <c r="I342" s="55" t="n"/>
      <c r="J342" s="57" t="n"/>
      <c r="K342" s="58">
        <f>IF(OR(H342="",J342=""),"",H342*J342)</f>
        <v/>
      </c>
      <c r="L342" s="63" t="n"/>
      <c r="M342" s="63" t="n"/>
      <c r="N342" s="63" t="n"/>
      <c r="O342" s="58">
        <f>IF(K342="","",K342-IF(L342="",0,L342)+IF(M342="",0,M342)+IF(N342="",0,N342))</f>
        <v/>
      </c>
    </row>
    <row r="343" ht="15.75" customHeight="1" s="99">
      <c r="A343" s="47" t="n"/>
      <c r="B343" s="45" t="n"/>
      <c r="C343" s="47" t="n"/>
      <c r="D343" s="47" t="n"/>
      <c r="E343" s="47" t="n"/>
      <c r="F343" s="47" t="n"/>
      <c r="G343" s="47" t="n"/>
      <c r="H343" s="48" t="n"/>
      <c r="I343" s="47" t="n"/>
      <c r="J343" s="49" t="n"/>
      <c r="K343" s="50">
        <f>IF(OR(H343="",J343=""),"",H343*J343)</f>
        <v/>
      </c>
      <c r="L343" s="62" t="n"/>
      <c r="M343" s="62" t="n"/>
      <c r="N343" s="62" t="n"/>
      <c r="O343" s="50">
        <f>IF(K343="","",K343-IF(L343="",0,L343)+IF(M343="",0,M343)+IF(N343="",0,N343))</f>
        <v/>
      </c>
    </row>
    <row r="344" ht="15.75" customHeight="1" s="99">
      <c r="A344" s="55" t="n"/>
      <c r="B344" s="53" t="n"/>
      <c r="C344" s="55" t="n"/>
      <c r="D344" s="55" t="n"/>
      <c r="E344" s="55" t="n"/>
      <c r="F344" s="55" t="n"/>
      <c r="G344" s="55" t="n"/>
      <c r="H344" s="56" t="n"/>
      <c r="I344" s="55" t="n"/>
      <c r="J344" s="57" t="n"/>
      <c r="K344" s="58">
        <f>IF(OR(H344="",J344=""),"",H344*J344)</f>
        <v/>
      </c>
      <c r="L344" s="63" t="n"/>
      <c r="M344" s="63" t="n"/>
      <c r="N344" s="63" t="n"/>
      <c r="O344" s="58">
        <f>IF(K344="","",K344-IF(L344="",0,L344)+IF(M344="",0,M344)+IF(N344="",0,N344))</f>
        <v/>
      </c>
    </row>
    <row r="345" ht="15.75" customHeight="1" s="99">
      <c r="A345" s="47" t="n"/>
      <c r="B345" s="45" t="n"/>
      <c r="C345" s="47" t="n"/>
      <c r="D345" s="47" t="n"/>
      <c r="E345" s="47" t="n"/>
      <c r="F345" s="47" t="n"/>
      <c r="G345" s="47" t="n"/>
      <c r="H345" s="48" t="n"/>
      <c r="I345" s="47" t="n"/>
      <c r="J345" s="49" t="n"/>
      <c r="K345" s="50">
        <f>IF(OR(H345="",J345=""),"",H345*J345)</f>
        <v/>
      </c>
      <c r="L345" s="62" t="n"/>
      <c r="M345" s="62" t="n"/>
      <c r="N345" s="62" t="n"/>
      <c r="O345" s="50">
        <f>IF(K345="","",K345-IF(L345="",0,L345)+IF(M345="",0,M345)+IF(N345="",0,N345))</f>
        <v/>
      </c>
    </row>
    <row r="346" ht="15.75" customHeight="1" s="99">
      <c r="A346" s="55" t="n"/>
      <c r="B346" s="53" t="n"/>
      <c r="C346" s="55" t="n"/>
      <c r="D346" s="55" t="n"/>
      <c r="E346" s="55" t="n"/>
      <c r="F346" s="55" t="n"/>
      <c r="G346" s="55" t="n"/>
      <c r="H346" s="56" t="n"/>
      <c r="I346" s="55" t="n"/>
      <c r="J346" s="57" t="n"/>
      <c r="K346" s="58">
        <f>IF(OR(H346="",J346=""),"",H346*J346)</f>
        <v/>
      </c>
      <c r="L346" s="63" t="n"/>
      <c r="M346" s="63" t="n"/>
      <c r="N346" s="63" t="n"/>
      <c r="O346" s="58">
        <f>IF(K346="","",K346-IF(L346="",0,L346)+IF(M346="",0,M346)+IF(N346="",0,N346))</f>
        <v/>
      </c>
    </row>
    <row r="347" ht="15.75" customHeight="1" s="99">
      <c r="A347" s="47" t="n"/>
      <c r="B347" s="45" t="n"/>
      <c r="C347" s="47" t="n"/>
      <c r="D347" s="47" t="n"/>
      <c r="E347" s="47" t="n"/>
      <c r="F347" s="47" t="n"/>
      <c r="G347" s="47" t="n"/>
      <c r="H347" s="48" t="n"/>
      <c r="I347" s="47" t="n"/>
      <c r="J347" s="49" t="n"/>
      <c r="K347" s="50">
        <f>IF(OR(H347="",J347=""),"",H347*J347)</f>
        <v/>
      </c>
      <c r="L347" s="62" t="n"/>
      <c r="M347" s="62" t="n"/>
      <c r="N347" s="62" t="n"/>
      <c r="O347" s="50">
        <f>IF(K347="","",K347-IF(L347="",0,L347)+IF(M347="",0,M347)+IF(N347="",0,N347))</f>
        <v/>
      </c>
    </row>
    <row r="348" ht="15.75" customHeight="1" s="99">
      <c r="A348" s="55" t="n"/>
      <c r="B348" s="53" t="n"/>
      <c r="C348" s="55" t="n"/>
      <c r="D348" s="55" t="n"/>
      <c r="E348" s="55" t="n"/>
      <c r="F348" s="55" t="n"/>
      <c r="G348" s="55" t="n"/>
      <c r="H348" s="56" t="n"/>
      <c r="I348" s="55" t="n"/>
      <c r="J348" s="57" t="n"/>
      <c r="K348" s="58">
        <f>IF(OR(H348="",J348=""),"",H348*J348)</f>
        <v/>
      </c>
      <c r="L348" s="63" t="n"/>
      <c r="M348" s="63" t="n"/>
      <c r="N348" s="63" t="n"/>
      <c r="O348" s="58">
        <f>IF(K348="","",K348-IF(L348="",0,L348)+IF(M348="",0,M348)+IF(N348="",0,N348))</f>
        <v/>
      </c>
    </row>
    <row r="349" ht="15.75" customHeight="1" s="99">
      <c r="A349" s="47" t="n"/>
      <c r="B349" s="45" t="n"/>
      <c r="C349" s="47" t="n"/>
      <c r="D349" s="47" t="n"/>
      <c r="E349" s="47" t="n"/>
      <c r="F349" s="47" t="n"/>
      <c r="G349" s="47" t="n"/>
      <c r="H349" s="48" t="n"/>
      <c r="I349" s="47" t="n"/>
      <c r="J349" s="49" t="n"/>
      <c r="K349" s="50">
        <f>IF(OR(H349="",J349=""),"",H349*J349)</f>
        <v/>
      </c>
      <c r="L349" s="62" t="n"/>
      <c r="M349" s="62" t="n"/>
      <c r="N349" s="62" t="n"/>
      <c r="O349" s="50">
        <f>IF(K349="","",K349-IF(L349="",0,L349)+IF(M349="",0,M349)+IF(N349="",0,N349))</f>
        <v/>
      </c>
    </row>
    <row r="350" ht="15.75" customHeight="1" s="99">
      <c r="A350" s="55" t="n"/>
      <c r="B350" s="53" t="n"/>
      <c r="C350" s="55" t="n"/>
      <c r="D350" s="55" t="n"/>
      <c r="E350" s="55" t="n"/>
      <c r="F350" s="55" t="n"/>
      <c r="G350" s="55" t="n"/>
      <c r="H350" s="56" t="n"/>
      <c r="I350" s="55" t="n"/>
      <c r="J350" s="57" t="n"/>
      <c r="K350" s="58">
        <f>IF(OR(H350="",J350=""),"",H350*J350)</f>
        <v/>
      </c>
      <c r="L350" s="63" t="n"/>
      <c r="M350" s="63" t="n"/>
      <c r="N350" s="63" t="n"/>
      <c r="O350" s="58">
        <f>IF(K350="","",K350-IF(L350="",0,L350)+IF(M350="",0,M350)+IF(N350="",0,N350))</f>
        <v/>
      </c>
    </row>
    <row r="351" ht="15.75" customHeight="1" s="99">
      <c r="A351" s="47" t="n"/>
      <c r="B351" s="45" t="n"/>
      <c r="C351" s="47" t="n"/>
      <c r="D351" s="47" t="n"/>
      <c r="E351" s="47" t="n"/>
      <c r="F351" s="47" t="n"/>
      <c r="G351" s="47" t="n"/>
      <c r="H351" s="48" t="n"/>
      <c r="I351" s="47" t="n"/>
      <c r="J351" s="49" t="n"/>
      <c r="K351" s="50">
        <f>IF(OR(H351="",J351=""),"",H351*J351)</f>
        <v/>
      </c>
      <c r="L351" s="62" t="n"/>
      <c r="M351" s="62" t="n"/>
      <c r="N351" s="62" t="n"/>
      <c r="O351" s="50">
        <f>IF(K351="","",K351-IF(L351="",0,L351)+IF(M351="",0,M351)+IF(N351="",0,N351))</f>
        <v/>
      </c>
    </row>
    <row r="352" ht="15.75" customHeight="1" s="99">
      <c r="A352" s="55" t="n"/>
      <c r="B352" s="53" t="n"/>
      <c r="C352" s="55" t="n"/>
      <c r="D352" s="55" t="n"/>
      <c r="E352" s="55" t="n"/>
      <c r="F352" s="55" t="n"/>
      <c r="G352" s="55" t="n"/>
      <c r="H352" s="56" t="n"/>
      <c r="I352" s="55" t="n"/>
      <c r="J352" s="57" t="n"/>
      <c r="K352" s="58">
        <f>IF(OR(H352="",J352=""),"",H352*J352)</f>
        <v/>
      </c>
      <c r="L352" s="63" t="n"/>
      <c r="M352" s="63" t="n"/>
      <c r="N352" s="63" t="n"/>
      <c r="O352" s="58">
        <f>IF(K352="","",K352-IF(L352="",0,L352)+IF(M352="",0,M352)+IF(N352="",0,N352))</f>
        <v/>
      </c>
    </row>
    <row r="353" ht="15.75" customHeight="1" s="99">
      <c r="A353" s="47" t="n"/>
      <c r="B353" s="45" t="n"/>
      <c r="C353" s="47" t="n"/>
      <c r="D353" s="47" t="n"/>
      <c r="E353" s="47" t="n"/>
      <c r="F353" s="47" t="n"/>
      <c r="G353" s="47" t="n"/>
      <c r="H353" s="48" t="n"/>
      <c r="I353" s="47" t="n"/>
      <c r="J353" s="49" t="n"/>
      <c r="K353" s="50">
        <f>IF(OR(H353="",J353=""),"",H353*J353)</f>
        <v/>
      </c>
      <c r="L353" s="62" t="n"/>
      <c r="M353" s="62" t="n"/>
      <c r="N353" s="62" t="n"/>
      <c r="O353" s="50">
        <f>IF(K353="","",K353-IF(L353="",0,L353)+IF(M353="",0,M353)+IF(N353="",0,N353))</f>
        <v/>
      </c>
    </row>
    <row r="354" ht="15.75" customHeight="1" s="99">
      <c r="A354" s="55" t="n"/>
      <c r="B354" s="53" t="n"/>
      <c r="C354" s="55" t="n"/>
      <c r="D354" s="55" t="n"/>
      <c r="E354" s="55" t="n"/>
      <c r="F354" s="55" t="n"/>
      <c r="G354" s="55" t="n"/>
      <c r="H354" s="56" t="n"/>
      <c r="I354" s="55" t="n"/>
      <c r="J354" s="57" t="n"/>
      <c r="K354" s="58">
        <f>IF(OR(H354="",J354=""),"",H354*J354)</f>
        <v/>
      </c>
      <c r="L354" s="63" t="n"/>
      <c r="M354" s="63" t="n"/>
      <c r="N354" s="63" t="n"/>
      <c r="O354" s="58">
        <f>IF(K354="","",K354-IF(L354="",0,L354)+IF(M354="",0,M354)+IF(N354="",0,N354))</f>
        <v/>
      </c>
    </row>
    <row r="355" ht="15.75" customHeight="1" s="99">
      <c r="A355" s="47" t="n"/>
      <c r="B355" s="45" t="n"/>
      <c r="C355" s="47" t="n"/>
      <c r="D355" s="47" t="n"/>
      <c r="E355" s="47" t="n"/>
      <c r="F355" s="47" t="n"/>
      <c r="G355" s="47" t="n"/>
      <c r="H355" s="48" t="n"/>
      <c r="I355" s="47" t="n"/>
      <c r="J355" s="49" t="n"/>
      <c r="K355" s="50">
        <f>IF(OR(H355="",J355=""),"",H355*J355)</f>
        <v/>
      </c>
      <c r="L355" s="62" t="n"/>
      <c r="M355" s="62" t="n"/>
      <c r="N355" s="62" t="n"/>
      <c r="O355" s="50">
        <f>IF(K355="","",K355-IF(L355="",0,L355)+IF(M355="",0,M355)+IF(N355="",0,N355))</f>
        <v/>
      </c>
    </row>
    <row r="356" ht="15.75" customHeight="1" s="99">
      <c r="A356" s="55" t="n"/>
      <c r="B356" s="53" t="n"/>
      <c r="C356" s="55" t="n"/>
      <c r="D356" s="55" t="n"/>
      <c r="E356" s="55" t="n"/>
      <c r="F356" s="55" t="n"/>
      <c r="G356" s="55" t="n"/>
      <c r="H356" s="56" t="n"/>
      <c r="I356" s="55" t="n"/>
      <c r="J356" s="57" t="n"/>
      <c r="K356" s="58">
        <f>IF(OR(H356="",J356=""),"",H356*J356)</f>
        <v/>
      </c>
      <c r="L356" s="63" t="n"/>
      <c r="M356" s="63" t="n"/>
      <c r="N356" s="63" t="n"/>
      <c r="O356" s="58">
        <f>IF(K356="","",K356-IF(L356="",0,L356)+IF(M356="",0,M356)+IF(N356="",0,N356))</f>
        <v/>
      </c>
    </row>
    <row r="357" ht="15.75" customHeight="1" s="99">
      <c r="A357" s="47" t="n"/>
      <c r="B357" s="45" t="n"/>
      <c r="C357" s="47" t="n"/>
      <c r="D357" s="47" t="n"/>
      <c r="E357" s="47" t="n"/>
      <c r="F357" s="47" t="n"/>
      <c r="G357" s="47" t="n"/>
      <c r="H357" s="48" t="n"/>
      <c r="I357" s="47" t="n"/>
      <c r="J357" s="49" t="n"/>
      <c r="K357" s="50">
        <f>IF(OR(H357="",J357=""),"",H357*J357)</f>
        <v/>
      </c>
      <c r="L357" s="62" t="n"/>
      <c r="M357" s="62" t="n"/>
      <c r="N357" s="62" t="n"/>
      <c r="O357" s="50">
        <f>IF(K357="","",K357-IF(L357="",0,L357)+IF(M357="",0,M357)+IF(N357="",0,N357))</f>
        <v/>
      </c>
    </row>
    <row r="358" ht="15.75" customHeight="1" s="99">
      <c r="A358" s="55" t="n"/>
      <c r="B358" s="53" t="n"/>
      <c r="C358" s="55" t="n"/>
      <c r="D358" s="55" t="n"/>
      <c r="E358" s="55" t="n"/>
      <c r="F358" s="55" t="n"/>
      <c r="G358" s="55" t="n"/>
      <c r="H358" s="56" t="n"/>
      <c r="I358" s="55" t="n"/>
      <c r="J358" s="57" t="n"/>
      <c r="K358" s="58">
        <f>IF(OR(H358="",J358=""),"",H358*J358)</f>
        <v/>
      </c>
      <c r="L358" s="63" t="n"/>
      <c r="M358" s="63" t="n"/>
      <c r="N358" s="63" t="n"/>
      <c r="O358" s="58">
        <f>IF(K358="","",K358-IF(L358="",0,L358)+IF(M358="",0,M358)+IF(N358="",0,N358))</f>
        <v/>
      </c>
    </row>
    <row r="359" ht="15.75" customHeight="1" s="99">
      <c r="A359" s="47" t="n"/>
      <c r="B359" s="45" t="n"/>
      <c r="C359" s="47" t="n"/>
      <c r="D359" s="47" t="n"/>
      <c r="E359" s="47" t="n"/>
      <c r="F359" s="47" t="n"/>
      <c r="G359" s="47" t="n"/>
      <c r="H359" s="48" t="n"/>
      <c r="I359" s="47" t="n"/>
      <c r="J359" s="49" t="n"/>
      <c r="K359" s="50">
        <f>IF(OR(H359="",J359=""),"",H359*J359)</f>
        <v/>
      </c>
      <c r="L359" s="62" t="n"/>
      <c r="M359" s="62" t="n"/>
      <c r="N359" s="62" t="n"/>
      <c r="O359" s="50">
        <f>IF(K359="","",K359-IF(L359="",0,L359)+IF(M359="",0,M359)+IF(N359="",0,N359))</f>
        <v/>
      </c>
    </row>
    <row r="360" ht="15.75" customHeight="1" s="99">
      <c r="A360" s="55" t="n"/>
      <c r="B360" s="53" t="n"/>
      <c r="C360" s="55" t="n"/>
      <c r="D360" s="55" t="n"/>
      <c r="E360" s="55" t="n"/>
      <c r="F360" s="55" t="n"/>
      <c r="G360" s="55" t="n"/>
      <c r="H360" s="56" t="n"/>
      <c r="I360" s="55" t="n"/>
      <c r="J360" s="57" t="n"/>
      <c r="K360" s="58">
        <f>IF(OR(H360="",J360=""),"",H360*J360)</f>
        <v/>
      </c>
      <c r="L360" s="63" t="n"/>
      <c r="M360" s="63" t="n"/>
      <c r="N360" s="63" t="n"/>
      <c r="O360" s="58">
        <f>IF(K360="","",K360-IF(L360="",0,L360)+IF(M360="",0,M360)+IF(N360="",0,N360))</f>
        <v/>
      </c>
    </row>
    <row r="361" ht="15.75" customHeight="1" s="99">
      <c r="A361" s="47" t="n"/>
      <c r="B361" s="45" t="n"/>
      <c r="C361" s="47" t="n"/>
      <c r="D361" s="47" t="n"/>
      <c r="E361" s="47" t="n"/>
      <c r="F361" s="47" t="n"/>
      <c r="G361" s="47" t="n"/>
      <c r="H361" s="48" t="n"/>
      <c r="I361" s="47" t="n"/>
      <c r="J361" s="49" t="n"/>
      <c r="K361" s="50">
        <f>IF(OR(H361="",J361=""),"",H361*J361)</f>
        <v/>
      </c>
      <c r="L361" s="62" t="n"/>
      <c r="M361" s="62" t="n"/>
      <c r="N361" s="62" t="n"/>
      <c r="O361" s="50">
        <f>IF(K361="","",K361-IF(L361="",0,L361)+IF(M361="",0,M361)+IF(N361="",0,N361))</f>
        <v/>
      </c>
    </row>
    <row r="362" ht="15.75" customHeight="1" s="99">
      <c r="A362" s="55" t="n"/>
      <c r="B362" s="53" t="n"/>
      <c r="C362" s="55" t="n"/>
      <c r="D362" s="55" t="n"/>
      <c r="E362" s="55" t="n"/>
      <c r="F362" s="55" t="n"/>
      <c r="G362" s="55" t="n"/>
      <c r="H362" s="56" t="n"/>
      <c r="I362" s="55" t="n"/>
      <c r="J362" s="57" t="n"/>
      <c r="K362" s="58">
        <f>IF(OR(H362="",J362=""),"",H362*J362)</f>
        <v/>
      </c>
      <c r="L362" s="63" t="n"/>
      <c r="M362" s="63" t="n"/>
      <c r="N362" s="63" t="n"/>
      <c r="O362" s="58">
        <f>IF(K362="","",K362-IF(L362="",0,L362)+IF(M362="",0,M362)+IF(N362="",0,N362))</f>
        <v/>
      </c>
    </row>
    <row r="363" ht="15.75" customHeight="1" s="99">
      <c r="A363" s="47" t="n"/>
      <c r="B363" s="45" t="n"/>
      <c r="C363" s="47" t="n"/>
      <c r="D363" s="47" t="n"/>
      <c r="E363" s="47" t="n"/>
      <c r="F363" s="47" t="n"/>
      <c r="G363" s="47" t="n"/>
      <c r="H363" s="48" t="n"/>
      <c r="I363" s="47" t="n"/>
      <c r="J363" s="49" t="n"/>
      <c r="K363" s="50">
        <f>IF(OR(H363="",J363=""),"",H363*J363)</f>
        <v/>
      </c>
      <c r="L363" s="62" t="n"/>
      <c r="M363" s="62" t="n"/>
      <c r="N363" s="62" t="n"/>
      <c r="O363" s="50">
        <f>IF(K363="","",K363-IF(L363="",0,L363)+IF(M363="",0,M363)+IF(N363="",0,N363))</f>
        <v/>
      </c>
    </row>
    <row r="364" ht="15.75" customHeight="1" s="99">
      <c r="A364" s="55" t="n"/>
      <c r="B364" s="53" t="n"/>
      <c r="C364" s="55" t="n"/>
      <c r="D364" s="55" t="n"/>
      <c r="E364" s="55" t="n"/>
      <c r="F364" s="55" t="n"/>
      <c r="G364" s="55" t="n"/>
      <c r="H364" s="56" t="n"/>
      <c r="I364" s="55" t="n"/>
      <c r="J364" s="57" t="n"/>
      <c r="K364" s="58">
        <f>IF(OR(H364="",J364=""),"",H364*J364)</f>
        <v/>
      </c>
      <c r="L364" s="63" t="n"/>
      <c r="M364" s="63" t="n"/>
      <c r="N364" s="63" t="n"/>
      <c r="O364" s="58">
        <f>IF(K364="","",K364-IF(L364="",0,L364)+IF(M364="",0,M364)+IF(N364="",0,N364))</f>
        <v/>
      </c>
    </row>
    <row r="365" ht="15.75" customHeight="1" s="99">
      <c r="A365" s="47" t="n"/>
      <c r="B365" s="45" t="n"/>
      <c r="C365" s="47" t="n"/>
      <c r="D365" s="47" t="n"/>
      <c r="E365" s="47" t="n"/>
      <c r="F365" s="47" t="n"/>
      <c r="G365" s="47" t="n"/>
      <c r="H365" s="48" t="n"/>
      <c r="I365" s="47" t="n"/>
      <c r="J365" s="49" t="n"/>
      <c r="K365" s="50">
        <f>IF(OR(H365="",J365=""),"",H365*J365)</f>
        <v/>
      </c>
      <c r="L365" s="62" t="n"/>
      <c r="M365" s="62" t="n"/>
      <c r="N365" s="62" t="n"/>
      <c r="O365" s="50">
        <f>IF(K365="","",K365-IF(L365="",0,L365)+IF(M365="",0,M365)+IF(N365="",0,N365))</f>
        <v/>
      </c>
    </row>
    <row r="366" ht="15.75" customHeight="1" s="99">
      <c r="A366" s="55" t="n"/>
      <c r="B366" s="53" t="n"/>
      <c r="C366" s="55" t="n"/>
      <c r="D366" s="55" t="n"/>
      <c r="E366" s="55" t="n"/>
      <c r="F366" s="55" t="n"/>
      <c r="G366" s="55" t="n"/>
      <c r="H366" s="56" t="n"/>
      <c r="I366" s="55" t="n"/>
      <c r="J366" s="57" t="n"/>
      <c r="K366" s="58">
        <f>IF(OR(H366="",J366=""),"",H366*J366)</f>
        <v/>
      </c>
      <c r="L366" s="63" t="n"/>
      <c r="M366" s="63" t="n"/>
      <c r="N366" s="63" t="n"/>
      <c r="O366" s="58">
        <f>IF(K366="","",K366-IF(L366="",0,L366)+IF(M366="",0,M366)+IF(N366="",0,N366))</f>
        <v/>
      </c>
    </row>
    <row r="367" ht="15.75" customHeight="1" s="99">
      <c r="A367" s="47" t="n"/>
      <c r="B367" s="45" t="n"/>
      <c r="C367" s="47" t="n"/>
      <c r="D367" s="47" t="n"/>
      <c r="E367" s="47" t="n"/>
      <c r="F367" s="47" t="n"/>
      <c r="G367" s="47" t="n"/>
      <c r="H367" s="48" t="n"/>
      <c r="I367" s="47" t="n"/>
      <c r="J367" s="49" t="n"/>
      <c r="K367" s="50">
        <f>IF(OR(H367="",J367=""),"",H367*J367)</f>
        <v/>
      </c>
      <c r="L367" s="62" t="n"/>
      <c r="M367" s="62" t="n"/>
      <c r="N367" s="62" t="n"/>
      <c r="O367" s="50">
        <f>IF(K367="","",K367-IF(L367="",0,L367)+IF(M367="",0,M367)+IF(N367="",0,N367))</f>
        <v/>
      </c>
    </row>
    <row r="368" ht="15.75" customHeight="1" s="99">
      <c r="A368" s="55" t="n"/>
      <c r="B368" s="53" t="n"/>
      <c r="C368" s="55" t="n"/>
      <c r="D368" s="55" t="n"/>
      <c r="E368" s="55" t="n"/>
      <c r="F368" s="55" t="n"/>
      <c r="G368" s="55" t="n"/>
      <c r="H368" s="56" t="n"/>
      <c r="I368" s="55" t="n"/>
      <c r="J368" s="57" t="n"/>
      <c r="K368" s="58">
        <f>IF(OR(H368="",J368=""),"",H368*J368)</f>
        <v/>
      </c>
      <c r="L368" s="63" t="n"/>
      <c r="M368" s="63" t="n"/>
      <c r="N368" s="63" t="n"/>
      <c r="O368" s="58">
        <f>IF(K368="","",K368-IF(L368="",0,L368)+IF(M368="",0,M368)+IF(N368="",0,N368))</f>
        <v/>
      </c>
    </row>
    <row r="369" ht="15.75" customHeight="1" s="99">
      <c r="A369" s="47" t="n"/>
      <c r="B369" s="45" t="n"/>
      <c r="C369" s="47" t="n"/>
      <c r="D369" s="47" t="n"/>
      <c r="E369" s="47" t="n"/>
      <c r="F369" s="47" t="n"/>
      <c r="G369" s="47" t="n"/>
      <c r="H369" s="48" t="n"/>
      <c r="I369" s="47" t="n"/>
      <c r="J369" s="49" t="n"/>
      <c r="K369" s="50">
        <f>IF(OR(H369="",J369=""),"",H369*J369)</f>
        <v/>
      </c>
      <c r="L369" s="62" t="n"/>
      <c r="M369" s="62" t="n"/>
      <c r="N369" s="62" t="n"/>
      <c r="O369" s="50">
        <f>IF(K369="","",K369-IF(L369="",0,L369)+IF(M369="",0,M369)+IF(N369="",0,N369))</f>
        <v/>
      </c>
    </row>
    <row r="370" ht="15.75" customHeight="1" s="99">
      <c r="A370" s="55" t="n"/>
      <c r="B370" s="53" t="n"/>
      <c r="C370" s="55" t="n"/>
      <c r="D370" s="55" t="n"/>
      <c r="E370" s="55" t="n"/>
      <c r="F370" s="55" t="n"/>
      <c r="G370" s="55" t="n"/>
      <c r="H370" s="56" t="n"/>
      <c r="I370" s="55" t="n"/>
      <c r="J370" s="57" t="n"/>
      <c r="K370" s="58">
        <f>IF(OR(H370="",J370=""),"",H370*J370)</f>
        <v/>
      </c>
      <c r="L370" s="63" t="n"/>
      <c r="M370" s="63" t="n"/>
      <c r="N370" s="63" t="n"/>
      <c r="O370" s="58">
        <f>IF(K370="","",K370-IF(L370="",0,L370)+IF(M370="",0,M370)+IF(N370="",0,N370))</f>
        <v/>
      </c>
    </row>
    <row r="371" ht="15.75" customHeight="1" s="99">
      <c r="A371" s="47" t="n"/>
      <c r="B371" s="45" t="n"/>
      <c r="C371" s="47" t="n"/>
      <c r="D371" s="47" t="n"/>
      <c r="E371" s="47" t="n"/>
      <c r="F371" s="47" t="n"/>
      <c r="G371" s="47" t="n"/>
      <c r="H371" s="48" t="n"/>
      <c r="I371" s="47" t="n"/>
      <c r="J371" s="49" t="n"/>
      <c r="K371" s="50">
        <f>IF(OR(H371="",J371=""),"",H371*J371)</f>
        <v/>
      </c>
      <c r="L371" s="62" t="n"/>
      <c r="M371" s="62" t="n"/>
      <c r="N371" s="62" t="n"/>
      <c r="O371" s="50">
        <f>IF(K371="","",K371-IF(L371="",0,L371)+IF(M371="",0,M371)+IF(N371="",0,N371))</f>
        <v/>
      </c>
    </row>
    <row r="372" ht="15.75" customHeight="1" s="99">
      <c r="A372" s="55" t="n"/>
      <c r="B372" s="53" t="n"/>
      <c r="C372" s="55" t="n"/>
      <c r="D372" s="55" t="n"/>
      <c r="E372" s="55" t="n"/>
      <c r="F372" s="55" t="n"/>
      <c r="G372" s="55" t="n"/>
      <c r="H372" s="56" t="n"/>
      <c r="I372" s="55" t="n"/>
      <c r="J372" s="57" t="n"/>
      <c r="K372" s="58">
        <f>IF(OR(H372="",J372=""),"",H372*J372)</f>
        <v/>
      </c>
      <c r="L372" s="63" t="n"/>
      <c r="M372" s="63" t="n"/>
      <c r="N372" s="63" t="n"/>
      <c r="O372" s="58">
        <f>IF(K372="","",K372-IF(L372="",0,L372)+IF(M372="",0,M372)+IF(N372="",0,N372))</f>
        <v/>
      </c>
    </row>
    <row r="373" ht="15.75" customHeight="1" s="99">
      <c r="A373" s="47" t="n"/>
      <c r="B373" s="45" t="n"/>
      <c r="C373" s="47" t="n"/>
      <c r="D373" s="47" t="n"/>
      <c r="E373" s="47" t="n"/>
      <c r="F373" s="47" t="n"/>
      <c r="G373" s="47" t="n"/>
      <c r="H373" s="48" t="n"/>
      <c r="I373" s="47" t="n"/>
      <c r="J373" s="49" t="n"/>
      <c r="K373" s="50">
        <f>IF(OR(H373="",J373=""),"",H373*J373)</f>
        <v/>
      </c>
      <c r="L373" s="62" t="n"/>
      <c r="M373" s="62" t="n"/>
      <c r="N373" s="62" t="n"/>
      <c r="O373" s="50">
        <f>IF(K373="","",K373-IF(L373="",0,L373)+IF(M373="",0,M373)+IF(N373="",0,N373))</f>
        <v/>
      </c>
    </row>
    <row r="374" ht="15.75" customHeight="1" s="99">
      <c r="A374" s="55" t="n"/>
      <c r="B374" s="53" t="n"/>
      <c r="C374" s="55" t="n"/>
      <c r="D374" s="55" t="n"/>
      <c r="E374" s="55" t="n"/>
      <c r="F374" s="55" t="n"/>
      <c r="G374" s="55" t="n"/>
      <c r="H374" s="56" t="n"/>
      <c r="I374" s="55" t="n"/>
      <c r="J374" s="57" t="n"/>
      <c r="K374" s="58">
        <f>IF(OR(H374="",J374=""),"",H374*J374)</f>
        <v/>
      </c>
      <c r="L374" s="63" t="n"/>
      <c r="M374" s="63" t="n"/>
      <c r="N374" s="63" t="n"/>
      <c r="O374" s="58">
        <f>IF(K374="","",K374-IF(L374="",0,L374)+IF(M374="",0,M374)+IF(N374="",0,N374))</f>
        <v/>
      </c>
    </row>
    <row r="375" ht="15.75" customHeight="1" s="99">
      <c r="A375" s="47" t="n"/>
      <c r="B375" s="45" t="n"/>
      <c r="C375" s="47" t="n"/>
      <c r="D375" s="47" t="n"/>
      <c r="E375" s="47" t="n"/>
      <c r="F375" s="47" t="n"/>
      <c r="G375" s="47" t="n"/>
      <c r="H375" s="48" t="n"/>
      <c r="I375" s="47" t="n"/>
      <c r="J375" s="49" t="n"/>
      <c r="K375" s="50">
        <f>IF(OR(H375="",J375=""),"",H375*J375)</f>
        <v/>
      </c>
      <c r="L375" s="62" t="n"/>
      <c r="M375" s="62" t="n"/>
      <c r="N375" s="62" t="n"/>
      <c r="O375" s="50">
        <f>IF(K375="","",K375-IF(L375="",0,L375)+IF(M375="",0,M375)+IF(N375="",0,N375))</f>
        <v/>
      </c>
    </row>
    <row r="376" ht="15.75" customHeight="1" s="99">
      <c r="A376" s="55" t="n"/>
      <c r="B376" s="53" t="n"/>
      <c r="C376" s="55" t="n"/>
      <c r="D376" s="55" t="n"/>
      <c r="E376" s="55" t="n"/>
      <c r="F376" s="55" t="n"/>
      <c r="G376" s="55" t="n"/>
      <c r="H376" s="56" t="n"/>
      <c r="I376" s="55" t="n"/>
      <c r="J376" s="57" t="n"/>
      <c r="K376" s="58">
        <f>IF(OR(H376="",J376=""),"",H376*J376)</f>
        <v/>
      </c>
      <c r="L376" s="63" t="n"/>
      <c r="M376" s="63" t="n"/>
      <c r="N376" s="63" t="n"/>
      <c r="O376" s="58">
        <f>IF(K376="","",K376-IF(L376="",0,L376)+IF(M376="",0,M376)+IF(N376="",0,N376))</f>
        <v/>
      </c>
    </row>
    <row r="377" ht="15.75" customHeight="1" s="99">
      <c r="A377" s="47" t="n"/>
      <c r="B377" s="45" t="n"/>
      <c r="C377" s="47" t="n"/>
      <c r="D377" s="47" t="n"/>
      <c r="E377" s="47" t="n"/>
      <c r="F377" s="47" t="n"/>
      <c r="G377" s="47" t="n"/>
      <c r="H377" s="48" t="n"/>
      <c r="I377" s="47" t="n"/>
      <c r="J377" s="49" t="n"/>
      <c r="K377" s="50">
        <f>IF(OR(H377="",J377=""),"",H377*J377)</f>
        <v/>
      </c>
      <c r="L377" s="62" t="n"/>
      <c r="M377" s="62" t="n"/>
      <c r="N377" s="62" t="n"/>
      <c r="O377" s="50">
        <f>IF(K377="","",K377-IF(L377="",0,L377)+IF(M377="",0,M377)+IF(N377="",0,N377))</f>
        <v/>
      </c>
    </row>
    <row r="378" ht="15.75" customHeight="1" s="99">
      <c r="A378" s="55" t="n"/>
      <c r="B378" s="53" t="n"/>
      <c r="C378" s="55" t="n"/>
      <c r="D378" s="55" t="n"/>
      <c r="E378" s="55" t="n"/>
      <c r="F378" s="55" t="n"/>
      <c r="G378" s="55" t="n"/>
      <c r="H378" s="56" t="n"/>
      <c r="I378" s="55" t="n"/>
      <c r="J378" s="57" t="n"/>
      <c r="K378" s="58">
        <f>IF(OR(H378="",J378=""),"",H378*J378)</f>
        <v/>
      </c>
      <c r="L378" s="63" t="n"/>
      <c r="M378" s="63" t="n"/>
      <c r="N378" s="63" t="n"/>
      <c r="O378" s="58">
        <f>IF(K378="","",K378-IF(L378="",0,L378)+IF(M378="",0,M378)+IF(N378="",0,N378))</f>
        <v/>
      </c>
    </row>
    <row r="379" ht="15.75" customHeight="1" s="99">
      <c r="A379" s="47" t="n"/>
      <c r="B379" s="45" t="n"/>
      <c r="C379" s="47" t="n"/>
      <c r="D379" s="47" t="n"/>
      <c r="E379" s="47" t="n"/>
      <c r="F379" s="47" t="n"/>
      <c r="G379" s="47" t="n"/>
      <c r="H379" s="48" t="n"/>
      <c r="I379" s="47" t="n"/>
      <c r="J379" s="49" t="n"/>
      <c r="K379" s="50">
        <f>IF(OR(H379="",J379=""),"",H379*J379)</f>
        <v/>
      </c>
      <c r="L379" s="62" t="n"/>
      <c r="M379" s="62" t="n"/>
      <c r="N379" s="62" t="n"/>
      <c r="O379" s="50">
        <f>IF(K379="","",K379-IF(L379="",0,L379)+IF(M379="",0,M379)+IF(N379="",0,N379))</f>
        <v/>
      </c>
    </row>
    <row r="380" ht="15.75" customHeight="1" s="99">
      <c r="A380" s="55" t="n"/>
      <c r="B380" s="53" t="n"/>
      <c r="C380" s="55" t="n"/>
      <c r="D380" s="55" t="n"/>
      <c r="E380" s="55" t="n"/>
      <c r="F380" s="55" t="n"/>
      <c r="G380" s="55" t="n"/>
      <c r="H380" s="56" t="n"/>
      <c r="I380" s="55" t="n"/>
      <c r="J380" s="57" t="n"/>
      <c r="K380" s="58">
        <f>IF(OR(H380="",J380=""),"",H380*J380)</f>
        <v/>
      </c>
      <c r="L380" s="63" t="n"/>
      <c r="M380" s="63" t="n"/>
      <c r="N380" s="63" t="n"/>
      <c r="O380" s="58">
        <f>IF(K380="","",K380-IF(L380="",0,L380)+IF(M380="",0,M380)+IF(N380="",0,N380))</f>
        <v/>
      </c>
    </row>
    <row r="381" ht="15.75" customHeight="1" s="99">
      <c r="A381" s="47" t="n"/>
      <c r="B381" s="45" t="n"/>
      <c r="C381" s="47" t="n"/>
      <c r="D381" s="47" t="n"/>
      <c r="E381" s="47" t="n"/>
      <c r="F381" s="47" t="n"/>
      <c r="G381" s="47" t="n"/>
      <c r="H381" s="48" t="n"/>
      <c r="I381" s="47" t="n"/>
      <c r="J381" s="49" t="n"/>
      <c r="K381" s="50">
        <f>IF(OR(H381="",J381=""),"",H381*J381)</f>
        <v/>
      </c>
      <c r="L381" s="62" t="n"/>
      <c r="M381" s="62" t="n"/>
      <c r="N381" s="62" t="n"/>
      <c r="O381" s="50">
        <f>IF(K381="","",K381-IF(L381="",0,L381)+IF(M381="",0,M381)+IF(N381="",0,N381))</f>
        <v/>
      </c>
    </row>
    <row r="382" ht="15.75" customHeight="1" s="99">
      <c r="A382" s="55" t="n"/>
      <c r="B382" s="53" t="n"/>
      <c r="C382" s="55" t="n"/>
      <c r="D382" s="55" t="n"/>
      <c r="E382" s="55" t="n"/>
      <c r="F382" s="55" t="n"/>
      <c r="G382" s="55" t="n"/>
      <c r="H382" s="56" t="n"/>
      <c r="I382" s="55" t="n"/>
      <c r="J382" s="57" t="n"/>
      <c r="K382" s="58">
        <f>IF(OR(H382="",J382=""),"",H382*J382)</f>
        <v/>
      </c>
      <c r="L382" s="63" t="n"/>
      <c r="M382" s="63" t="n"/>
      <c r="N382" s="63" t="n"/>
      <c r="O382" s="58">
        <f>IF(K382="","",K382-IF(L382="",0,L382)+IF(M382="",0,M382)+IF(N382="",0,N382))</f>
        <v/>
      </c>
    </row>
    <row r="383" ht="15.75" customHeight="1" s="99">
      <c r="A383" s="47" t="n"/>
      <c r="B383" s="45" t="n"/>
      <c r="C383" s="47" t="n"/>
      <c r="D383" s="47" t="n"/>
      <c r="E383" s="47" t="n"/>
      <c r="F383" s="47" t="n"/>
      <c r="G383" s="47" t="n"/>
      <c r="H383" s="48" t="n"/>
      <c r="I383" s="47" t="n"/>
      <c r="J383" s="49" t="n"/>
      <c r="K383" s="50">
        <f>IF(OR(H383="",J383=""),"",H383*J383)</f>
        <v/>
      </c>
      <c r="L383" s="62" t="n"/>
      <c r="M383" s="62" t="n"/>
      <c r="N383" s="62" t="n"/>
      <c r="O383" s="50">
        <f>IF(K383="","",K383-IF(L383="",0,L383)+IF(M383="",0,M383)+IF(N383="",0,N383))</f>
        <v/>
      </c>
    </row>
    <row r="384" ht="15.75" customHeight="1" s="99">
      <c r="A384" s="55" t="n"/>
      <c r="B384" s="53" t="n"/>
      <c r="C384" s="55" t="n"/>
      <c r="D384" s="55" t="n"/>
      <c r="E384" s="55" t="n"/>
      <c r="F384" s="55" t="n"/>
      <c r="G384" s="55" t="n"/>
      <c r="H384" s="56" t="n"/>
      <c r="I384" s="55" t="n"/>
      <c r="J384" s="57" t="n"/>
      <c r="K384" s="58">
        <f>IF(OR(H384="",J384=""),"",H384*J384)</f>
        <v/>
      </c>
      <c r="L384" s="63" t="n"/>
      <c r="M384" s="63" t="n"/>
      <c r="N384" s="63" t="n"/>
      <c r="O384" s="58">
        <f>IF(K384="","",K384-IF(L384="",0,L384)+IF(M384="",0,M384)+IF(N384="",0,N384))</f>
        <v/>
      </c>
    </row>
    <row r="385" ht="15.75" customHeight="1" s="99">
      <c r="A385" s="47" t="n"/>
      <c r="B385" s="45" t="n"/>
      <c r="C385" s="47" t="n"/>
      <c r="D385" s="47" t="n"/>
      <c r="E385" s="47" t="n"/>
      <c r="F385" s="47" t="n"/>
      <c r="G385" s="47" t="n"/>
      <c r="H385" s="48" t="n"/>
      <c r="I385" s="47" t="n"/>
      <c r="J385" s="49" t="n"/>
      <c r="K385" s="50">
        <f>IF(OR(H385="",J385=""),"",H385*J385)</f>
        <v/>
      </c>
      <c r="L385" s="62" t="n"/>
      <c r="M385" s="62" t="n"/>
      <c r="N385" s="62" t="n"/>
      <c r="O385" s="50">
        <f>IF(K385="","",K385-IF(L385="",0,L385)+IF(M385="",0,M385)+IF(N385="",0,N385))</f>
        <v/>
      </c>
    </row>
    <row r="386" ht="15.75" customHeight="1" s="99">
      <c r="A386" s="55" t="n"/>
      <c r="B386" s="53" t="n"/>
      <c r="C386" s="55" t="n"/>
      <c r="D386" s="55" t="n"/>
      <c r="E386" s="55" t="n"/>
      <c r="F386" s="55" t="n"/>
      <c r="G386" s="55" t="n"/>
      <c r="H386" s="56" t="n"/>
      <c r="I386" s="55" t="n"/>
      <c r="J386" s="57" t="n"/>
      <c r="K386" s="58">
        <f>IF(OR(H386="",J386=""),"",H386*J386)</f>
        <v/>
      </c>
      <c r="L386" s="63" t="n"/>
      <c r="M386" s="63" t="n"/>
      <c r="N386" s="63" t="n"/>
      <c r="O386" s="58">
        <f>IF(K386="","",K386-IF(L386="",0,L386)+IF(M386="",0,M386)+IF(N386="",0,N386))</f>
        <v/>
      </c>
    </row>
    <row r="387" ht="15.75" customHeight="1" s="99">
      <c r="A387" s="47" t="n"/>
      <c r="B387" s="45" t="n"/>
      <c r="C387" s="47" t="n"/>
      <c r="D387" s="47" t="n"/>
      <c r="E387" s="47" t="n"/>
      <c r="F387" s="47" t="n"/>
      <c r="G387" s="47" t="n"/>
      <c r="H387" s="48" t="n"/>
      <c r="I387" s="47" t="n"/>
      <c r="J387" s="49" t="n"/>
      <c r="K387" s="50">
        <f>IF(OR(H387="",J387=""),"",H387*J387)</f>
        <v/>
      </c>
      <c r="L387" s="62" t="n"/>
      <c r="M387" s="62" t="n"/>
      <c r="N387" s="62" t="n"/>
      <c r="O387" s="50">
        <f>IF(K387="","",K387-IF(L387="",0,L387)+IF(M387="",0,M387)+IF(N387="",0,N387))</f>
        <v/>
      </c>
    </row>
    <row r="388" ht="15.75" customHeight="1" s="99">
      <c r="A388" s="55" t="n"/>
      <c r="B388" s="53" t="n"/>
      <c r="C388" s="55" t="n"/>
      <c r="D388" s="55" t="n"/>
      <c r="E388" s="55" t="n"/>
      <c r="F388" s="55" t="n"/>
      <c r="G388" s="55" t="n"/>
      <c r="H388" s="56" t="n"/>
      <c r="I388" s="55" t="n"/>
      <c r="J388" s="57" t="n"/>
      <c r="K388" s="58">
        <f>IF(OR(H388="",J388=""),"",H388*J388)</f>
        <v/>
      </c>
      <c r="L388" s="63" t="n"/>
      <c r="M388" s="63" t="n"/>
      <c r="N388" s="63" t="n"/>
      <c r="O388" s="58">
        <f>IF(K388="","",K388-IF(L388="",0,L388)+IF(M388="",0,M388)+IF(N388="",0,N388))</f>
        <v/>
      </c>
    </row>
    <row r="389" ht="15.75" customHeight="1" s="99">
      <c r="A389" s="47" t="n"/>
      <c r="B389" s="45" t="n"/>
      <c r="C389" s="47" t="n"/>
      <c r="D389" s="47" t="n"/>
      <c r="E389" s="47" t="n"/>
      <c r="F389" s="47" t="n"/>
      <c r="G389" s="47" t="n"/>
      <c r="H389" s="48" t="n"/>
      <c r="I389" s="47" t="n"/>
      <c r="J389" s="49" t="n"/>
      <c r="K389" s="50">
        <f>IF(OR(H389="",J389=""),"",H389*J389)</f>
        <v/>
      </c>
      <c r="L389" s="62" t="n"/>
      <c r="M389" s="62" t="n"/>
      <c r="N389" s="62" t="n"/>
      <c r="O389" s="50">
        <f>IF(K389="","",K389-IF(L389="",0,L389)+IF(M389="",0,M389)+IF(N389="",0,N389))</f>
        <v/>
      </c>
    </row>
    <row r="390" ht="15.75" customHeight="1" s="99">
      <c r="A390" s="55" t="n"/>
      <c r="B390" s="53" t="n"/>
      <c r="C390" s="55" t="n"/>
      <c r="D390" s="55" t="n"/>
      <c r="E390" s="55" t="n"/>
      <c r="F390" s="55" t="n"/>
      <c r="G390" s="55" t="n"/>
      <c r="H390" s="56" t="n"/>
      <c r="I390" s="55" t="n"/>
      <c r="J390" s="57" t="n"/>
      <c r="K390" s="58">
        <f>IF(OR(H390="",J390=""),"",H390*J390)</f>
        <v/>
      </c>
      <c r="L390" s="63" t="n"/>
      <c r="M390" s="63" t="n"/>
      <c r="N390" s="63" t="n"/>
      <c r="O390" s="58">
        <f>IF(K390="","",K390-IF(L390="",0,L390)+IF(M390="",0,M390)+IF(N390="",0,N390))</f>
        <v/>
      </c>
    </row>
    <row r="391" ht="15.75" customHeight="1" s="99">
      <c r="A391" s="47" t="n"/>
      <c r="B391" s="45" t="n"/>
      <c r="C391" s="47" t="n"/>
      <c r="D391" s="47" t="n"/>
      <c r="E391" s="47" t="n"/>
      <c r="F391" s="47" t="n"/>
      <c r="G391" s="47" t="n"/>
      <c r="H391" s="48" t="n"/>
      <c r="I391" s="47" t="n"/>
      <c r="J391" s="49" t="n"/>
      <c r="K391" s="50">
        <f>IF(OR(H391="",J391=""),"",H391*J391)</f>
        <v/>
      </c>
      <c r="L391" s="62" t="n"/>
      <c r="M391" s="62" t="n"/>
      <c r="N391" s="62" t="n"/>
      <c r="O391" s="50">
        <f>IF(K391="","",K391-IF(L391="",0,L391)+IF(M391="",0,M391)+IF(N391="",0,N391))</f>
        <v/>
      </c>
    </row>
    <row r="392" ht="15.75" customHeight="1" s="99">
      <c r="A392" s="55" t="n"/>
      <c r="B392" s="53" t="n"/>
      <c r="C392" s="55" t="n"/>
      <c r="D392" s="55" t="n"/>
      <c r="E392" s="55" t="n"/>
      <c r="F392" s="55" t="n"/>
      <c r="G392" s="55" t="n"/>
      <c r="H392" s="56" t="n"/>
      <c r="I392" s="55" t="n"/>
      <c r="J392" s="57" t="n"/>
      <c r="K392" s="58">
        <f>IF(OR(H392="",J392=""),"",H392*J392)</f>
        <v/>
      </c>
      <c r="L392" s="63" t="n"/>
      <c r="M392" s="63" t="n"/>
      <c r="N392" s="63" t="n"/>
      <c r="O392" s="58">
        <f>IF(K392="","",K392-IF(L392="",0,L392)+IF(M392="",0,M392)+IF(N392="",0,N392))</f>
        <v/>
      </c>
    </row>
    <row r="393" ht="15.75" customHeight="1" s="99">
      <c r="A393" s="47" t="n"/>
      <c r="B393" s="45" t="n"/>
      <c r="C393" s="47" t="n"/>
      <c r="D393" s="47" t="n"/>
      <c r="E393" s="47" t="n"/>
      <c r="F393" s="47" t="n"/>
      <c r="G393" s="47" t="n"/>
      <c r="H393" s="48" t="n"/>
      <c r="I393" s="47" t="n"/>
      <c r="J393" s="49" t="n"/>
      <c r="K393" s="50">
        <f>IF(OR(H393="",J393=""),"",H393*J393)</f>
        <v/>
      </c>
      <c r="L393" s="62" t="n"/>
      <c r="M393" s="62" t="n"/>
      <c r="N393" s="62" t="n"/>
      <c r="O393" s="50">
        <f>IF(K393="","",K393-IF(L393="",0,L393)+IF(M393="",0,M393)+IF(N393="",0,N393))</f>
        <v/>
      </c>
    </row>
    <row r="394" ht="15.75" customHeight="1" s="99">
      <c r="A394" s="55" t="n"/>
      <c r="B394" s="53" t="n"/>
      <c r="C394" s="55" t="n"/>
      <c r="D394" s="55" t="n"/>
      <c r="E394" s="55" t="n"/>
      <c r="F394" s="55" t="n"/>
      <c r="G394" s="55" t="n"/>
      <c r="H394" s="56" t="n"/>
      <c r="I394" s="55" t="n"/>
      <c r="J394" s="57" t="n"/>
      <c r="K394" s="58">
        <f>IF(OR(H394="",J394=""),"",H394*J394)</f>
        <v/>
      </c>
      <c r="L394" s="63" t="n"/>
      <c r="M394" s="63" t="n"/>
      <c r="N394" s="63" t="n"/>
      <c r="O394" s="58">
        <f>IF(K394="","",K394-IF(L394="",0,L394)+IF(M394="",0,M394)+IF(N394="",0,N394))</f>
        <v/>
      </c>
    </row>
    <row r="395" ht="15.75" customHeight="1" s="99">
      <c r="A395" s="47" t="n"/>
      <c r="B395" s="45" t="n"/>
      <c r="C395" s="47" t="n"/>
      <c r="D395" s="47" t="n"/>
      <c r="E395" s="47" t="n"/>
      <c r="F395" s="47" t="n"/>
      <c r="G395" s="47" t="n"/>
      <c r="H395" s="48" t="n"/>
      <c r="I395" s="47" t="n"/>
      <c r="J395" s="49" t="n"/>
      <c r="K395" s="50">
        <f>IF(OR(H395="",J395=""),"",H395*J395)</f>
        <v/>
      </c>
      <c r="L395" s="62" t="n"/>
      <c r="M395" s="62" t="n"/>
      <c r="N395" s="62" t="n"/>
      <c r="O395" s="50">
        <f>IF(K395="","",K395-IF(L395="",0,L395)+IF(M395="",0,M395)+IF(N395="",0,N395))</f>
        <v/>
      </c>
    </row>
    <row r="396" ht="15.75" customHeight="1" s="99">
      <c r="A396" s="55" t="n"/>
      <c r="B396" s="53" t="n"/>
      <c r="C396" s="55" t="n"/>
      <c r="D396" s="55" t="n"/>
      <c r="E396" s="55" t="n"/>
      <c r="F396" s="55" t="n"/>
      <c r="G396" s="55" t="n"/>
      <c r="H396" s="56" t="n"/>
      <c r="I396" s="55" t="n"/>
      <c r="J396" s="57" t="n"/>
      <c r="K396" s="58">
        <f>IF(OR(H396="",J396=""),"",H396*J396)</f>
        <v/>
      </c>
      <c r="L396" s="63" t="n"/>
      <c r="M396" s="63" t="n"/>
      <c r="N396" s="63" t="n"/>
      <c r="O396" s="58">
        <f>IF(K396="","",K396-IF(L396="",0,L396)+IF(M396="",0,M396)+IF(N396="",0,N396))</f>
        <v/>
      </c>
    </row>
    <row r="397" ht="15.75" customHeight="1" s="99">
      <c r="A397" s="47" t="n"/>
      <c r="B397" s="45" t="n"/>
      <c r="C397" s="47" t="n"/>
      <c r="D397" s="47" t="n"/>
      <c r="E397" s="47" t="n"/>
      <c r="F397" s="47" t="n"/>
      <c r="G397" s="47" t="n"/>
      <c r="H397" s="48" t="n"/>
      <c r="I397" s="47" t="n"/>
      <c r="J397" s="49" t="n"/>
      <c r="K397" s="50">
        <f>IF(OR(H397="",J397=""),"",H397*J397)</f>
        <v/>
      </c>
      <c r="L397" s="62" t="n"/>
      <c r="M397" s="62" t="n"/>
      <c r="N397" s="62" t="n"/>
      <c r="O397" s="50">
        <f>IF(K397="","",K397-IF(L397="",0,L397)+IF(M397="",0,M397)+IF(N397="",0,N397))</f>
        <v/>
      </c>
    </row>
    <row r="398" ht="15.75" customHeight="1" s="99">
      <c r="A398" s="55" t="n"/>
      <c r="B398" s="53" t="n"/>
      <c r="C398" s="55" t="n"/>
      <c r="D398" s="55" t="n"/>
      <c r="E398" s="55" t="n"/>
      <c r="F398" s="55" t="n"/>
      <c r="G398" s="55" t="n"/>
      <c r="H398" s="56" t="n"/>
      <c r="I398" s="55" t="n"/>
      <c r="J398" s="57" t="n"/>
      <c r="K398" s="58">
        <f>IF(OR(H398="",J398=""),"",H398*J398)</f>
        <v/>
      </c>
      <c r="L398" s="63" t="n"/>
      <c r="M398" s="63" t="n"/>
      <c r="N398" s="63" t="n"/>
      <c r="O398" s="58">
        <f>IF(K398="","",K398-IF(L398="",0,L398)+IF(M398="",0,M398)+IF(N398="",0,N398))</f>
        <v/>
      </c>
    </row>
    <row r="399" ht="15.75" customHeight="1" s="99">
      <c r="A399" s="47" t="n"/>
      <c r="B399" s="45" t="n"/>
      <c r="C399" s="47" t="n"/>
      <c r="D399" s="47" t="n"/>
      <c r="E399" s="47" t="n"/>
      <c r="F399" s="47" t="n"/>
      <c r="G399" s="47" t="n"/>
      <c r="H399" s="48" t="n"/>
      <c r="I399" s="47" t="n"/>
      <c r="J399" s="49" t="n"/>
      <c r="K399" s="50">
        <f>IF(OR(H399="",J399=""),"",H399*J399)</f>
        <v/>
      </c>
      <c r="L399" s="62" t="n"/>
      <c r="M399" s="62" t="n"/>
      <c r="N399" s="62" t="n"/>
      <c r="O399" s="50">
        <f>IF(K399="","",K399-IF(L399="",0,L399)+IF(M399="",0,M399)+IF(N399="",0,N399))</f>
        <v/>
      </c>
    </row>
    <row r="400" ht="15.75" customHeight="1" s="99">
      <c r="A400" s="55" t="n"/>
      <c r="B400" s="53" t="n"/>
      <c r="C400" s="55" t="n"/>
      <c r="D400" s="55" t="n"/>
      <c r="E400" s="55" t="n"/>
      <c r="F400" s="55" t="n"/>
      <c r="G400" s="55" t="n"/>
      <c r="H400" s="56" t="n"/>
      <c r="I400" s="55" t="n"/>
      <c r="J400" s="57" t="n"/>
      <c r="K400" s="58">
        <f>IF(OR(H400="",J400=""),"",H400*J400)</f>
        <v/>
      </c>
      <c r="L400" s="63" t="n"/>
      <c r="M400" s="63" t="n"/>
      <c r="N400" s="63" t="n"/>
      <c r="O400" s="58">
        <f>IF(K400="","",K400-IF(L400="",0,L400)+IF(M400="",0,M400)+IF(N400="",0,N400))</f>
        <v/>
      </c>
    </row>
    <row r="401" ht="15.75" customHeight="1" s="99">
      <c r="A401" s="47" t="n"/>
      <c r="B401" s="45" t="n"/>
      <c r="C401" s="47" t="n"/>
      <c r="D401" s="47" t="n"/>
      <c r="E401" s="47" t="n"/>
      <c r="F401" s="47" t="n"/>
      <c r="G401" s="47" t="n"/>
      <c r="H401" s="48" t="n"/>
      <c r="I401" s="47" t="n"/>
      <c r="J401" s="49" t="n"/>
      <c r="K401" s="50">
        <f>IF(OR(H401="",J401=""),"",H401*J401)</f>
        <v/>
      </c>
      <c r="L401" s="62" t="n"/>
      <c r="M401" s="62" t="n"/>
      <c r="N401" s="62" t="n"/>
      <c r="O401" s="50">
        <f>IF(K401="","",K401-IF(L401="",0,L401)+IF(M401="",0,M401)+IF(N401="",0,N401))</f>
        <v/>
      </c>
    </row>
    <row r="402" ht="15.75" customHeight="1" s="99">
      <c r="A402" s="55" t="n"/>
      <c r="B402" s="53" t="n"/>
      <c r="C402" s="55" t="n"/>
      <c r="D402" s="55" t="n"/>
      <c r="E402" s="55" t="n"/>
      <c r="F402" s="55" t="n"/>
      <c r="G402" s="55" t="n"/>
      <c r="H402" s="56" t="n"/>
      <c r="I402" s="55" t="n"/>
      <c r="J402" s="57" t="n"/>
      <c r="K402" s="58">
        <f>IF(OR(H402="",J402=""),"",H402*J402)</f>
        <v/>
      </c>
      <c r="L402" s="63" t="n"/>
      <c r="M402" s="63" t="n"/>
      <c r="N402" s="63" t="n"/>
      <c r="O402" s="58">
        <f>IF(K402="","",K402-IF(L402="",0,L402)+IF(M402="",0,M402)+IF(N402="",0,N402))</f>
        <v/>
      </c>
    </row>
    <row r="403" ht="15.75" customHeight="1" s="99">
      <c r="A403" s="47" t="n"/>
      <c r="B403" s="45" t="n"/>
      <c r="C403" s="47" t="n"/>
      <c r="D403" s="47" t="n"/>
      <c r="E403" s="47" t="n"/>
      <c r="F403" s="47" t="n"/>
      <c r="G403" s="47" t="n"/>
      <c r="H403" s="48" t="n"/>
      <c r="I403" s="47" t="n"/>
      <c r="J403" s="49" t="n"/>
      <c r="K403" s="50">
        <f>IF(OR(H403="",J403=""),"",H403*J403)</f>
        <v/>
      </c>
      <c r="L403" s="62" t="n"/>
      <c r="M403" s="62" t="n"/>
      <c r="N403" s="62" t="n"/>
      <c r="O403" s="50">
        <f>IF(K403="","",K403-IF(L403="",0,L403)+IF(M403="",0,M403)+IF(N403="",0,N403))</f>
        <v/>
      </c>
    </row>
    <row r="404" ht="15.75" customHeight="1" s="99">
      <c r="A404" s="55" t="n"/>
      <c r="B404" s="53" t="n"/>
      <c r="C404" s="55" t="n"/>
      <c r="D404" s="55" t="n"/>
      <c r="E404" s="55" t="n"/>
      <c r="F404" s="55" t="n"/>
      <c r="G404" s="55" t="n"/>
      <c r="H404" s="56" t="n"/>
      <c r="I404" s="55" t="n"/>
      <c r="J404" s="57" t="n"/>
      <c r="K404" s="58">
        <f>IF(OR(H404="",J404=""),"",H404*J404)</f>
        <v/>
      </c>
      <c r="L404" s="63" t="n"/>
      <c r="M404" s="63" t="n"/>
      <c r="N404" s="63" t="n"/>
      <c r="O404" s="58">
        <f>IF(K404="","",K404-IF(L404="",0,L404)+IF(M404="",0,M404)+IF(N404="",0,N404))</f>
        <v/>
      </c>
    </row>
    <row r="405" ht="15.75" customHeight="1" s="99">
      <c r="A405" s="47" t="n"/>
      <c r="B405" s="45" t="n"/>
      <c r="C405" s="47" t="n"/>
      <c r="D405" s="47" t="n"/>
      <c r="E405" s="47" t="n"/>
      <c r="F405" s="47" t="n"/>
      <c r="G405" s="47" t="n"/>
      <c r="H405" s="48" t="n"/>
      <c r="I405" s="47" t="n"/>
      <c r="J405" s="49" t="n"/>
      <c r="K405" s="50">
        <f>IF(OR(H405="",J405=""),"",H405*J405)</f>
        <v/>
      </c>
      <c r="L405" s="62" t="n"/>
      <c r="M405" s="62" t="n"/>
      <c r="N405" s="62" t="n"/>
      <c r="O405" s="50">
        <f>IF(K405="","",K405-IF(L405="",0,L405)+IF(M405="",0,M405)+IF(N405="",0,N405))</f>
        <v/>
      </c>
    </row>
    <row r="406" ht="15.75" customHeight="1" s="99">
      <c r="A406" s="55" t="n"/>
      <c r="B406" s="53" t="n"/>
      <c r="C406" s="55" t="n"/>
      <c r="D406" s="55" t="n"/>
      <c r="E406" s="55" t="n"/>
      <c r="F406" s="55" t="n"/>
      <c r="G406" s="55" t="n"/>
      <c r="H406" s="56" t="n"/>
      <c r="I406" s="55" t="n"/>
      <c r="J406" s="57" t="n"/>
      <c r="K406" s="58">
        <f>IF(OR(H406="",J406=""),"",H406*J406)</f>
        <v/>
      </c>
      <c r="L406" s="63" t="n"/>
      <c r="M406" s="63" t="n"/>
      <c r="N406" s="63" t="n"/>
      <c r="O406" s="58">
        <f>IF(K406="","",K406-IF(L406="",0,L406)+IF(M406="",0,M406)+IF(N406="",0,N406))</f>
        <v/>
      </c>
    </row>
    <row r="407" ht="15.75" customHeight="1" s="99">
      <c r="A407" s="47" t="n"/>
      <c r="B407" s="45" t="n"/>
      <c r="C407" s="47" t="n"/>
      <c r="D407" s="47" t="n"/>
      <c r="E407" s="47" t="n"/>
      <c r="F407" s="47" t="n"/>
      <c r="G407" s="47" t="n"/>
      <c r="H407" s="48" t="n"/>
      <c r="I407" s="47" t="n"/>
      <c r="J407" s="49" t="n"/>
      <c r="K407" s="50">
        <f>IF(OR(H407="",J407=""),"",H407*J407)</f>
        <v/>
      </c>
      <c r="L407" s="62" t="n"/>
      <c r="M407" s="62" t="n"/>
      <c r="N407" s="62" t="n"/>
      <c r="O407" s="50">
        <f>IF(K407="","",K407-IF(L407="",0,L407)+IF(M407="",0,M407)+IF(N407="",0,N407))</f>
        <v/>
      </c>
    </row>
    <row r="408" ht="15.75" customHeight="1" s="99">
      <c r="A408" s="55" t="n"/>
      <c r="B408" s="53" t="n"/>
      <c r="C408" s="55" t="n"/>
      <c r="D408" s="55" t="n"/>
      <c r="E408" s="55" t="n"/>
      <c r="F408" s="55" t="n"/>
      <c r="G408" s="55" t="n"/>
      <c r="H408" s="56" t="n"/>
      <c r="I408" s="55" t="n"/>
      <c r="J408" s="57" t="n"/>
      <c r="K408" s="58">
        <f>IF(OR(H408="",J408=""),"",H408*J408)</f>
        <v/>
      </c>
      <c r="L408" s="63" t="n"/>
      <c r="M408" s="63" t="n"/>
      <c r="N408" s="63" t="n"/>
      <c r="O408" s="58">
        <f>IF(K408="","",K408-IF(L408="",0,L408)+IF(M408="",0,M408)+IF(N408="",0,N408))</f>
        <v/>
      </c>
    </row>
    <row r="409" ht="15.75" customHeight="1" s="99">
      <c r="A409" s="47" t="n"/>
      <c r="B409" s="45" t="n"/>
      <c r="C409" s="47" t="n"/>
      <c r="D409" s="47" t="n"/>
      <c r="E409" s="47" t="n"/>
      <c r="F409" s="47" t="n"/>
      <c r="G409" s="47" t="n"/>
      <c r="H409" s="48" t="n"/>
      <c r="I409" s="47" t="n"/>
      <c r="J409" s="49" t="n"/>
      <c r="K409" s="50">
        <f>IF(OR(H409="",J409=""),"",H409*J409)</f>
        <v/>
      </c>
      <c r="L409" s="62" t="n"/>
      <c r="M409" s="62" t="n"/>
      <c r="N409" s="62" t="n"/>
      <c r="O409" s="50">
        <f>IF(K409="","",K409-IF(L409="",0,L409)+IF(M409="",0,M409)+IF(N409="",0,N409))</f>
        <v/>
      </c>
    </row>
    <row r="410" ht="15.75" customHeight="1" s="99">
      <c r="A410" s="55" t="n"/>
      <c r="B410" s="53" t="n"/>
      <c r="C410" s="55" t="n"/>
      <c r="D410" s="55" t="n"/>
      <c r="E410" s="55" t="n"/>
      <c r="F410" s="55" t="n"/>
      <c r="G410" s="55" t="n"/>
      <c r="H410" s="56" t="n"/>
      <c r="I410" s="55" t="n"/>
      <c r="J410" s="57" t="n"/>
      <c r="K410" s="58">
        <f>IF(OR(H410="",J410=""),"",H410*J410)</f>
        <v/>
      </c>
      <c r="L410" s="63" t="n"/>
      <c r="M410" s="63" t="n"/>
      <c r="N410" s="63" t="n"/>
      <c r="O410" s="58">
        <f>IF(K410="","",K410-IF(L410="",0,L410)+IF(M410="",0,M410)+IF(N410="",0,N410))</f>
        <v/>
      </c>
    </row>
    <row r="411" ht="15.75" customHeight="1" s="99">
      <c r="A411" s="47" t="n"/>
      <c r="B411" s="45" t="n"/>
      <c r="C411" s="47" t="n"/>
      <c r="D411" s="47" t="n"/>
      <c r="E411" s="47" t="n"/>
      <c r="F411" s="47" t="n"/>
      <c r="G411" s="47" t="n"/>
      <c r="H411" s="48" t="n"/>
      <c r="I411" s="47" t="n"/>
      <c r="J411" s="49" t="n"/>
      <c r="K411" s="50">
        <f>IF(OR(H411="",J411=""),"",H411*J411)</f>
        <v/>
      </c>
      <c r="L411" s="62" t="n"/>
      <c r="M411" s="62" t="n"/>
      <c r="N411" s="62" t="n"/>
      <c r="O411" s="50">
        <f>IF(K411="","",K411-IF(L411="",0,L411)+IF(M411="",0,M411)+IF(N411="",0,N411))</f>
        <v/>
      </c>
    </row>
    <row r="412" ht="15.75" customHeight="1" s="99">
      <c r="A412" s="55" t="n"/>
      <c r="B412" s="53" t="n"/>
      <c r="C412" s="55" t="n"/>
      <c r="D412" s="55" t="n"/>
      <c r="E412" s="55" t="n"/>
      <c r="F412" s="55" t="n"/>
      <c r="G412" s="55" t="n"/>
      <c r="H412" s="56" t="n"/>
      <c r="I412" s="55" t="n"/>
      <c r="J412" s="57" t="n"/>
      <c r="K412" s="58">
        <f>IF(OR(H412="",J412=""),"",H412*J412)</f>
        <v/>
      </c>
      <c r="L412" s="63" t="n"/>
      <c r="M412" s="63" t="n"/>
      <c r="N412" s="63" t="n"/>
      <c r="O412" s="58">
        <f>IF(K412="","",K412-IF(L412="",0,L412)+IF(M412="",0,M412)+IF(N412="",0,N412))</f>
        <v/>
      </c>
    </row>
    <row r="413" ht="15.75" customHeight="1" s="99">
      <c r="A413" s="47" t="n"/>
      <c r="B413" s="45" t="n"/>
      <c r="C413" s="47" t="n"/>
      <c r="D413" s="47" t="n"/>
      <c r="E413" s="47" t="n"/>
      <c r="F413" s="47" t="n"/>
      <c r="G413" s="47" t="n"/>
      <c r="H413" s="48" t="n"/>
      <c r="I413" s="47" t="n"/>
      <c r="J413" s="49" t="n"/>
      <c r="K413" s="50">
        <f>IF(OR(H413="",J413=""),"",H413*J413)</f>
        <v/>
      </c>
      <c r="L413" s="62" t="n"/>
      <c r="M413" s="62" t="n"/>
      <c r="N413" s="62" t="n"/>
      <c r="O413" s="50">
        <f>IF(K413="","",K413-IF(L413="",0,L413)+IF(M413="",0,M413)+IF(N413="",0,N413))</f>
        <v/>
      </c>
    </row>
    <row r="414" ht="15.75" customHeight="1" s="99">
      <c r="A414" s="55" t="n"/>
      <c r="B414" s="53" t="n"/>
      <c r="C414" s="55" t="n"/>
      <c r="D414" s="55" t="n"/>
      <c r="E414" s="55" t="n"/>
      <c r="F414" s="55" t="n"/>
      <c r="G414" s="55" t="n"/>
      <c r="H414" s="56" t="n"/>
      <c r="I414" s="55" t="n"/>
      <c r="J414" s="57" t="n"/>
      <c r="K414" s="58">
        <f>IF(OR(H414="",J414=""),"",H414*J414)</f>
        <v/>
      </c>
      <c r="L414" s="63" t="n"/>
      <c r="M414" s="63" t="n"/>
      <c r="N414" s="63" t="n"/>
      <c r="O414" s="58">
        <f>IF(K414="","",K414-IF(L414="",0,L414)+IF(M414="",0,M414)+IF(N414="",0,N414))</f>
        <v/>
      </c>
    </row>
    <row r="415" ht="15.75" customHeight="1" s="99">
      <c r="A415" s="47" t="n"/>
      <c r="B415" s="45" t="n"/>
      <c r="C415" s="47" t="n"/>
      <c r="D415" s="47" t="n"/>
      <c r="E415" s="47" t="n"/>
      <c r="F415" s="47" t="n"/>
      <c r="G415" s="47" t="n"/>
      <c r="H415" s="48" t="n"/>
      <c r="I415" s="47" t="n"/>
      <c r="J415" s="49" t="n"/>
      <c r="K415" s="50">
        <f>IF(OR(H415="",J415=""),"",H415*J415)</f>
        <v/>
      </c>
      <c r="L415" s="62" t="n"/>
      <c r="M415" s="62" t="n"/>
      <c r="N415" s="62" t="n"/>
      <c r="O415" s="50">
        <f>IF(K415="","",K415-IF(L415="",0,L415)+IF(M415="",0,M415)+IF(N415="",0,N415))</f>
        <v/>
      </c>
    </row>
    <row r="416" ht="15.75" customHeight="1" s="99">
      <c r="A416" s="55" t="n"/>
      <c r="B416" s="53" t="n"/>
      <c r="C416" s="55" t="n"/>
      <c r="D416" s="55" t="n"/>
      <c r="E416" s="55" t="n"/>
      <c r="F416" s="55" t="n"/>
      <c r="G416" s="55" t="n"/>
      <c r="H416" s="56" t="n"/>
      <c r="I416" s="55" t="n"/>
      <c r="J416" s="57" t="n"/>
      <c r="K416" s="58">
        <f>IF(OR(H416="",J416=""),"",H416*J416)</f>
        <v/>
      </c>
      <c r="L416" s="63" t="n"/>
      <c r="M416" s="63" t="n"/>
      <c r="N416" s="63" t="n"/>
      <c r="O416" s="58">
        <f>IF(K416="","",K416-IF(L416="",0,L416)+IF(M416="",0,M416)+IF(N416="",0,N416))</f>
        <v/>
      </c>
    </row>
    <row r="417" ht="15.75" customHeight="1" s="99">
      <c r="A417" s="47" t="n"/>
      <c r="B417" s="45" t="n"/>
      <c r="C417" s="47" t="n"/>
      <c r="D417" s="47" t="n"/>
      <c r="E417" s="47" t="n"/>
      <c r="F417" s="47" t="n"/>
      <c r="G417" s="47" t="n"/>
      <c r="H417" s="48" t="n"/>
      <c r="I417" s="47" t="n"/>
      <c r="J417" s="49" t="n"/>
      <c r="K417" s="50">
        <f>IF(OR(H417="",J417=""),"",H417*J417)</f>
        <v/>
      </c>
      <c r="L417" s="62" t="n"/>
      <c r="M417" s="62" t="n"/>
      <c r="N417" s="62" t="n"/>
      <c r="O417" s="50">
        <f>IF(K417="","",K417-IF(L417="",0,L417)+IF(M417="",0,M417)+IF(N417="",0,N417))</f>
        <v/>
      </c>
    </row>
    <row r="418" ht="15.75" customHeight="1" s="99">
      <c r="A418" s="55" t="n"/>
      <c r="B418" s="53" t="n"/>
      <c r="C418" s="55" t="n"/>
      <c r="D418" s="55" t="n"/>
      <c r="E418" s="55" t="n"/>
      <c r="F418" s="55" t="n"/>
      <c r="G418" s="55" t="n"/>
      <c r="H418" s="56" t="n"/>
      <c r="I418" s="55" t="n"/>
      <c r="J418" s="57" t="n"/>
      <c r="K418" s="58">
        <f>IF(OR(H418="",J418=""),"",H418*J418)</f>
        <v/>
      </c>
      <c r="L418" s="63" t="n"/>
      <c r="M418" s="63" t="n"/>
      <c r="N418" s="63" t="n"/>
      <c r="O418" s="58">
        <f>IF(K418="","",K418-IF(L418="",0,L418)+IF(M418="",0,M418)+IF(N418="",0,N418))</f>
        <v/>
      </c>
    </row>
    <row r="419" ht="15.75" customHeight="1" s="99">
      <c r="A419" s="47" t="n"/>
      <c r="B419" s="45" t="n"/>
      <c r="C419" s="47" t="n"/>
      <c r="D419" s="47" t="n"/>
      <c r="E419" s="47" t="n"/>
      <c r="F419" s="47" t="n"/>
      <c r="G419" s="47" t="n"/>
      <c r="H419" s="48" t="n"/>
      <c r="I419" s="47" t="n"/>
      <c r="J419" s="49" t="n"/>
      <c r="K419" s="50">
        <f>IF(OR(H419="",J419=""),"",H419*J419)</f>
        <v/>
      </c>
      <c r="L419" s="62" t="n"/>
      <c r="M419" s="62" t="n"/>
      <c r="N419" s="62" t="n"/>
      <c r="O419" s="50">
        <f>IF(K419="","",K419-IF(L419="",0,L419)+IF(M419="",0,M419)+IF(N419="",0,N419))</f>
        <v/>
      </c>
    </row>
    <row r="420" ht="15.75" customHeight="1" s="99">
      <c r="A420" s="55" t="n"/>
      <c r="B420" s="53" t="n"/>
      <c r="C420" s="55" t="n"/>
      <c r="D420" s="55" t="n"/>
      <c r="E420" s="55" t="n"/>
      <c r="F420" s="55" t="n"/>
      <c r="G420" s="55" t="n"/>
      <c r="H420" s="56" t="n"/>
      <c r="I420" s="55" t="n"/>
      <c r="J420" s="57" t="n"/>
      <c r="K420" s="58">
        <f>IF(OR(H420="",J420=""),"",H420*J420)</f>
        <v/>
      </c>
      <c r="L420" s="63" t="n"/>
      <c r="M420" s="63" t="n"/>
      <c r="N420" s="63" t="n"/>
      <c r="O420" s="58">
        <f>IF(K420="","",K420-IF(L420="",0,L420)+IF(M420="",0,M420)+IF(N420="",0,N420))</f>
        <v/>
      </c>
    </row>
    <row r="421" ht="15.75" customHeight="1" s="99">
      <c r="A421" s="47" t="n"/>
      <c r="B421" s="45" t="n"/>
      <c r="C421" s="47" t="n"/>
      <c r="D421" s="47" t="n"/>
      <c r="E421" s="47" t="n"/>
      <c r="F421" s="47" t="n"/>
      <c r="G421" s="47" t="n"/>
      <c r="H421" s="48" t="n"/>
      <c r="I421" s="47" t="n"/>
      <c r="J421" s="49" t="n"/>
      <c r="K421" s="50">
        <f>IF(OR(H421="",J421=""),"",H421*J421)</f>
        <v/>
      </c>
      <c r="L421" s="62" t="n"/>
      <c r="M421" s="62" t="n"/>
      <c r="N421" s="62" t="n"/>
      <c r="O421" s="50">
        <f>IF(K421="","",K421-IF(L421="",0,L421)+IF(M421="",0,M421)+IF(N421="",0,N421))</f>
        <v/>
      </c>
    </row>
    <row r="422" ht="15.75" customHeight="1" s="99">
      <c r="A422" s="55" t="n"/>
      <c r="B422" s="53" t="n"/>
      <c r="C422" s="55" t="n"/>
      <c r="D422" s="55" t="n"/>
      <c r="E422" s="55" t="n"/>
      <c r="F422" s="55" t="n"/>
      <c r="G422" s="55" t="n"/>
      <c r="H422" s="56" t="n"/>
      <c r="I422" s="55" t="n"/>
      <c r="J422" s="57" t="n"/>
      <c r="K422" s="58">
        <f>IF(OR(H422="",J422=""),"",H422*J422)</f>
        <v/>
      </c>
      <c r="L422" s="63" t="n"/>
      <c r="M422" s="63" t="n"/>
      <c r="N422" s="63" t="n"/>
      <c r="O422" s="58">
        <f>IF(K422="","",K422-IF(L422="",0,L422)+IF(M422="",0,M422)+IF(N422="",0,N422))</f>
        <v/>
      </c>
    </row>
    <row r="423" ht="15.75" customHeight="1" s="99">
      <c r="A423" s="47" t="n"/>
      <c r="B423" s="45" t="n"/>
      <c r="C423" s="47" t="n"/>
      <c r="D423" s="47" t="n"/>
      <c r="E423" s="47" t="n"/>
      <c r="F423" s="47" t="n"/>
      <c r="G423" s="47" t="n"/>
      <c r="H423" s="48" t="n"/>
      <c r="I423" s="47" t="n"/>
      <c r="J423" s="49" t="n"/>
      <c r="K423" s="50">
        <f>IF(OR(H423="",J423=""),"",H423*J423)</f>
        <v/>
      </c>
      <c r="L423" s="62" t="n"/>
      <c r="M423" s="62" t="n"/>
      <c r="N423" s="62" t="n"/>
      <c r="O423" s="50">
        <f>IF(K423="","",K423-IF(L423="",0,L423)+IF(M423="",0,M423)+IF(N423="",0,N423))</f>
        <v/>
      </c>
    </row>
    <row r="424" ht="15.75" customHeight="1" s="99">
      <c r="A424" s="55" t="n"/>
      <c r="B424" s="53" t="n"/>
      <c r="C424" s="55" t="n"/>
      <c r="D424" s="55" t="n"/>
      <c r="E424" s="55" t="n"/>
      <c r="F424" s="55" t="n"/>
      <c r="G424" s="55" t="n"/>
      <c r="H424" s="56" t="n"/>
      <c r="I424" s="55" t="n"/>
      <c r="J424" s="57" t="n"/>
      <c r="K424" s="58">
        <f>IF(OR(H424="",J424=""),"",H424*J424)</f>
        <v/>
      </c>
      <c r="L424" s="63" t="n"/>
      <c r="M424" s="63" t="n"/>
      <c r="N424" s="63" t="n"/>
      <c r="O424" s="58">
        <f>IF(K424="","",K424-IF(L424="",0,L424)+IF(M424="",0,M424)+IF(N424="",0,N424))</f>
        <v/>
      </c>
    </row>
    <row r="425" ht="15.75" customHeight="1" s="99">
      <c r="A425" s="47" t="n"/>
      <c r="B425" s="45" t="n"/>
      <c r="C425" s="47" t="n"/>
      <c r="D425" s="47" t="n"/>
      <c r="E425" s="47" t="n"/>
      <c r="F425" s="47" t="n"/>
      <c r="G425" s="47" t="n"/>
      <c r="H425" s="48" t="n"/>
      <c r="I425" s="47" t="n"/>
      <c r="J425" s="49" t="n"/>
      <c r="K425" s="50">
        <f>IF(OR(H425="",J425=""),"",H425*J425)</f>
        <v/>
      </c>
      <c r="L425" s="62" t="n"/>
      <c r="M425" s="62" t="n"/>
      <c r="N425" s="62" t="n"/>
      <c r="O425" s="50">
        <f>IF(K425="","",K425-IF(L425="",0,L425)+IF(M425="",0,M425)+IF(N425="",0,N425))</f>
        <v/>
      </c>
    </row>
    <row r="426" ht="15.75" customHeight="1" s="99">
      <c r="A426" s="55" t="n"/>
      <c r="B426" s="53" t="n"/>
      <c r="C426" s="55" t="n"/>
      <c r="D426" s="55" t="n"/>
      <c r="E426" s="55" t="n"/>
      <c r="F426" s="55" t="n"/>
      <c r="G426" s="55" t="n"/>
      <c r="H426" s="56" t="n"/>
      <c r="I426" s="55" t="n"/>
      <c r="J426" s="57" t="n"/>
      <c r="K426" s="58">
        <f>IF(OR(H426="",J426=""),"",H426*J426)</f>
        <v/>
      </c>
      <c r="L426" s="63" t="n"/>
      <c r="M426" s="63" t="n"/>
      <c r="N426" s="63" t="n"/>
      <c r="O426" s="58">
        <f>IF(K426="","",K426-IF(L426="",0,L426)+IF(M426="",0,M426)+IF(N426="",0,N426))</f>
        <v/>
      </c>
    </row>
    <row r="427" ht="15.75" customHeight="1" s="99">
      <c r="A427" s="47" t="n"/>
      <c r="B427" s="45" t="n"/>
      <c r="C427" s="47" t="n"/>
      <c r="D427" s="47" t="n"/>
      <c r="E427" s="47" t="n"/>
      <c r="F427" s="47" t="n"/>
      <c r="G427" s="47" t="n"/>
      <c r="H427" s="48" t="n"/>
      <c r="I427" s="47" t="n"/>
      <c r="J427" s="49" t="n"/>
      <c r="K427" s="50">
        <f>IF(OR(H427="",J427=""),"",H427*J427)</f>
        <v/>
      </c>
      <c r="L427" s="62" t="n"/>
      <c r="M427" s="62" t="n"/>
      <c r="N427" s="62" t="n"/>
      <c r="O427" s="50">
        <f>IF(K427="","",K427-IF(L427="",0,L427)+IF(M427="",0,M427)+IF(N427="",0,N427))</f>
        <v/>
      </c>
    </row>
    <row r="428" ht="15.75" customHeight="1" s="99">
      <c r="A428" s="55" t="n"/>
      <c r="B428" s="53" t="n"/>
      <c r="C428" s="55" t="n"/>
      <c r="D428" s="55" t="n"/>
      <c r="E428" s="55" t="n"/>
      <c r="F428" s="55" t="n"/>
      <c r="G428" s="55" t="n"/>
      <c r="H428" s="56" t="n"/>
      <c r="I428" s="55" t="n"/>
      <c r="J428" s="57" t="n"/>
      <c r="K428" s="58">
        <f>IF(OR(H428="",J428=""),"",H428*J428)</f>
        <v/>
      </c>
      <c r="L428" s="63" t="n"/>
      <c r="M428" s="63" t="n"/>
      <c r="N428" s="63" t="n"/>
      <c r="O428" s="58">
        <f>IF(K428="","",K428-IF(L428="",0,L428)+IF(M428="",0,M428)+IF(N428="",0,N428))</f>
        <v/>
      </c>
    </row>
    <row r="429" ht="15.75" customHeight="1" s="99">
      <c r="A429" s="47" t="n"/>
      <c r="B429" s="45" t="n"/>
      <c r="C429" s="47" t="n"/>
      <c r="D429" s="47" t="n"/>
      <c r="E429" s="47" t="n"/>
      <c r="F429" s="47" t="n"/>
      <c r="G429" s="47" t="n"/>
      <c r="H429" s="48" t="n"/>
      <c r="I429" s="47" t="n"/>
      <c r="J429" s="49" t="n"/>
      <c r="K429" s="50">
        <f>IF(OR(H429="",J429=""),"",H429*J429)</f>
        <v/>
      </c>
      <c r="L429" s="62" t="n"/>
      <c r="M429" s="62" t="n"/>
      <c r="N429" s="62" t="n"/>
      <c r="O429" s="50">
        <f>IF(K429="","",K429-IF(L429="",0,L429)+IF(M429="",0,M429)+IF(N429="",0,N429))</f>
        <v/>
      </c>
    </row>
    <row r="430" ht="15.75" customHeight="1" s="99">
      <c r="A430" s="55" t="n"/>
      <c r="B430" s="53" t="n"/>
      <c r="C430" s="55" t="n"/>
      <c r="D430" s="55" t="n"/>
      <c r="E430" s="55" t="n"/>
      <c r="F430" s="55" t="n"/>
      <c r="G430" s="55" t="n"/>
      <c r="H430" s="56" t="n"/>
      <c r="I430" s="55" t="n"/>
      <c r="J430" s="57" t="n"/>
      <c r="K430" s="58">
        <f>IF(OR(H430="",J430=""),"",H430*J430)</f>
        <v/>
      </c>
      <c r="L430" s="63" t="n"/>
      <c r="M430" s="63" t="n"/>
      <c r="N430" s="63" t="n"/>
      <c r="O430" s="58">
        <f>IF(K430="","",K430-IF(L430="",0,L430)+IF(M430="",0,M430)+IF(N430="",0,N430))</f>
        <v/>
      </c>
    </row>
    <row r="431" ht="15.75" customHeight="1" s="99">
      <c r="A431" s="47" t="n"/>
      <c r="B431" s="45" t="n"/>
      <c r="C431" s="47" t="n"/>
      <c r="D431" s="47" t="n"/>
      <c r="E431" s="47" t="n"/>
      <c r="F431" s="47" t="n"/>
      <c r="G431" s="47" t="n"/>
      <c r="H431" s="48" t="n"/>
      <c r="I431" s="47" t="n"/>
      <c r="J431" s="49" t="n"/>
      <c r="K431" s="50">
        <f>IF(OR(H431="",J431=""),"",H431*J431)</f>
        <v/>
      </c>
      <c r="L431" s="62" t="n"/>
      <c r="M431" s="62" t="n"/>
      <c r="N431" s="62" t="n"/>
      <c r="O431" s="50">
        <f>IF(K431="","",K431-IF(L431="",0,L431)+IF(M431="",0,M431)+IF(N431="",0,N431))</f>
        <v/>
      </c>
    </row>
    <row r="432" ht="15.75" customHeight="1" s="99">
      <c r="A432" s="55" t="n"/>
      <c r="B432" s="53" t="n"/>
      <c r="C432" s="55" t="n"/>
      <c r="D432" s="55" t="n"/>
      <c r="E432" s="55" t="n"/>
      <c r="F432" s="55" t="n"/>
      <c r="G432" s="55" t="n"/>
      <c r="H432" s="56" t="n"/>
      <c r="I432" s="55" t="n"/>
      <c r="J432" s="57" t="n"/>
      <c r="K432" s="58">
        <f>IF(OR(H432="",J432=""),"",H432*J432)</f>
        <v/>
      </c>
      <c r="L432" s="63" t="n"/>
      <c r="M432" s="63" t="n"/>
      <c r="N432" s="63" t="n"/>
      <c r="O432" s="58">
        <f>IF(K432="","",K432-IF(L432="",0,L432)+IF(M432="",0,M432)+IF(N432="",0,N432))</f>
        <v/>
      </c>
    </row>
    <row r="433" ht="15.75" customHeight="1" s="99">
      <c r="A433" s="47" t="n"/>
      <c r="B433" s="45" t="n"/>
      <c r="C433" s="47" t="n"/>
      <c r="D433" s="47" t="n"/>
      <c r="E433" s="47" t="n"/>
      <c r="F433" s="47" t="n"/>
      <c r="G433" s="47" t="n"/>
      <c r="H433" s="48" t="n"/>
      <c r="I433" s="47" t="n"/>
      <c r="J433" s="49" t="n"/>
      <c r="K433" s="50">
        <f>IF(OR(H433="",J433=""),"",H433*J433)</f>
        <v/>
      </c>
      <c r="L433" s="62" t="n"/>
      <c r="M433" s="62" t="n"/>
      <c r="N433" s="62" t="n"/>
      <c r="O433" s="50">
        <f>IF(K433="","",K433-IF(L433="",0,L433)+IF(M433="",0,M433)+IF(N433="",0,N433))</f>
        <v/>
      </c>
    </row>
    <row r="434" ht="15.75" customHeight="1" s="99">
      <c r="A434" s="55" t="n"/>
      <c r="B434" s="53" t="n"/>
      <c r="C434" s="55" t="n"/>
      <c r="D434" s="55" t="n"/>
      <c r="E434" s="55" t="n"/>
      <c r="F434" s="55" t="n"/>
      <c r="G434" s="55" t="n"/>
      <c r="H434" s="56" t="n"/>
      <c r="I434" s="55" t="n"/>
      <c r="J434" s="57" t="n"/>
      <c r="K434" s="58">
        <f>IF(OR(H434="",J434=""),"",H434*J434)</f>
        <v/>
      </c>
      <c r="L434" s="63" t="n"/>
      <c r="M434" s="63" t="n"/>
      <c r="N434" s="63" t="n"/>
      <c r="O434" s="58">
        <f>IF(K434="","",K434-IF(L434="",0,L434)+IF(M434="",0,M434)+IF(N434="",0,N434))</f>
        <v/>
      </c>
    </row>
    <row r="435" ht="15.75" customHeight="1" s="99">
      <c r="A435" s="47" t="n"/>
      <c r="B435" s="45" t="n"/>
      <c r="C435" s="47" t="n"/>
      <c r="D435" s="47" t="n"/>
      <c r="E435" s="47" t="n"/>
      <c r="F435" s="47" t="n"/>
      <c r="G435" s="47" t="n"/>
      <c r="H435" s="48" t="n"/>
      <c r="I435" s="47" t="n"/>
      <c r="J435" s="49" t="n"/>
      <c r="K435" s="50">
        <f>IF(OR(H435="",J435=""),"",H435*J435)</f>
        <v/>
      </c>
      <c r="L435" s="62" t="n"/>
      <c r="M435" s="62" t="n"/>
      <c r="N435" s="62" t="n"/>
      <c r="O435" s="50">
        <f>IF(K435="","",K435-IF(L435="",0,L435)+IF(M435="",0,M435)+IF(N435="",0,N435))</f>
        <v/>
      </c>
    </row>
    <row r="436" ht="15.75" customHeight="1" s="99">
      <c r="A436" s="55" t="n"/>
      <c r="B436" s="53" t="n"/>
      <c r="C436" s="55" t="n"/>
      <c r="D436" s="55" t="n"/>
      <c r="E436" s="55" t="n"/>
      <c r="F436" s="55" t="n"/>
      <c r="G436" s="55" t="n"/>
      <c r="H436" s="56" t="n"/>
      <c r="I436" s="55" t="n"/>
      <c r="J436" s="57" t="n"/>
      <c r="K436" s="58">
        <f>IF(OR(H436="",J436=""),"",H436*J436)</f>
        <v/>
      </c>
      <c r="L436" s="63" t="n"/>
      <c r="M436" s="63" t="n"/>
      <c r="N436" s="63" t="n"/>
      <c r="O436" s="58">
        <f>IF(K436="","",K436-IF(L436="",0,L436)+IF(M436="",0,M436)+IF(N436="",0,N436))</f>
        <v/>
      </c>
    </row>
    <row r="437" ht="15.75" customHeight="1" s="99">
      <c r="A437" s="47" t="n"/>
      <c r="B437" s="45" t="n"/>
      <c r="C437" s="47" t="n"/>
      <c r="D437" s="47" t="n"/>
      <c r="E437" s="47" t="n"/>
      <c r="F437" s="47" t="n"/>
      <c r="G437" s="47" t="n"/>
      <c r="H437" s="48" t="n"/>
      <c r="I437" s="47" t="n"/>
      <c r="J437" s="49" t="n"/>
      <c r="K437" s="50">
        <f>IF(OR(H437="",J437=""),"",H437*J437)</f>
        <v/>
      </c>
      <c r="L437" s="62" t="n"/>
      <c r="M437" s="62" t="n"/>
      <c r="N437" s="62" t="n"/>
      <c r="O437" s="50">
        <f>IF(K437="","",K437-IF(L437="",0,L437)+IF(M437="",0,M437)+IF(N437="",0,N437))</f>
        <v/>
      </c>
    </row>
    <row r="438" ht="15.75" customHeight="1" s="99">
      <c r="A438" s="55" t="n"/>
      <c r="B438" s="53" t="n"/>
      <c r="C438" s="55" t="n"/>
      <c r="D438" s="55" t="n"/>
      <c r="E438" s="55" t="n"/>
      <c r="F438" s="55" t="n"/>
      <c r="G438" s="55" t="n"/>
      <c r="H438" s="56" t="n"/>
      <c r="I438" s="55" t="n"/>
      <c r="J438" s="57" t="n"/>
      <c r="K438" s="58">
        <f>IF(OR(H438="",J438=""),"",H438*J438)</f>
        <v/>
      </c>
      <c r="L438" s="63" t="n"/>
      <c r="M438" s="63" t="n"/>
      <c r="N438" s="63" t="n"/>
      <c r="O438" s="58">
        <f>IF(K438="","",K438-IF(L438="",0,L438)+IF(M438="",0,M438)+IF(N438="",0,N438))</f>
        <v/>
      </c>
    </row>
    <row r="439" ht="15.75" customHeight="1" s="99">
      <c r="A439" s="47" t="n"/>
      <c r="B439" s="45" t="n"/>
      <c r="C439" s="47" t="n"/>
      <c r="D439" s="47" t="n"/>
      <c r="E439" s="47" t="n"/>
      <c r="F439" s="47" t="n"/>
      <c r="G439" s="47" t="n"/>
      <c r="H439" s="48" t="n"/>
      <c r="I439" s="47" t="n"/>
      <c r="J439" s="49" t="n"/>
      <c r="K439" s="50">
        <f>IF(OR(H439="",J439=""),"",H439*J439)</f>
        <v/>
      </c>
      <c r="L439" s="62" t="n"/>
      <c r="M439" s="62" t="n"/>
      <c r="N439" s="62" t="n"/>
      <c r="O439" s="50">
        <f>IF(K439="","",K439-IF(L439="",0,L439)+IF(M439="",0,M439)+IF(N439="",0,N439))</f>
        <v/>
      </c>
    </row>
    <row r="440" ht="15.75" customHeight="1" s="99">
      <c r="A440" s="55" t="n"/>
      <c r="B440" s="53" t="n"/>
      <c r="C440" s="55" t="n"/>
      <c r="D440" s="55" t="n"/>
      <c r="E440" s="55" t="n"/>
      <c r="F440" s="55" t="n"/>
      <c r="G440" s="55" t="n"/>
      <c r="H440" s="56" t="n"/>
      <c r="I440" s="55" t="n"/>
      <c r="J440" s="57" t="n"/>
      <c r="K440" s="58">
        <f>IF(OR(H440="",J440=""),"",H440*J440)</f>
        <v/>
      </c>
      <c r="L440" s="63" t="n"/>
      <c r="M440" s="63" t="n"/>
      <c r="N440" s="63" t="n"/>
      <c r="O440" s="58">
        <f>IF(K440="","",K440-IF(L440="",0,L440)+IF(M440="",0,M440)+IF(N440="",0,N440))</f>
        <v/>
      </c>
    </row>
    <row r="441" ht="15.75" customHeight="1" s="99">
      <c r="A441" s="47" t="n"/>
      <c r="B441" s="45" t="n"/>
      <c r="C441" s="47" t="n"/>
      <c r="D441" s="47" t="n"/>
      <c r="E441" s="47" t="n"/>
      <c r="F441" s="47" t="n"/>
      <c r="G441" s="47" t="n"/>
      <c r="H441" s="48" t="n"/>
      <c r="I441" s="47" t="n"/>
      <c r="J441" s="49" t="n"/>
      <c r="K441" s="50">
        <f>IF(OR(H441="",J441=""),"",H441*J441)</f>
        <v/>
      </c>
      <c r="L441" s="62" t="n"/>
      <c r="M441" s="62" t="n"/>
      <c r="N441" s="62" t="n"/>
      <c r="O441" s="50">
        <f>IF(K441="","",K441-IF(L441="",0,L441)+IF(M441="",0,M441)+IF(N441="",0,N441))</f>
        <v/>
      </c>
    </row>
    <row r="442" ht="15.75" customHeight="1" s="99">
      <c r="A442" s="55" t="n"/>
      <c r="B442" s="53" t="n"/>
      <c r="C442" s="55" t="n"/>
      <c r="D442" s="55" t="n"/>
      <c r="E442" s="55" t="n"/>
      <c r="F442" s="55" t="n"/>
      <c r="G442" s="55" t="n"/>
      <c r="H442" s="56" t="n"/>
      <c r="I442" s="55" t="n"/>
      <c r="J442" s="57" t="n"/>
      <c r="K442" s="58">
        <f>IF(OR(H442="",J442=""),"",H442*J442)</f>
        <v/>
      </c>
      <c r="L442" s="63" t="n"/>
      <c r="M442" s="63" t="n"/>
      <c r="N442" s="63" t="n"/>
      <c r="O442" s="58">
        <f>IF(K442="","",K442-IF(L442="",0,L442)+IF(M442="",0,M442)+IF(N442="",0,N442))</f>
        <v/>
      </c>
    </row>
    <row r="443" ht="15.75" customHeight="1" s="99">
      <c r="A443" s="47" t="n"/>
      <c r="B443" s="45" t="n"/>
      <c r="C443" s="47" t="n"/>
      <c r="D443" s="47" t="n"/>
      <c r="E443" s="47" t="n"/>
      <c r="F443" s="47" t="n"/>
      <c r="G443" s="47" t="n"/>
      <c r="H443" s="48" t="n"/>
      <c r="I443" s="47" t="n"/>
      <c r="J443" s="49" t="n"/>
      <c r="K443" s="50">
        <f>IF(OR(H443="",J443=""),"",H443*J443)</f>
        <v/>
      </c>
      <c r="L443" s="62" t="n"/>
      <c r="M443" s="62" t="n"/>
      <c r="N443" s="62" t="n"/>
      <c r="O443" s="50">
        <f>IF(K443="","",K443-IF(L443="",0,L443)+IF(M443="",0,M443)+IF(N443="",0,N443))</f>
        <v/>
      </c>
    </row>
    <row r="444" ht="15.75" customHeight="1" s="99">
      <c r="A444" s="55" t="n"/>
      <c r="B444" s="53" t="n"/>
      <c r="C444" s="55" t="n"/>
      <c r="D444" s="55" t="n"/>
      <c r="E444" s="55" t="n"/>
      <c r="F444" s="55" t="n"/>
      <c r="G444" s="55" t="n"/>
      <c r="H444" s="56" t="n"/>
      <c r="I444" s="55" t="n"/>
      <c r="J444" s="57" t="n"/>
      <c r="K444" s="58">
        <f>IF(OR(H444="",J444=""),"",H444*J444)</f>
        <v/>
      </c>
      <c r="L444" s="63" t="n"/>
      <c r="M444" s="63" t="n"/>
      <c r="N444" s="63" t="n"/>
      <c r="O444" s="58">
        <f>IF(K444="","",K444-IF(L444="",0,L444)+IF(M444="",0,M444)+IF(N444="",0,N444))</f>
        <v/>
      </c>
    </row>
    <row r="445" ht="15.75" customHeight="1" s="99">
      <c r="A445" s="47" t="n"/>
      <c r="B445" s="45" t="n"/>
      <c r="C445" s="47" t="n"/>
      <c r="D445" s="47" t="n"/>
      <c r="E445" s="47" t="n"/>
      <c r="F445" s="47" t="n"/>
      <c r="G445" s="47" t="n"/>
      <c r="H445" s="48" t="n"/>
      <c r="I445" s="47" t="n"/>
      <c r="J445" s="49" t="n"/>
      <c r="K445" s="50">
        <f>IF(OR(H445="",J445=""),"",H445*J445)</f>
        <v/>
      </c>
      <c r="L445" s="62" t="n"/>
      <c r="M445" s="62" t="n"/>
      <c r="N445" s="62" t="n"/>
      <c r="O445" s="50">
        <f>IF(K445="","",K445-IF(L445="",0,L445)+IF(M445="",0,M445)+IF(N445="",0,N445))</f>
        <v/>
      </c>
    </row>
    <row r="446" ht="15.75" customHeight="1" s="99">
      <c r="A446" s="55" t="n"/>
      <c r="B446" s="53" t="n"/>
      <c r="C446" s="55" t="n"/>
      <c r="D446" s="55" t="n"/>
      <c r="E446" s="55" t="n"/>
      <c r="F446" s="55" t="n"/>
      <c r="G446" s="55" t="n"/>
      <c r="H446" s="56" t="n"/>
      <c r="I446" s="55" t="n"/>
      <c r="J446" s="57" t="n"/>
      <c r="K446" s="58">
        <f>IF(OR(H446="",J446=""),"",H446*J446)</f>
        <v/>
      </c>
      <c r="L446" s="63" t="n"/>
      <c r="M446" s="63" t="n"/>
      <c r="N446" s="63" t="n"/>
      <c r="O446" s="58">
        <f>IF(K446="","",K446-IF(L446="",0,L446)+IF(M446="",0,M446)+IF(N446="",0,N446))</f>
        <v/>
      </c>
    </row>
    <row r="447" ht="15.75" customHeight="1" s="99">
      <c r="A447" s="47" t="n"/>
      <c r="B447" s="45" t="n"/>
      <c r="C447" s="47" t="n"/>
      <c r="D447" s="47" t="n"/>
      <c r="E447" s="47" t="n"/>
      <c r="F447" s="47" t="n"/>
      <c r="G447" s="47" t="n"/>
      <c r="H447" s="48" t="n"/>
      <c r="I447" s="47" t="n"/>
      <c r="J447" s="49" t="n"/>
      <c r="K447" s="50">
        <f>IF(OR(H447="",J447=""),"",H447*J447)</f>
        <v/>
      </c>
      <c r="L447" s="62" t="n"/>
      <c r="M447" s="62" t="n"/>
      <c r="N447" s="62" t="n"/>
      <c r="O447" s="50">
        <f>IF(K447="","",K447-IF(L447="",0,L447)+IF(M447="",0,M447)+IF(N447="",0,N447))</f>
        <v/>
      </c>
    </row>
    <row r="448" ht="15.75" customHeight="1" s="99">
      <c r="A448" s="55" t="n"/>
      <c r="B448" s="53" t="n"/>
      <c r="C448" s="55" t="n"/>
      <c r="D448" s="55" t="n"/>
      <c r="E448" s="55" t="n"/>
      <c r="F448" s="55" t="n"/>
      <c r="G448" s="55" t="n"/>
      <c r="H448" s="56" t="n"/>
      <c r="I448" s="55" t="n"/>
      <c r="J448" s="57" t="n"/>
      <c r="K448" s="58">
        <f>IF(OR(H448="",J448=""),"",H448*J448)</f>
        <v/>
      </c>
      <c r="L448" s="63" t="n"/>
      <c r="M448" s="63" t="n"/>
      <c r="N448" s="63" t="n"/>
      <c r="O448" s="58">
        <f>IF(K448="","",K448-IF(L448="",0,L448)+IF(M448="",0,M448)+IF(N448="",0,N448))</f>
        <v/>
      </c>
    </row>
    <row r="449" ht="15.75" customHeight="1" s="99">
      <c r="A449" s="47" t="n"/>
      <c r="B449" s="45" t="n"/>
      <c r="C449" s="47" t="n"/>
      <c r="D449" s="47" t="n"/>
      <c r="E449" s="47" t="n"/>
      <c r="F449" s="47" t="n"/>
      <c r="G449" s="47" t="n"/>
      <c r="H449" s="48" t="n"/>
      <c r="I449" s="47" t="n"/>
      <c r="J449" s="49" t="n"/>
      <c r="K449" s="50">
        <f>IF(OR(H449="",J449=""),"",H449*J449)</f>
        <v/>
      </c>
      <c r="L449" s="62" t="n"/>
      <c r="M449" s="62" t="n"/>
      <c r="N449" s="62" t="n"/>
      <c r="O449" s="50">
        <f>IF(K449="","",K449-IF(L449="",0,L449)+IF(M449="",0,M449)+IF(N449="",0,N449))</f>
        <v/>
      </c>
    </row>
    <row r="450" ht="15.75" customHeight="1" s="99">
      <c r="A450" s="55" t="n"/>
      <c r="B450" s="53" t="n"/>
      <c r="C450" s="55" t="n"/>
      <c r="D450" s="55" t="n"/>
      <c r="E450" s="55" t="n"/>
      <c r="F450" s="55" t="n"/>
      <c r="G450" s="55" t="n"/>
      <c r="H450" s="56" t="n"/>
      <c r="I450" s="55" t="n"/>
      <c r="J450" s="57" t="n"/>
      <c r="K450" s="58">
        <f>IF(OR(H450="",J450=""),"",H450*J450)</f>
        <v/>
      </c>
      <c r="L450" s="63" t="n"/>
      <c r="M450" s="63" t="n"/>
      <c r="N450" s="63" t="n"/>
      <c r="O450" s="58">
        <f>IF(K450="","",K450-IF(L450="",0,L450)+IF(M450="",0,M450)+IF(N450="",0,N450))</f>
        <v/>
      </c>
    </row>
    <row r="451" ht="15.75" customHeight="1" s="99">
      <c r="A451" s="47" t="n"/>
      <c r="B451" s="45" t="n"/>
      <c r="C451" s="47" t="n"/>
      <c r="D451" s="47" t="n"/>
      <c r="E451" s="47" t="n"/>
      <c r="F451" s="47" t="n"/>
      <c r="G451" s="47" t="n"/>
      <c r="H451" s="48" t="n"/>
      <c r="I451" s="47" t="n"/>
      <c r="J451" s="49" t="n"/>
      <c r="K451" s="50">
        <f>IF(OR(H451="",J451=""),"",H451*J451)</f>
        <v/>
      </c>
      <c r="L451" s="62" t="n"/>
      <c r="M451" s="62" t="n"/>
      <c r="N451" s="62" t="n"/>
      <c r="O451" s="50">
        <f>IF(K451="","",K451-IF(L451="",0,L451)+IF(M451="",0,M451)+IF(N451="",0,N451))</f>
        <v/>
      </c>
    </row>
    <row r="452" ht="15.75" customHeight="1" s="99">
      <c r="A452" s="55" t="n"/>
      <c r="B452" s="53" t="n"/>
      <c r="C452" s="55" t="n"/>
      <c r="D452" s="55" t="n"/>
      <c r="E452" s="55" t="n"/>
      <c r="F452" s="55" t="n"/>
      <c r="G452" s="55" t="n"/>
      <c r="H452" s="56" t="n"/>
      <c r="I452" s="55" t="n"/>
      <c r="J452" s="57" t="n"/>
      <c r="K452" s="58">
        <f>IF(OR(H452="",J452=""),"",H452*J452)</f>
        <v/>
      </c>
      <c r="L452" s="63" t="n"/>
      <c r="M452" s="63" t="n"/>
      <c r="N452" s="63" t="n"/>
      <c r="O452" s="58">
        <f>IF(K452="","",K452-IF(L452="",0,L452)+IF(M452="",0,M452)+IF(N452="",0,N452))</f>
        <v/>
      </c>
    </row>
    <row r="453" ht="15.75" customHeight="1" s="99">
      <c r="A453" s="47" t="n"/>
      <c r="B453" s="45" t="n"/>
      <c r="C453" s="47" t="n"/>
      <c r="D453" s="47" t="n"/>
      <c r="E453" s="47" t="n"/>
      <c r="F453" s="47" t="n"/>
      <c r="G453" s="47" t="n"/>
      <c r="H453" s="48" t="n"/>
      <c r="I453" s="47" t="n"/>
      <c r="J453" s="49" t="n"/>
      <c r="K453" s="50">
        <f>IF(OR(H453="",J453=""),"",H453*J453)</f>
        <v/>
      </c>
      <c r="L453" s="62" t="n"/>
      <c r="M453" s="62" t="n"/>
      <c r="N453" s="62" t="n"/>
      <c r="O453" s="50">
        <f>IF(K453="","",K453-IF(L453="",0,L453)+IF(M453="",0,M453)+IF(N453="",0,N453))</f>
        <v/>
      </c>
    </row>
    <row r="454" ht="15.75" customHeight="1" s="99">
      <c r="A454" s="55" t="n"/>
      <c r="B454" s="53" t="n"/>
      <c r="C454" s="55" t="n"/>
      <c r="D454" s="55" t="n"/>
      <c r="E454" s="55" t="n"/>
      <c r="F454" s="55" t="n"/>
      <c r="G454" s="55" t="n"/>
      <c r="H454" s="56" t="n"/>
      <c r="I454" s="55" t="n"/>
      <c r="J454" s="57" t="n"/>
      <c r="K454" s="58">
        <f>IF(OR(H454="",J454=""),"",H454*J454)</f>
        <v/>
      </c>
      <c r="L454" s="63" t="n"/>
      <c r="M454" s="63" t="n"/>
      <c r="N454" s="63" t="n"/>
      <c r="O454" s="58">
        <f>IF(K454="","",K454-IF(L454="",0,L454)+IF(M454="",0,M454)+IF(N454="",0,N454))</f>
        <v/>
      </c>
    </row>
    <row r="455" ht="15.75" customHeight="1" s="99">
      <c r="A455" s="47" t="n"/>
      <c r="B455" s="45" t="n"/>
      <c r="C455" s="47" t="n"/>
      <c r="D455" s="47" t="n"/>
      <c r="E455" s="47" t="n"/>
      <c r="F455" s="47" t="n"/>
      <c r="G455" s="47" t="n"/>
      <c r="H455" s="48" t="n"/>
      <c r="I455" s="47" t="n"/>
      <c r="J455" s="49" t="n"/>
      <c r="K455" s="50">
        <f>IF(OR(H455="",J455=""),"",H455*J455)</f>
        <v/>
      </c>
      <c r="L455" s="62" t="n"/>
      <c r="M455" s="62" t="n"/>
      <c r="N455" s="62" t="n"/>
      <c r="O455" s="50">
        <f>IF(K455="","",K455-IF(L455="",0,L455)+IF(M455="",0,M455)+IF(N455="",0,N455))</f>
        <v/>
      </c>
    </row>
    <row r="456" ht="15.75" customHeight="1" s="99">
      <c r="A456" s="55" t="n"/>
      <c r="B456" s="53" t="n"/>
      <c r="C456" s="55" t="n"/>
      <c r="D456" s="55" t="n"/>
      <c r="E456" s="55" t="n"/>
      <c r="F456" s="55" t="n"/>
      <c r="G456" s="55" t="n"/>
      <c r="H456" s="56" t="n"/>
      <c r="I456" s="55" t="n"/>
      <c r="J456" s="57" t="n"/>
      <c r="K456" s="58">
        <f>IF(OR(H456="",J456=""),"",H456*J456)</f>
        <v/>
      </c>
      <c r="L456" s="63" t="n"/>
      <c r="M456" s="63" t="n"/>
      <c r="N456" s="63" t="n"/>
      <c r="O456" s="58">
        <f>IF(K456="","",K456-IF(L456="",0,L456)+IF(M456="",0,M456)+IF(N456="",0,N456))</f>
        <v/>
      </c>
    </row>
    <row r="457" ht="15.75" customHeight="1" s="99">
      <c r="A457" s="47" t="n"/>
      <c r="B457" s="45" t="n"/>
      <c r="C457" s="47" t="n"/>
      <c r="D457" s="47" t="n"/>
      <c r="E457" s="47" t="n"/>
      <c r="F457" s="47" t="n"/>
      <c r="G457" s="47" t="n"/>
      <c r="H457" s="48" t="n"/>
      <c r="I457" s="47" t="n"/>
      <c r="J457" s="49" t="n"/>
      <c r="K457" s="50">
        <f>IF(OR(H457="",J457=""),"",H457*J457)</f>
        <v/>
      </c>
      <c r="L457" s="62" t="n"/>
      <c r="M457" s="62" t="n"/>
      <c r="N457" s="62" t="n"/>
      <c r="O457" s="50">
        <f>IF(K457="","",K457-IF(L457="",0,L457)+IF(M457="",0,M457)+IF(N457="",0,N457))</f>
        <v/>
      </c>
    </row>
    <row r="458" ht="15.75" customHeight="1" s="99">
      <c r="A458" s="55" t="n"/>
      <c r="B458" s="53" t="n"/>
      <c r="C458" s="55" t="n"/>
      <c r="D458" s="55" t="n"/>
      <c r="E458" s="55" t="n"/>
      <c r="F458" s="55" t="n"/>
      <c r="G458" s="55" t="n"/>
      <c r="H458" s="56" t="n"/>
      <c r="I458" s="55" t="n"/>
      <c r="J458" s="57" t="n"/>
      <c r="K458" s="58">
        <f>IF(OR(H458="",J458=""),"",H458*J458)</f>
        <v/>
      </c>
      <c r="L458" s="63" t="n"/>
      <c r="M458" s="63" t="n"/>
      <c r="N458" s="63" t="n"/>
      <c r="O458" s="58">
        <f>IF(K458="","",K458-IF(L458="",0,L458)+IF(M458="",0,M458)+IF(N458="",0,N458))</f>
        <v/>
      </c>
    </row>
    <row r="459" ht="15.75" customHeight="1" s="99">
      <c r="A459" s="47" t="n"/>
      <c r="B459" s="45" t="n"/>
      <c r="C459" s="47" t="n"/>
      <c r="D459" s="47" t="n"/>
      <c r="E459" s="47" t="n"/>
      <c r="F459" s="47" t="n"/>
      <c r="G459" s="47" t="n"/>
      <c r="H459" s="48" t="n"/>
      <c r="I459" s="47" t="n"/>
      <c r="J459" s="49" t="n"/>
      <c r="K459" s="50">
        <f>IF(OR(H459="",J459=""),"",H459*J459)</f>
        <v/>
      </c>
      <c r="L459" s="62" t="n"/>
      <c r="M459" s="62" t="n"/>
      <c r="N459" s="62" t="n"/>
      <c r="O459" s="50">
        <f>IF(K459="","",K459-IF(L459="",0,L459)+IF(M459="",0,M459)+IF(N459="",0,N459))</f>
        <v/>
      </c>
    </row>
    <row r="460" ht="15.75" customHeight="1" s="99">
      <c r="A460" s="55" t="n"/>
      <c r="B460" s="53" t="n"/>
      <c r="C460" s="55" t="n"/>
      <c r="D460" s="55" t="n"/>
      <c r="E460" s="55" t="n"/>
      <c r="F460" s="55" t="n"/>
      <c r="G460" s="55" t="n"/>
      <c r="H460" s="56" t="n"/>
      <c r="I460" s="55" t="n"/>
      <c r="J460" s="57" t="n"/>
      <c r="K460" s="58">
        <f>IF(OR(H460="",J460=""),"",H460*J460)</f>
        <v/>
      </c>
      <c r="L460" s="63" t="n"/>
      <c r="M460" s="63" t="n"/>
      <c r="N460" s="63" t="n"/>
      <c r="O460" s="58">
        <f>IF(K460="","",K460-IF(L460="",0,L460)+IF(M460="",0,M460)+IF(N460="",0,N460))</f>
        <v/>
      </c>
    </row>
    <row r="461" ht="15.75" customHeight="1" s="99">
      <c r="A461" s="47" t="n"/>
      <c r="B461" s="45" t="n"/>
      <c r="C461" s="47" t="n"/>
      <c r="D461" s="47" t="n"/>
      <c r="E461" s="47" t="n"/>
      <c r="F461" s="47" t="n"/>
      <c r="G461" s="47" t="n"/>
      <c r="H461" s="48" t="n"/>
      <c r="I461" s="47" t="n"/>
      <c r="J461" s="49" t="n"/>
      <c r="K461" s="50">
        <f>IF(OR(H461="",J461=""),"",H461*J461)</f>
        <v/>
      </c>
      <c r="L461" s="62" t="n"/>
      <c r="M461" s="62" t="n"/>
      <c r="N461" s="62" t="n"/>
      <c r="O461" s="50">
        <f>IF(K461="","",K461-IF(L461="",0,L461)+IF(M461="",0,M461)+IF(N461="",0,N461))</f>
        <v/>
      </c>
    </row>
    <row r="462" ht="15.75" customHeight="1" s="99">
      <c r="A462" s="55" t="n"/>
      <c r="B462" s="53" t="n"/>
      <c r="C462" s="55" t="n"/>
      <c r="D462" s="55" t="n"/>
      <c r="E462" s="55" t="n"/>
      <c r="F462" s="55" t="n"/>
      <c r="G462" s="55" t="n"/>
      <c r="H462" s="56" t="n"/>
      <c r="I462" s="55" t="n"/>
      <c r="J462" s="57" t="n"/>
      <c r="K462" s="58">
        <f>IF(OR(H462="",J462=""),"",H462*J462)</f>
        <v/>
      </c>
      <c r="L462" s="63" t="n"/>
      <c r="M462" s="63" t="n"/>
      <c r="N462" s="63" t="n"/>
      <c r="O462" s="58">
        <f>IF(K462="","",K462-IF(L462="",0,L462)+IF(M462="",0,M462)+IF(N462="",0,N462))</f>
        <v/>
      </c>
    </row>
    <row r="463" ht="15.75" customHeight="1" s="99">
      <c r="A463" s="47" t="n"/>
      <c r="B463" s="45" t="n"/>
      <c r="C463" s="47" t="n"/>
      <c r="D463" s="47" t="n"/>
      <c r="E463" s="47" t="n"/>
      <c r="F463" s="47" t="n"/>
      <c r="G463" s="47" t="n"/>
      <c r="H463" s="48" t="n"/>
      <c r="I463" s="47" t="n"/>
      <c r="J463" s="49" t="n"/>
      <c r="K463" s="50">
        <f>IF(OR(H463="",J463=""),"",H463*J463)</f>
        <v/>
      </c>
      <c r="L463" s="62" t="n"/>
      <c r="M463" s="62" t="n"/>
      <c r="N463" s="62" t="n"/>
      <c r="O463" s="50">
        <f>IF(K463="","",K463-IF(L463="",0,L463)+IF(M463="",0,M463)+IF(N463="",0,N463))</f>
        <v/>
      </c>
    </row>
    <row r="464" ht="15.75" customHeight="1" s="99">
      <c r="A464" s="55" t="n"/>
      <c r="B464" s="53" t="n"/>
      <c r="C464" s="55" t="n"/>
      <c r="D464" s="55" t="n"/>
      <c r="E464" s="55" t="n"/>
      <c r="F464" s="55" t="n"/>
      <c r="G464" s="55" t="n"/>
      <c r="H464" s="56" t="n"/>
      <c r="I464" s="55" t="n"/>
      <c r="J464" s="57" t="n"/>
      <c r="K464" s="58">
        <f>IF(OR(H464="",J464=""),"",H464*J464)</f>
        <v/>
      </c>
      <c r="L464" s="63" t="n"/>
      <c r="M464" s="63" t="n"/>
      <c r="N464" s="63" t="n"/>
      <c r="O464" s="58">
        <f>IF(K464="","",K464-IF(L464="",0,L464)+IF(M464="",0,M464)+IF(N464="",0,N464))</f>
        <v/>
      </c>
    </row>
    <row r="465" ht="15.75" customHeight="1" s="99">
      <c r="A465" s="47" t="n"/>
      <c r="B465" s="45" t="n"/>
      <c r="C465" s="47" t="n"/>
      <c r="D465" s="47" t="n"/>
      <c r="E465" s="47" t="n"/>
      <c r="F465" s="47" t="n"/>
      <c r="G465" s="47" t="n"/>
      <c r="H465" s="48" t="n"/>
      <c r="I465" s="47" t="n"/>
      <c r="J465" s="49" t="n"/>
      <c r="K465" s="50">
        <f>IF(OR(H465="",J465=""),"",H465*J465)</f>
        <v/>
      </c>
      <c r="L465" s="62" t="n"/>
      <c r="M465" s="62" t="n"/>
      <c r="N465" s="62" t="n"/>
      <c r="O465" s="50">
        <f>IF(K465="","",K465-IF(L465="",0,L465)+IF(M465="",0,M465)+IF(N465="",0,N465))</f>
        <v/>
      </c>
    </row>
    <row r="466" ht="15.75" customHeight="1" s="99">
      <c r="A466" s="55" t="n"/>
      <c r="B466" s="53" t="n"/>
      <c r="C466" s="55" t="n"/>
      <c r="D466" s="55" t="n"/>
      <c r="E466" s="55" t="n"/>
      <c r="F466" s="55" t="n"/>
      <c r="G466" s="55" t="n"/>
      <c r="H466" s="56" t="n"/>
      <c r="I466" s="55" t="n"/>
      <c r="J466" s="57" t="n"/>
      <c r="K466" s="58">
        <f>IF(OR(H466="",J466=""),"",H466*J466)</f>
        <v/>
      </c>
      <c r="L466" s="63" t="n"/>
      <c r="M466" s="63" t="n"/>
      <c r="N466" s="63" t="n"/>
      <c r="O466" s="58">
        <f>IF(K466="","",K466-IF(L466="",0,L466)+IF(M466="",0,M466)+IF(N466="",0,N466))</f>
        <v/>
      </c>
    </row>
    <row r="467" ht="15.75" customHeight="1" s="99">
      <c r="A467" s="47" t="n"/>
      <c r="B467" s="45" t="n"/>
      <c r="C467" s="47" t="n"/>
      <c r="D467" s="47" t="n"/>
      <c r="E467" s="47" t="n"/>
      <c r="F467" s="47" t="n"/>
      <c r="G467" s="47" t="n"/>
      <c r="H467" s="48" t="n"/>
      <c r="I467" s="47" t="n"/>
      <c r="J467" s="49" t="n"/>
      <c r="K467" s="50">
        <f>IF(OR(H467="",J467=""),"",H467*J467)</f>
        <v/>
      </c>
      <c r="L467" s="62" t="n"/>
      <c r="M467" s="62" t="n"/>
      <c r="N467" s="62" t="n"/>
      <c r="O467" s="50">
        <f>IF(K467="","",K467-IF(L467="",0,L467)+IF(M467="",0,M467)+IF(N467="",0,N467))</f>
        <v/>
      </c>
    </row>
    <row r="468" ht="15.75" customHeight="1" s="99">
      <c r="A468" s="55" t="n"/>
      <c r="B468" s="53" t="n"/>
      <c r="C468" s="55" t="n"/>
      <c r="D468" s="55" t="n"/>
      <c r="E468" s="55" t="n"/>
      <c r="F468" s="55" t="n"/>
      <c r="G468" s="55" t="n"/>
      <c r="H468" s="56" t="n"/>
      <c r="I468" s="55" t="n"/>
      <c r="J468" s="57" t="n"/>
      <c r="K468" s="58">
        <f>IF(OR(H468="",J468=""),"",H468*J468)</f>
        <v/>
      </c>
      <c r="L468" s="63" t="n"/>
      <c r="M468" s="63" t="n"/>
      <c r="N468" s="63" t="n"/>
      <c r="O468" s="58">
        <f>IF(K468="","",K468-IF(L468="",0,L468)+IF(M468="",0,M468)+IF(N468="",0,N468))</f>
        <v/>
      </c>
    </row>
    <row r="469" ht="15.75" customHeight="1" s="99">
      <c r="A469" s="47" t="n"/>
      <c r="B469" s="45" t="n"/>
      <c r="C469" s="47" t="n"/>
      <c r="D469" s="47" t="n"/>
      <c r="E469" s="47" t="n"/>
      <c r="F469" s="47" t="n"/>
      <c r="G469" s="47" t="n"/>
      <c r="H469" s="48" t="n"/>
      <c r="I469" s="47" t="n"/>
      <c r="J469" s="49" t="n"/>
      <c r="K469" s="50">
        <f>IF(OR(H469="",J469=""),"",H469*J469)</f>
        <v/>
      </c>
      <c r="L469" s="62" t="n"/>
      <c r="M469" s="62" t="n"/>
      <c r="N469" s="62" t="n"/>
      <c r="O469" s="50">
        <f>IF(K469="","",K469-IF(L469="",0,L469)+IF(M469="",0,M469)+IF(N469="",0,N469))</f>
        <v/>
      </c>
    </row>
    <row r="470" ht="15.75" customHeight="1" s="99">
      <c r="A470" s="55" t="n"/>
      <c r="B470" s="53" t="n"/>
      <c r="C470" s="55" t="n"/>
      <c r="D470" s="55" t="n"/>
      <c r="E470" s="55" t="n"/>
      <c r="F470" s="55" t="n"/>
      <c r="G470" s="55" t="n"/>
      <c r="H470" s="56" t="n"/>
      <c r="I470" s="55" t="n"/>
      <c r="J470" s="57" t="n"/>
      <c r="K470" s="58">
        <f>IF(OR(H470="",J470=""),"",H470*J470)</f>
        <v/>
      </c>
      <c r="L470" s="63" t="n"/>
      <c r="M470" s="63" t="n"/>
      <c r="N470" s="63" t="n"/>
      <c r="O470" s="58">
        <f>IF(K470="","",K470-IF(L470="",0,L470)+IF(M470="",0,M470)+IF(N470="",0,N470))</f>
        <v/>
      </c>
    </row>
    <row r="471" ht="15.75" customHeight="1" s="99">
      <c r="A471" s="47" t="n"/>
      <c r="B471" s="45" t="n"/>
      <c r="C471" s="47" t="n"/>
      <c r="D471" s="47" t="n"/>
      <c r="E471" s="47" t="n"/>
      <c r="F471" s="47" t="n"/>
      <c r="G471" s="47" t="n"/>
      <c r="H471" s="48" t="n"/>
      <c r="I471" s="47" t="n"/>
      <c r="J471" s="49" t="n"/>
      <c r="K471" s="50">
        <f>IF(OR(H471="",J471=""),"",H471*J471)</f>
        <v/>
      </c>
      <c r="L471" s="62" t="n"/>
      <c r="M471" s="62" t="n"/>
      <c r="N471" s="62" t="n"/>
      <c r="O471" s="50">
        <f>IF(K471="","",K471-IF(L471="",0,L471)+IF(M471="",0,M471)+IF(N471="",0,N471))</f>
        <v/>
      </c>
    </row>
    <row r="472" ht="15.75" customHeight="1" s="99">
      <c r="A472" s="55" t="n"/>
      <c r="B472" s="53" t="n"/>
      <c r="C472" s="55" t="n"/>
      <c r="D472" s="55" t="n"/>
      <c r="E472" s="55" t="n"/>
      <c r="F472" s="55" t="n"/>
      <c r="G472" s="55" t="n"/>
      <c r="H472" s="56" t="n"/>
      <c r="I472" s="55" t="n"/>
      <c r="J472" s="57" t="n"/>
      <c r="K472" s="58">
        <f>IF(OR(H472="",J472=""),"",H472*J472)</f>
        <v/>
      </c>
      <c r="L472" s="63" t="n"/>
      <c r="M472" s="63" t="n"/>
      <c r="N472" s="63" t="n"/>
      <c r="O472" s="58">
        <f>IF(K472="","",K472-IF(L472="",0,L472)+IF(M472="",0,M472)+IF(N472="",0,N472))</f>
        <v/>
      </c>
    </row>
    <row r="473" ht="15.75" customHeight="1" s="99">
      <c r="A473" s="47" t="n"/>
      <c r="B473" s="45" t="n"/>
      <c r="C473" s="47" t="n"/>
      <c r="D473" s="47" t="n"/>
      <c r="E473" s="47" t="n"/>
      <c r="F473" s="47" t="n"/>
      <c r="G473" s="47" t="n"/>
      <c r="H473" s="48" t="n"/>
      <c r="I473" s="47" t="n"/>
      <c r="J473" s="49" t="n"/>
      <c r="K473" s="50">
        <f>IF(OR(H473="",J473=""),"",H473*J473)</f>
        <v/>
      </c>
      <c r="L473" s="62" t="n"/>
      <c r="M473" s="62" t="n"/>
      <c r="N473" s="62" t="n"/>
      <c r="O473" s="50">
        <f>IF(K473="","",K473-IF(L473="",0,L473)+IF(M473="",0,M473)+IF(N473="",0,N473))</f>
        <v/>
      </c>
    </row>
    <row r="474" ht="15.75" customHeight="1" s="99">
      <c r="A474" s="55" t="n"/>
      <c r="B474" s="53" t="n"/>
      <c r="C474" s="55" t="n"/>
      <c r="D474" s="55" t="n"/>
      <c r="E474" s="55" t="n"/>
      <c r="F474" s="55" t="n"/>
      <c r="G474" s="55" t="n"/>
      <c r="H474" s="56" t="n"/>
      <c r="I474" s="55" t="n"/>
      <c r="J474" s="57" t="n"/>
      <c r="K474" s="58">
        <f>IF(OR(H474="",J474=""),"",H474*J474)</f>
        <v/>
      </c>
      <c r="L474" s="63" t="n"/>
      <c r="M474" s="63" t="n"/>
      <c r="N474" s="63" t="n"/>
      <c r="O474" s="58">
        <f>IF(K474="","",K474-IF(L474="",0,L474)+IF(M474="",0,M474)+IF(N474="",0,N474))</f>
        <v/>
      </c>
    </row>
    <row r="475" ht="15.75" customHeight="1" s="99">
      <c r="A475" s="47" t="n"/>
      <c r="B475" s="45" t="n"/>
      <c r="C475" s="47" t="n"/>
      <c r="D475" s="47" t="n"/>
      <c r="E475" s="47" t="n"/>
      <c r="F475" s="47" t="n"/>
      <c r="G475" s="47" t="n"/>
      <c r="H475" s="48" t="n"/>
      <c r="I475" s="47" t="n"/>
      <c r="J475" s="49" t="n"/>
      <c r="K475" s="50">
        <f>IF(OR(H475="",J475=""),"",H475*J475)</f>
        <v/>
      </c>
      <c r="L475" s="62" t="n"/>
      <c r="M475" s="62" t="n"/>
      <c r="N475" s="62" t="n"/>
      <c r="O475" s="50">
        <f>IF(K475="","",K475-IF(L475="",0,L475)+IF(M475="",0,M475)+IF(N475="",0,N475))</f>
        <v/>
      </c>
    </row>
    <row r="476" ht="15.75" customHeight="1" s="99">
      <c r="A476" s="55" t="n"/>
      <c r="B476" s="53" t="n"/>
      <c r="C476" s="55" t="n"/>
      <c r="D476" s="55" t="n"/>
      <c r="E476" s="55" t="n"/>
      <c r="F476" s="55" t="n"/>
      <c r="G476" s="55" t="n"/>
      <c r="H476" s="56" t="n"/>
      <c r="I476" s="55" t="n"/>
      <c r="J476" s="57" t="n"/>
      <c r="K476" s="58">
        <f>IF(OR(H476="",J476=""),"",H476*J476)</f>
        <v/>
      </c>
      <c r="L476" s="63" t="n"/>
      <c r="M476" s="63" t="n"/>
      <c r="N476" s="63" t="n"/>
      <c r="O476" s="58">
        <f>IF(K476="","",K476-IF(L476="",0,L476)+IF(M476="",0,M476)+IF(N476="",0,N476))</f>
        <v/>
      </c>
    </row>
    <row r="477" ht="15.75" customHeight="1" s="99">
      <c r="A477" s="47" t="n"/>
      <c r="B477" s="45" t="n"/>
      <c r="C477" s="47" t="n"/>
      <c r="D477" s="47" t="n"/>
      <c r="E477" s="47" t="n"/>
      <c r="F477" s="47" t="n"/>
      <c r="G477" s="47" t="n"/>
      <c r="H477" s="48" t="n"/>
      <c r="I477" s="47" t="n"/>
      <c r="J477" s="49" t="n"/>
      <c r="K477" s="50">
        <f>IF(OR(H477="",J477=""),"",H477*J477)</f>
        <v/>
      </c>
      <c r="L477" s="62" t="n"/>
      <c r="M477" s="62" t="n"/>
      <c r="N477" s="62" t="n"/>
      <c r="O477" s="50">
        <f>IF(K477="","",K477-IF(L477="",0,L477)+IF(M477="",0,M477)+IF(N477="",0,N477))</f>
        <v/>
      </c>
    </row>
    <row r="478" ht="15.75" customHeight="1" s="99">
      <c r="A478" s="55" t="n"/>
      <c r="B478" s="53" t="n"/>
      <c r="C478" s="55" t="n"/>
      <c r="D478" s="55" t="n"/>
      <c r="E478" s="55" t="n"/>
      <c r="F478" s="55" t="n"/>
      <c r="G478" s="55" t="n"/>
      <c r="H478" s="56" t="n"/>
      <c r="I478" s="55" t="n"/>
      <c r="J478" s="57" t="n"/>
      <c r="K478" s="58">
        <f>IF(OR(H478="",J478=""),"",H478*J478)</f>
        <v/>
      </c>
      <c r="L478" s="63" t="n"/>
      <c r="M478" s="63" t="n"/>
      <c r="N478" s="63" t="n"/>
      <c r="O478" s="58">
        <f>IF(K478="","",K478-IF(L478="",0,L478)+IF(M478="",0,M478)+IF(N478="",0,N478))</f>
        <v/>
      </c>
    </row>
    <row r="479" ht="15.75" customHeight="1" s="99">
      <c r="A479" s="47" t="n"/>
      <c r="B479" s="45" t="n"/>
      <c r="C479" s="47" t="n"/>
      <c r="D479" s="47" t="n"/>
      <c r="E479" s="47" t="n"/>
      <c r="F479" s="47" t="n"/>
      <c r="G479" s="47" t="n"/>
      <c r="H479" s="48" t="n"/>
      <c r="I479" s="47" t="n"/>
      <c r="J479" s="49" t="n"/>
      <c r="K479" s="50">
        <f>IF(OR(H479="",J479=""),"",H479*J479)</f>
        <v/>
      </c>
      <c r="L479" s="62" t="n"/>
      <c r="M479" s="62" t="n"/>
      <c r="N479" s="62" t="n"/>
      <c r="O479" s="50">
        <f>IF(K479="","",K479-IF(L479="",0,L479)+IF(M479="",0,M479)+IF(N479="",0,N479))</f>
        <v/>
      </c>
    </row>
    <row r="480" ht="15.75" customHeight="1" s="99">
      <c r="A480" s="55" t="n"/>
      <c r="B480" s="53" t="n"/>
      <c r="C480" s="55" t="n"/>
      <c r="D480" s="55" t="n"/>
      <c r="E480" s="55" t="n"/>
      <c r="F480" s="55" t="n"/>
      <c r="G480" s="55" t="n"/>
      <c r="H480" s="56" t="n"/>
      <c r="I480" s="55" t="n"/>
      <c r="J480" s="57" t="n"/>
      <c r="K480" s="58">
        <f>IF(OR(H480="",J480=""),"",H480*J480)</f>
        <v/>
      </c>
      <c r="L480" s="63" t="n"/>
      <c r="M480" s="63" t="n"/>
      <c r="N480" s="63" t="n"/>
      <c r="O480" s="58">
        <f>IF(K480="","",K480-IF(L480="",0,L480)+IF(M480="",0,M480)+IF(N480="",0,N480))</f>
        <v/>
      </c>
    </row>
    <row r="481" ht="15.75" customHeight="1" s="99">
      <c r="A481" s="47" t="n"/>
      <c r="B481" s="45" t="n"/>
      <c r="C481" s="47" t="n"/>
      <c r="D481" s="47" t="n"/>
      <c r="E481" s="47" t="n"/>
      <c r="F481" s="47" t="n"/>
      <c r="G481" s="47" t="n"/>
      <c r="H481" s="48" t="n"/>
      <c r="I481" s="47" t="n"/>
      <c r="J481" s="49" t="n"/>
      <c r="K481" s="50">
        <f>IF(OR(H481="",J481=""),"",H481*J481)</f>
        <v/>
      </c>
      <c r="L481" s="62" t="n"/>
      <c r="M481" s="62" t="n"/>
      <c r="N481" s="62" t="n"/>
      <c r="O481" s="50">
        <f>IF(K481="","",K481-IF(L481="",0,L481)+IF(M481="",0,M481)+IF(N481="",0,N481))</f>
        <v/>
      </c>
    </row>
    <row r="482" ht="15.75" customHeight="1" s="99">
      <c r="A482" s="55" t="n"/>
      <c r="B482" s="53" t="n"/>
      <c r="C482" s="55" t="n"/>
      <c r="D482" s="55" t="n"/>
      <c r="E482" s="55" t="n"/>
      <c r="F482" s="55" t="n"/>
      <c r="G482" s="55" t="n"/>
      <c r="H482" s="56" t="n"/>
      <c r="I482" s="55" t="n"/>
      <c r="J482" s="57" t="n"/>
      <c r="K482" s="58">
        <f>IF(OR(H482="",J482=""),"",H482*J482)</f>
        <v/>
      </c>
      <c r="L482" s="63" t="n"/>
      <c r="M482" s="63" t="n"/>
      <c r="N482" s="63" t="n"/>
      <c r="O482" s="58">
        <f>IF(K482="","",K482-IF(L482="",0,L482)+IF(M482="",0,M482)+IF(N482="",0,N482))</f>
        <v/>
      </c>
    </row>
    <row r="483" ht="15.75" customHeight="1" s="99">
      <c r="A483" s="47" t="n"/>
      <c r="B483" s="45" t="n"/>
      <c r="C483" s="47" t="n"/>
      <c r="D483" s="47" t="n"/>
      <c r="E483" s="47" t="n"/>
      <c r="F483" s="47" t="n"/>
      <c r="G483" s="47" t="n"/>
      <c r="H483" s="48" t="n"/>
      <c r="I483" s="47" t="n"/>
      <c r="J483" s="49" t="n"/>
      <c r="K483" s="50">
        <f>IF(OR(H483="",J483=""),"",H483*J483)</f>
        <v/>
      </c>
      <c r="L483" s="62" t="n"/>
      <c r="M483" s="62" t="n"/>
      <c r="N483" s="62" t="n"/>
      <c r="O483" s="50">
        <f>IF(K483="","",K483-IF(L483="",0,L483)+IF(M483="",0,M483)+IF(N483="",0,N483))</f>
        <v/>
      </c>
    </row>
    <row r="484" ht="15.75" customHeight="1" s="99">
      <c r="A484" s="55" t="n"/>
      <c r="B484" s="53" t="n"/>
      <c r="C484" s="55" t="n"/>
      <c r="D484" s="55" t="n"/>
      <c r="E484" s="55" t="n"/>
      <c r="F484" s="55" t="n"/>
      <c r="G484" s="55" t="n"/>
      <c r="H484" s="56" t="n"/>
      <c r="I484" s="55" t="n"/>
      <c r="J484" s="57" t="n"/>
      <c r="K484" s="58">
        <f>IF(OR(H484="",J484=""),"",H484*J484)</f>
        <v/>
      </c>
      <c r="L484" s="63" t="n"/>
      <c r="M484" s="63" t="n"/>
      <c r="N484" s="63" t="n"/>
      <c r="O484" s="58">
        <f>IF(K484="","",K484-IF(L484="",0,L484)+IF(M484="",0,M484)+IF(N484="",0,N484))</f>
        <v/>
      </c>
    </row>
    <row r="485" ht="15.75" customHeight="1" s="99">
      <c r="A485" s="47" t="n"/>
      <c r="B485" s="45" t="n"/>
      <c r="C485" s="47" t="n"/>
      <c r="D485" s="47" t="n"/>
      <c r="E485" s="47" t="n"/>
      <c r="F485" s="47" t="n"/>
      <c r="G485" s="47" t="n"/>
      <c r="H485" s="48" t="n"/>
      <c r="I485" s="47" t="n"/>
      <c r="J485" s="49" t="n"/>
      <c r="K485" s="50">
        <f>IF(OR(H485="",J485=""),"",H485*J485)</f>
        <v/>
      </c>
      <c r="L485" s="62" t="n"/>
      <c r="M485" s="62" t="n"/>
      <c r="N485" s="62" t="n"/>
      <c r="O485" s="50">
        <f>IF(K485="","",K485-IF(L485="",0,L485)+IF(M485="",0,M485)+IF(N485="",0,N485))</f>
        <v/>
      </c>
    </row>
    <row r="486" ht="15.75" customHeight="1" s="99">
      <c r="A486" s="55" t="n"/>
      <c r="B486" s="53" t="n"/>
      <c r="C486" s="55" t="n"/>
      <c r="D486" s="55" t="n"/>
      <c r="E486" s="55" t="n"/>
      <c r="F486" s="55" t="n"/>
      <c r="G486" s="55" t="n"/>
      <c r="H486" s="56" t="n"/>
      <c r="I486" s="55" t="n"/>
      <c r="J486" s="57" t="n"/>
      <c r="K486" s="58">
        <f>IF(OR(H486="",J486=""),"",H486*J486)</f>
        <v/>
      </c>
      <c r="L486" s="63" t="n"/>
      <c r="M486" s="63" t="n"/>
      <c r="N486" s="63" t="n"/>
      <c r="O486" s="58">
        <f>IF(K486="","",K486-IF(L486="",0,L486)+IF(M486="",0,M486)+IF(N486="",0,N486))</f>
        <v/>
      </c>
    </row>
    <row r="487" ht="15.75" customHeight="1" s="99">
      <c r="A487" s="47" t="n"/>
      <c r="B487" s="45" t="n"/>
      <c r="C487" s="47" t="n"/>
      <c r="D487" s="47" t="n"/>
      <c r="E487" s="47" t="n"/>
      <c r="F487" s="47" t="n"/>
      <c r="G487" s="47" t="n"/>
      <c r="H487" s="48" t="n"/>
      <c r="I487" s="47" t="n"/>
      <c r="J487" s="49" t="n"/>
      <c r="K487" s="50">
        <f>IF(OR(H487="",J487=""),"",H487*J487)</f>
        <v/>
      </c>
      <c r="L487" s="62" t="n"/>
      <c r="M487" s="62" t="n"/>
      <c r="N487" s="62" t="n"/>
      <c r="O487" s="50">
        <f>IF(K487="","",K487-IF(L487="",0,L487)+IF(M487="",0,M487)+IF(N487="",0,N487))</f>
        <v/>
      </c>
    </row>
    <row r="488" ht="15.75" customHeight="1" s="99">
      <c r="A488" s="55" t="n"/>
      <c r="B488" s="53" t="n"/>
      <c r="C488" s="55" t="n"/>
      <c r="D488" s="55" t="n"/>
      <c r="E488" s="55" t="n"/>
      <c r="F488" s="55" t="n"/>
      <c r="G488" s="55" t="n"/>
      <c r="H488" s="56" t="n"/>
      <c r="I488" s="55" t="n"/>
      <c r="J488" s="57" t="n"/>
      <c r="K488" s="58">
        <f>IF(OR(H488="",J488=""),"",H488*J488)</f>
        <v/>
      </c>
      <c r="L488" s="63" t="n"/>
      <c r="M488" s="63" t="n"/>
      <c r="N488" s="63" t="n"/>
      <c r="O488" s="58">
        <f>IF(K488="","",K488-IF(L488="",0,L488)+IF(M488="",0,M488)+IF(N488="",0,N488))</f>
        <v/>
      </c>
    </row>
    <row r="489" ht="15.75" customHeight="1" s="99">
      <c r="A489" s="47" t="n"/>
      <c r="B489" s="45" t="n"/>
      <c r="C489" s="47" t="n"/>
      <c r="D489" s="47" t="n"/>
      <c r="E489" s="47" t="n"/>
      <c r="F489" s="47" t="n"/>
      <c r="G489" s="47" t="n"/>
      <c r="H489" s="48" t="n"/>
      <c r="I489" s="47" t="n"/>
      <c r="J489" s="49" t="n"/>
      <c r="K489" s="50">
        <f>IF(OR(H489="",J489=""),"",H489*J489)</f>
        <v/>
      </c>
      <c r="L489" s="62" t="n"/>
      <c r="M489" s="62" t="n"/>
      <c r="N489" s="62" t="n"/>
      <c r="O489" s="50">
        <f>IF(K489="","",K489-IF(L489="",0,L489)+IF(M489="",0,M489)+IF(N489="",0,N489))</f>
        <v/>
      </c>
    </row>
    <row r="490" ht="15.75" customHeight="1" s="99">
      <c r="A490" s="55" t="n"/>
      <c r="B490" s="53" t="n"/>
      <c r="C490" s="55" t="n"/>
      <c r="D490" s="55" t="n"/>
      <c r="E490" s="55" t="n"/>
      <c r="F490" s="55" t="n"/>
      <c r="G490" s="55" t="n"/>
      <c r="H490" s="56" t="n"/>
      <c r="I490" s="55" t="n"/>
      <c r="J490" s="57" t="n"/>
      <c r="K490" s="58">
        <f>IF(OR(H490="",J490=""),"",H490*J490)</f>
        <v/>
      </c>
      <c r="L490" s="63" t="n"/>
      <c r="M490" s="63" t="n"/>
      <c r="N490" s="63" t="n"/>
      <c r="O490" s="58">
        <f>IF(K490="","",K490-IF(L490="",0,L490)+IF(M490="",0,M490)+IF(N490="",0,N490))</f>
        <v/>
      </c>
    </row>
    <row r="491" ht="15.75" customHeight="1" s="99">
      <c r="A491" s="47" t="n"/>
      <c r="B491" s="45" t="n"/>
      <c r="C491" s="47" t="n"/>
      <c r="D491" s="47" t="n"/>
      <c r="E491" s="47" t="n"/>
      <c r="F491" s="47" t="n"/>
      <c r="G491" s="47" t="n"/>
      <c r="H491" s="48" t="n"/>
      <c r="I491" s="47" t="n"/>
      <c r="J491" s="49" t="n"/>
      <c r="K491" s="50">
        <f>IF(OR(H491="",J491=""),"",H491*J491)</f>
        <v/>
      </c>
      <c r="L491" s="62" t="n"/>
      <c r="M491" s="62" t="n"/>
      <c r="N491" s="62" t="n"/>
      <c r="O491" s="50">
        <f>IF(K491="","",K491-IF(L491="",0,L491)+IF(M491="",0,M491)+IF(N491="",0,N491))</f>
        <v/>
      </c>
    </row>
    <row r="492" ht="15.75" customHeight="1" s="99">
      <c r="A492" s="55" t="n"/>
      <c r="B492" s="53" t="n"/>
      <c r="C492" s="55" t="n"/>
      <c r="D492" s="55" t="n"/>
      <c r="E492" s="55" t="n"/>
      <c r="F492" s="55" t="n"/>
      <c r="G492" s="55" t="n"/>
      <c r="H492" s="56" t="n"/>
      <c r="I492" s="55" t="n"/>
      <c r="J492" s="57" t="n"/>
      <c r="K492" s="58">
        <f>IF(OR(H492="",J492=""),"",H492*J492)</f>
        <v/>
      </c>
      <c r="L492" s="63" t="n"/>
      <c r="M492" s="63" t="n"/>
      <c r="N492" s="63" t="n"/>
      <c r="O492" s="58">
        <f>IF(K492="","",K492-IF(L492="",0,L492)+IF(M492="",0,M492)+IF(N492="",0,N492))</f>
        <v/>
      </c>
    </row>
    <row r="493" ht="15.75" customHeight="1" s="99">
      <c r="A493" s="47" t="n"/>
      <c r="B493" s="45" t="n"/>
      <c r="C493" s="47" t="n"/>
      <c r="D493" s="47" t="n"/>
      <c r="E493" s="47" t="n"/>
      <c r="F493" s="47" t="n"/>
      <c r="G493" s="47" t="n"/>
      <c r="H493" s="48" t="n"/>
      <c r="I493" s="47" t="n"/>
      <c r="J493" s="49" t="n"/>
      <c r="K493" s="50">
        <f>IF(OR(H493="",J493=""),"",H493*J493)</f>
        <v/>
      </c>
      <c r="L493" s="62" t="n"/>
      <c r="M493" s="62" t="n"/>
      <c r="N493" s="62" t="n"/>
      <c r="O493" s="50">
        <f>IF(K493="","",K493-IF(L493="",0,L493)+IF(M493="",0,M493)+IF(N493="",0,N493))</f>
        <v/>
      </c>
    </row>
    <row r="494" ht="15.75" customHeight="1" s="99">
      <c r="A494" s="55" t="n"/>
      <c r="B494" s="53" t="n"/>
      <c r="C494" s="55" t="n"/>
      <c r="D494" s="55" t="n"/>
      <c r="E494" s="55" t="n"/>
      <c r="F494" s="55" t="n"/>
      <c r="G494" s="55" t="n"/>
      <c r="H494" s="56" t="n"/>
      <c r="I494" s="55" t="n"/>
      <c r="J494" s="57" t="n"/>
      <c r="K494" s="58">
        <f>IF(OR(H494="",J494=""),"",H494*J494)</f>
        <v/>
      </c>
      <c r="L494" s="63" t="n"/>
      <c r="M494" s="63" t="n"/>
      <c r="N494" s="63" t="n"/>
      <c r="O494" s="58">
        <f>IF(K494="","",K494-IF(L494="",0,L494)+IF(M494="",0,M494)+IF(N494="",0,N494))</f>
        <v/>
      </c>
    </row>
    <row r="495" ht="15.75" customHeight="1" s="99">
      <c r="A495" s="47" t="n"/>
      <c r="B495" s="45" t="n"/>
      <c r="C495" s="47" t="n"/>
      <c r="D495" s="47" t="n"/>
      <c r="E495" s="47" t="n"/>
      <c r="F495" s="47" t="n"/>
      <c r="G495" s="47" t="n"/>
      <c r="H495" s="48" t="n"/>
      <c r="I495" s="47" t="n"/>
      <c r="J495" s="49" t="n"/>
      <c r="K495" s="50">
        <f>IF(OR(H495="",J495=""),"",H495*J495)</f>
        <v/>
      </c>
      <c r="L495" s="62" t="n"/>
      <c r="M495" s="62" t="n"/>
      <c r="N495" s="62" t="n"/>
      <c r="O495" s="50">
        <f>IF(K495="","",K495-IF(L495="",0,L495)+IF(M495="",0,M495)+IF(N495="",0,N495))</f>
        <v/>
      </c>
    </row>
    <row r="496" ht="15.75" customHeight="1" s="99">
      <c r="A496" s="55" t="n"/>
      <c r="B496" s="53" t="n"/>
      <c r="C496" s="55" t="n"/>
      <c r="D496" s="55" t="n"/>
      <c r="E496" s="55" t="n"/>
      <c r="F496" s="55" t="n"/>
      <c r="G496" s="55" t="n"/>
      <c r="H496" s="56" t="n"/>
      <c r="I496" s="55" t="n"/>
      <c r="J496" s="57" t="n"/>
      <c r="K496" s="58">
        <f>IF(OR(H496="",J496=""),"",H496*J496)</f>
        <v/>
      </c>
      <c r="L496" s="63" t="n"/>
      <c r="M496" s="63" t="n"/>
      <c r="N496" s="63" t="n"/>
      <c r="O496" s="58">
        <f>IF(K496="","",K496-IF(L496="",0,L496)+IF(M496="",0,M496)+IF(N496="",0,N496))</f>
        <v/>
      </c>
    </row>
    <row r="497" ht="15.75" customHeight="1" s="99">
      <c r="A497" s="47" t="n"/>
      <c r="B497" s="45" t="n"/>
      <c r="C497" s="47" t="n"/>
      <c r="D497" s="47" t="n"/>
      <c r="E497" s="47" t="n"/>
      <c r="F497" s="47" t="n"/>
      <c r="G497" s="47" t="n"/>
      <c r="H497" s="48" t="n"/>
      <c r="I497" s="47" t="n"/>
      <c r="J497" s="49" t="n"/>
      <c r="K497" s="50">
        <f>IF(OR(H497="",J497=""),"",H497*J497)</f>
        <v/>
      </c>
      <c r="L497" s="62" t="n"/>
      <c r="M497" s="62" t="n"/>
      <c r="N497" s="62" t="n"/>
      <c r="O497" s="50">
        <f>IF(K497="","",K497-IF(L497="",0,L497)+IF(M497="",0,M497)+IF(N497="",0,N497))</f>
        <v/>
      </c>
    </row>
    <row r="498" ht="15.75" customHeight="1" s="99">
      <c r="A498" s="55" t="n"/>
      <c r="B498" s="53" t="n"/>
      <c r="C498" s="55" t="n"/>
      <c r="D498" s="55" t="n"/>
      <c r="E498" s="55" t="n"/>
      <c r="F498" s="55" t="n"/>
      <c r="G498" s="55" t="n"/>
      <c r="H498" s="56" t="n"/>
      <c r="I498" s="55" t="n"/>
      <c r="J498" s="57" t="n"/>
      <c r="K498" s="58">
        <f>IF(OR(H498="",J498=""),"",H498*J498)</f>
        <v/>
      </c>
      <c r="L498" s="63" t="n"/>
      <c r="M498" s="63" t="n"/>
      <c r="N498" s="63" t="n"/>
      <c r="O498" s="58">
        <f>IF(K498="","",K498-IF(L498="",0,L498)+IF(M498="",0,M498)+IF(N498="",0,N498))</f>
        <v/>
      </c>
    </row>
    <row r="499" ht="15.75" customHeight="1" s="99">
      <c r="A499" s="47" t="n"/>
      <c r="B499" s="45" t="n"/>
      <c r="C499" s="47" t="n"/>
      <c r="D499" s="47" t="n"/>
      <c r="E499" s="47" t="n"/>
      <c r="F499" s="47" t="n"/>
      <c r="G499" s="47" t="n"/>
      <c r="H499" s="48" t="n"/>
      <c r="I499" s="47" t="n"/>
      <c r="J499" s="49" t="n"/>
      <c r="K499" s="50">
        <f>IF(OR(H499="",J499=""),"",H499*J499)</f>
        <v/>
      </c>
      <c r="L499" s="62" t="n"/>
      <c r="M499" s="62" t="n"/>
      <c r="N499" s="62" t="n"/>
      <c r="O499" s="50">
        <f>IF(K499="","",K499-IF(L499="",0,L499)+IF(M499="",0,M499)+IF(N499="",0,N499))</f>
        <v/>
      </c>
    </row>
    <row r="500" ht="15.75" customHeight="1" s="99">
      <c r="A500" s="55" t="n"/>
      <c r="B500" s="53" t="n"/>
      <c r="C500" s="55" t="n"/>
      <c r="D500" s="55" t="n"/>
      <c r="E500" s="55" t="n"/>
      <c r="F500" s="55" t="n"/>
      <c r="G500" s="55" t="n"/>
      <c r="H500" s="56" t="n"/>
      <c r="I500" s="55" t="n"/>
      <c r="J500" s="57" t="n"/>
      <c r="K500" s="58">
        <f>IF(OR(H500="",J500=""),"",H500*J500)</f>
        <v/>
      </c>
      <c r="L500" s="63" t="n"/>
      <c r="M500" s="63" t="n"/>
      <c r="N500" s="63" t="n"/>
      <c r="O500" s="58">
        <f>IF(K500="","",K500-IF(L500="",0,L500)+IF(M500="",0,M500)+IF(N500="",0,N500))</f>
        <v/>
      </c>
    </row>
    <row r="501" ht="15.75" customHeight="1" s="99">
      <c r="A501" s="47" t="n"/>
      <c r="B501" s="45" t="n"/>
      <c r="C501" s="47" t="n"/>
      <c r="D501" s="47" t="n"/>
      <c r="E501" s="47" t="n"/>
      <c r="F501" s="47" t="n"/>
      <c r="G501" s="47" t="n"/>
      <c r="H501" s="48" t="n"/>
      <c r="I501" s="47" t="n"/>
      <c r="J501" s="49" t="n"/>
      <c r="K501" s="50">
        <f>IF(OR(H501="",J501=""),"",H501*J501)</f>
        <v/>
      </c>
      <c r="L501" s="62" t="n"/>
      <c r="M501" s="62" t="n"/>
      <c r="N501" s="62" t="n"/>
      <c r="O501" s="50">
        <f>IF(K501="","",K501-IF(L501="",0,L501)+IF(M501="",0,M501)+IF(N501="",0,N501))</f>
        <v/>
      </c>
    </row>
    <row r="502" ht="15.75" customHeight="1" s="99">
      <c r="A502" s="55" t="n"/>
      <c r="B502" s="53" t="n"/>
      <c r="C502" s="55" t="n"/>
      <c r="D502" s="55" t="n"/>
      <c r="E502" s="55" t="n"/>
      <c r="F502" s="55" t="n"/>
      <c r="G502" s="55" t="n"/>
      <c r="H502" s="56" t="n"/>
      <c r="I502" s="55" t="n"/>
      <c r="J502" s="57" t="n"/>
      <c r="K502" s="58">
        <f>IF(OR(H502="",J502=""),"",H502*J502)</f>
        <v/>
      </c>
      <c r="L502" s="63" t="n"/>
      <c r="M502" s="63" t="n"/>
      <c r="N502" s="63" t="n"/>
      <c r="O502" s="58">
        <f>IF(K502="","",K502-IF(L502="",0,L502)+IF(M502="",0,M502)+IF(N502="",0,N502))</f>
        <v/>
      </c>
    </row>
    <row r="503" ht="15.75" customHeight="1" s="99">
      <c r="A503" s="47" t="n"/>
      <c r="B503" s="45" t="n"/>
      <c r="C503" s="47" t="n"/>
      <c r="D503" s="47" t="n"/>
      <c r="E503" s="47" t="n"/>
      <c r="F503" s="47" t="n"/>
      <c r="G503" s="47" t="n"/>
      <c r="H503" s="48" t="n"/>
      <c r="I503" s="47" t="n"/>
      <c r="J503" s="49" t="n"/>
      <c r="K503" s="50">
        <f>IF(OR(H503="",J503=""),"",H503*J503)</f>
        <v/>
      </c>
      <c r="L503" s="62" t="n"/>
      <c r="M503" s="62" t="n"/>
      <c r="N503" s="62" t="n"/>
      <c r="O503" s="50">
        <f>IF(K503="","",K503-IF(L503="",0,L503)+IF(M503="",0,M503)+IF(N503="",0,N503))</f>
        <v/>
      </c>
    </row>
    <row r="504" ht="15.75" customHeight="1" s="99">
      <c r="A504" s="55" t="n"/>
      <c r="B504" s="53" t="n"/>
      <c r="C504" s="55" t="n"/>
      <c r="D504" s="55" t="n"/>
      <c r="E504" s="55" t="n"/>
      <c r="F504" s="55" t="n"/>
      <c r="G504" s="55" t="n"/>
      <c r="H504" s="56" t="n"/>
      <c r="I504" s="55" t="n"/>
      <c r="J504" s="57" t="n"/>
      <c r="K504" s="58">
        <f>IF(OR(H504="",J504=""),"",H504*J504)</f>
        <v/>
      </c>
      <c r="L504" s="63" t="n"/>
      <c r="M504" s="63" t="n"/>
      <c r="N504" s="63" t="n"/>
      <c r="O504" s="58">
        <f>IF(K504="","",K504-IF(L504="",0,L504)+IF(M504="",0,M504)+IF(N504="",0,N504))</f>
        <v/>
      </c>
    </row>
  </sheetData>
  <autoFilter ref="A4:O504"/>
  <mergeCells count="2">
    <mergeCell ref="A1:O1"/>
    <mergeCell ref="A2:O2"/>
  </mergeCells>
  <dataValidations count="2">
    <dataValidation sqref="D5:D504" showDropDown="0" showInputMessage="0" showErrorMessage="0" allowBlank="1" type="list">
      <formula1>"Building Materials,Electrical,Food/Provisions,Labour,Land Development,Miscellaneous,Professional Fees,Steel/Iron,Transport"</formula1>
      <formula2>0</formula2>
    </dataValidation>
    <dataValidation sqref="C5:C504" showDropDown="0" showInputMessage="0" showErrorMessage="0" allowBlank="1" type="list">
      <formula1>"Pappu Hardware,Brick Company,Sand Truck Wala,Concrete Supplier,Dinesh-Electrician,Mukesh Yadav,Chand Ansari,Ajay Mahto,Mukhiya,Sonbhai-Coordinator,Econ Builder,Rinku Devi A/c"</formula1>
      <formula2>0</formula2>
    </dataValidation>
  </dataValidations>
  <pageMargins left="0.75" right="0.75" top="1" bottom="1" header="0.511811023622047" footer="0.511811023622047"/>
  <pageSetup orientation="landscape" paperSize="9" horizontalDpi="300" verticalDpi="300"/>
</worksheet>
</file>

<file path=xl/worksheets/sheet6.xml><?xml version="1.0" encoding="utf-8"?>
<worksheet xmlns="http://schemas.openxmlformats.org/spreadsheetml/2006/main">
  <sheetPr>
    <tabColor rgb="FF0D9488"/>
    <outlinePr summaryBelow="1" summaryRight="1"/>
    <pageSetUpPr/>
  </sheetPr>
  <dimension ref="A1:M495"/>
  <sheetViews>
    <sheetView zoomScaleNormal="100" workbookViewId="0">
      <pane ySplit="4" topLeftCell="A5" activePane="bottomLeft" state="frozen"/>
      <selection pane="bottomLeft" activeCell="L5" sqref="L5"/>
    </sheetView>
  </sheetViews>
  <sheetFormatPr baseColWidth="10" defaultColWidth="8.6640625" defaultRowHeight="15"/>
  <cols>
    <col width="7" customWidth="1" style="99" min="1" max="1"/>
    <col width="14" customWidth="1" style="99" min="2" max="2"/>
    <col width="18" customWidth="1" style="99" min="3" max="3"/>
    <col width="24" customWidth="1" style="99" min="4" max="4"/>
    <col width="20" customWidth="1" style="99" min="5" max="5"/>
    <col width="28" customWidth="1" style="99" min="6" max="6"/>
    <col width="14" customWidth="1" style="99" min="7" max="8"/>
    <col width="20" customWidth="1" style="99" min="9" max="9"/>
    <col width="14" customWidth="1" style="99" min="10" max="10"/>
    <col width="10" customWidth="1" style="99" min="11" max="11"/>
    <col width="16" customWidth="1" style="99" min="12" max="12"/>
    <col width="24" customWidth="1" style="99" min="13" max="13"/>
  </cols>
  <sheetData>
    <row r="1" ht="17.25" customHeight="1" s="99">
      <c r="A1" s="100" t="inlineStr">
        <is>
          <t>PAYMENT TRACKER — Full Audit Trail</t>
        </is>
      </c>
    </row>
    <row r="2" ht="15.75" customHeight="1" s="99">
      <c r="A2" s="98" t="inlineStr">
        <is>
          <t>Track every payment: who paid, to whom, how, reference number.</t>
        </is>
      </c>
    </row>
    <row r="4" ht="26.25" customHeight="1" s="99">
      <c r="A4" s="40" t="inlineStr">
        <is>
          <t>Sr No</t>
        </is>
      </c>
      <c r="B4" s="40" t="inlineStr">
        <is>
          <t>Date</t>
        </is>
      </c>
      <c r="C4" s="40" t="inlineStr">
        <is>
          <t>Paid By</t>
        </is>
      </c>
      <c r="D4" s="40" t="inlineStr">
        <is>
          <t>Paid To (Vendor)</t>
        </is>
      </c>
      <c r="E4" s="40" t="inlineStr">
        <is>
          <t>Category</t>
        </is>
      </c>
      <c r="F4" s="40" t="inlineStr">
        <is>
          <t>Purpose/Description</t>
        </is>
      </c>
      <c r="G4" s="40" t="inlineStr">
        <is>
          <t>Amount ₹</t>
        </is>
      </c>
      <c r="H4" s="40" t="inlineStr">
        <is>
          <t>Payment Mode</t>
        </is>
      </c>
      <c r="I4" s="40" t="inlineStr">
        <is>
          <t>UPI/Txn Ref</t>
        </is>
      </c>
      <c r="J4" s="40" t="inlineStr">
        <is>
          <t>Phone No</t>
        </is>
      </c>
      <c r="K4" s="40" t="inlineStr">
        <is>
          <t>Receipt Y/N</t>
        </is>
      </c>
      <c r="L4" s="40" t="inlineStr">
        <is>
          <t>Running Total ₹</t>
        </is>
      </c>
      <c r="M4" s="40" t="inlineStr">
        <is>
          <t>Remarks</t>
        </is>
      </c>
    </row>
    <row r="5" ht="15.75" customHeight="1" s="99">
      <c r="A5" s="41" t="n">
        <v>1</v>
      </c>
      <c r="B5" s="45" t="n">
        <v>46146</v>
      </c>
      <c r="C5" s="47" t="inlineStr">
        <is>
          <t>Papa</t>
        </is>
      </c>
      <c r="D5" s="47" t="inlineStr">
        <is>
          <t>Sand Truck Wala</t>
        </is>
      </c>
      <c r="E5" s="47" t="n"/>
      <c r="F5" s="47" t="inlineStr">
        <is>
          <t>Sand Truck 1 (920 CFT)</t>
        </is>
      </c>
      <c r="G5" s="92" t="n">
        <v>55000</v>
      </c>
      <c r="H5" s="47" t="inlineStr">
        <is>
          <t>GPay</t>
        </is>
      </c>
      <c r="I5" s="47" t="n"/>
      <c r="J5" s="47" t="n"/>
      <c r="K5" s="47" t="inlineStr">
        <is>
          <t>Y</t>
        </is>
      </c>
      <c r="L5" s="93">
        <f>G5</f>
        <v/>
      </c>
      <c r="M5" s="47" t="n"/>
    </row>
    <row r="6" ht="15.75" customHeight="1" s="99">
      <c r="A6" s="41" t="n">
        <v>3</v>
      </c>
      <c r="B6" s="45" t="n">
        <v>46149</v>
      </c>
      <c r="C6" s="47" t="inlineStr">
        <is>
          <t>Self-GPay</t>
        </is>
      </c>
      <c r="D6" s="47" t="inlineStr">
        <is>
          <t>Sonbhai-Coordinator</t>
        </is>
      </c>
      <c r="E6" s="47" t="n"/>
      <c r="F6" s="47" t="inlineStr">
        <is>
          <t>Site cleaning</t>
        </is>
      </c>
      <c r="G6" s="92" t="n">
        <v>1500</v>
      </c>
      <c r="H6" s="47" t="inlineStr">
        <is>
          <t>GPay</t>
        </is>
      </c>
      <c r="I6" s="47" t="n"/>
      <c r="J6" s="47" t="n"/>
      <c r="K6" s="47" t="inlineStr">
        <is>
          <t>Y</t>
        </is>
      </c>
      <c r="L6" s="93">
        <f>IF(G6="","",IF(L5="",G6,L5+G6))</f>
        <v/>
      </c>
      <c r="M6" s="47" t="n"/>
    </row>
    <row r="7" ht="15.75" customHeight="1" s="99">
      <c r="A7" s="43" t="n">
        <v>4</v>
      </c>
      <c r="B7" s="53" t="n">
        <v>46153</v>
      </c>
      <c r="C7" s="55" t="inlineStr">
        <is>
          <t>Self-GPay</t>
        </is>
      </c>
      <c r="D7" s="55" t="inlineStr">
        <is>
          <t>Pappu Hardware</t>
        </is>
      </c>
      <c r="E7" s="55" t="n"/>
      <c r="F7" s="55" t="inlineStr">
        <is>
          <t>Bill 63 — part 1</t>
        </is>
      </c>
      <c r="G7" s="94" t="n">
        <v>90000</v>
      </c>
      <c r="H7" s="55" t="inlineStr">
        <is>
          <t>GPay</t>
        </is>
      </c>
      <c r="I7" s="55" t="n"/>
      <c r="J7" s="55" t="n"/>
      <c r="K7" s="55" t="inlineStr">
        <is>
          <t>Y</t>
        </is>
      </c>
      <c r="L7" s="95">
        <f>IF(G7="","",IF(L6="",G7,L6+G7))</f>
        <v/>
      </c>
      <c r="M7" s="55" t="n"/>
    </row>
    <row r="8" ht="15.75" customHeight="1" s="99">
      <c r="A8" s="41" t="n">
        <v>5</v>
      </c>
      <c r="B8" s="45" t="n">
        <v>46154</v>
      </c>
      <c r="C8" s="47" t="inlineStr">
        <is>
          <t>Papa</t>
        </is>
      </c>
      <c r="D8" s="47" t="inlineStr">
        <is>
          <t>Mukesh Yadav</t>
        </is>
      </c>
      <c r="E8" s="47" t="n"/>
      <c r="F8" s="47" t="inlineStr">
        <is>
          <t>JCB advance</t>
        </is>
      </c>
      <c r="G8" s="92" t="n">
        <v>5000</v>
      </c>
      <c r="H8" s="47" t="inlineStr">
        <is>
          <t>GPay</t>
        </is>
      </c>
      <c r="I8" s="47" t="n"/>
      <c r="J8" s="47" t="n"/>
      <c r="K8" s="47" t="inlineStr">
        <is>
          <t>Y</t>
        </is>
      </c>
      <c r="L8" s="93">
        <f>IF(G8="","",IF(L7="",G8,L7+G8))</f>
        <v/>
      </c>
      <c r="M8" s="47" t="n"/>
    </row>
    <row r="9" ht="15.75" customHeight="1" s="99">
      <c r="A9" s="43" t="n">
        <v>6</v>
      </c>
      <c r="B9" s="53" t="n">
        <v>46154</v>
      </c>
      <c r="C9" s="55" t="inlineStr">
        <is>
          <t>Papa</t>
        </is>
      </c>
      <c r="D9" s="55" t="inlineStr">
        <is>
          <t>Sand Truck Wala</t>
        </is>
      </c>
      <c r="E9" s="55" t="n"/>
      <c r="F9" s="55" t="inlineStr">
        <is>
          <t>Sand Truck 2 (918 CFT)</t>
        </is>
      </c>
      <c r="G9" s="94" t="n">
        <v>55000</v>
      </c>
      <c r="H9" s="55" t="inlineStr">
        <is>
          <t>GPay</t>
        </is>
      </c>
      <c r="I9" s="55" t="n"/>
      <c r="J9" s="55" t="n"/>
      <c r="K9" s="55" t="inlineStr">
        <is>
          <t>Y</t>
        </is>
      </c>
      <c r="L9" s="95">
        <f>IF(G9="","",IF(L8="",G9,L8+G9))</f>
        <v/>
      </c>
      <c r="M9" s="55" t="n"/>
    </row>
    <row r="10" ht="15.75" customHeight="1" s="99">
      <c r="A10" s="41" t="n">
        <v>7</v>
      </c>
      <c r="B10" s="45" t="n">
        <v>46155</v>
      </c>
      <c r="C10" s="47" t="inlineStr">
        <is>
          <t>Self-GPay</t>
        </is>
      </c>
      <c r="D10" s="47" t="inlineStr">
        <is>
          <t>Pappu Hardware</t>
        </is>
      </c>
      <c r="E10" s="47" t="n"/>
      <c r="F10" s="47" t="inlineStr">
        <is>
          <t>Bill 63 — part 2 final</t>
        </is>
      </c>
      <c r="G10" s="92" t="n">
        <v>93000</v>
      </c>
      <c r="H10" s="47" t="inlineStr">
        <is>
          <t>GPay</t>
        </is>
      </c>
      <c r="I10" s="47" t="n"/>
      <c r="J10" s="47" t="n"/>
      <c r="K10" s="47" t="inlineStr">
        <is>
          <t>Y</t>
        </is>
      </c>
      <c r="L10" s="93">
        <f>IF(G10="","",IF(L9="",G10,L9+G10))</f>
        <v/>
      </c>
      <c r="M10" s="47" t="n"/>
    </row>
    <row r="11" ht="15.75" customHeight="1" s="99">
      <c r="A11" s="43" t="n">
        <v>8</v>
      </c>
      <c r="B11" s="53" t="n">
        <v>46156</v>
      </c>
      <c r="C11" s="55" t="inlineStr">
        <is>
          <t>Self-GPay</t>
        </is>
      </c>
      <c r="D11" s="55" t="inlineStr">
        <is>
          <t>Brick Company</t>
        </is>
      </c>
      <c r="E11" s="55" t="n"/>
      <c r="F11" s="55" t="inlineStr">
        <is>
          <t>Brick advance — Avinash share</t>
        </is>
      </c>
      <c r="G11" s="94" t="n">
        <v>200000</v>
      </c>
      <c r="H11" s="55" t="inlineStr">
        <is>
          <t>GPay</t>
        </is>
      </c>
      <c r="I11" s="55" t="n"/>
      <c r="J11" s="55" t="n"/>
      <c r="K11" s="55" t="inlineStr">
        <is>
          <t>Y</t>
        </is>
      </c>
      <c r="L11" s="95">
        <f>IF(G11="","",IF(L10="",G11,L10+G11))</f>
        <v/>
      </c>
      <c r="M11" s="55" t="n"/>
    </row>
    <row r="12" ht="15.75" customHeight="1" s="99">
      <c r="A12" s="41" t="n">
        <v>9</v>
      </c>
      <c r="B12" s="45" t="n">
        <v>46156</v>
      </c>
      <c r="C12" s="47" t="inlineStr">
        <is>
          <t>Chota Bhai</t>
        </is>
      </c>
      <c r="D12" s="47" t="inlineStr">
        <is>
          <t>Brick Company</t>
        </is>
      </c>
      <c r="E12" s="47" t="n"/>
      <c r="F12" s="47" t="inlineStr">
        <is>
          <t>Brick advance — Chota Bhai share</t>
        </is>
      </c>
      <c r="G12" s="92" t="n">
        <v>169000</v>
      </c>
      <c r="H12" s="47" t="inlineStr">
        <is>
          <t>GPay</t>
        </is>
      </c>
      <c r="I12" s="47" t="n"/>
      <c r="J12" s="47" t="n"/>
      <c r="K12" s="47" t="inlineStr">
        <is>
          <t>Y</t>
        </is>
      </c>
      <c r="L12" s="93">
        <f>IF(G12="","",IF(L11="",G12,L11+G12))</f>
        <v/>
      </c>
      <c r="M12" s="47" t="n"/>
    </row>
    <row r="13" ht="15.75" customHeight="1" s="99">
      <c r="A13" s="43" t="n">
        <v>10</v>
      </c>
      <c r="B13" s="53" t="n">
        <v>46157</v>
      </c>
      <c r="C13" s="55" t="inlineStr">
        <is>
          <t>Papa</t>
        </is>
      </c>
      <c r="D13" s="55" t="inlineStr">
        <is>
          <t>Concrete Supplier</t>
        </is>
      </c>
      <c r="E13" s="55" t="n"/>
      <c r="F13" s="55" t="inlineStr">
        <is>
          <t>Gitti 27.5T @ ₹2,400</t>
        </is>
      </c>
      <c r="G13" s="94" t="n">
        <v>66000</v>
      </c>
      <c r="H13" s="55" t="inlineStr">
        <is>
          <t>GPay</t>
        </is>
      </c>
      <c r="I13" s="55" t="n"/>
      <c r="J13" s="55" t="n"/>
      <c r="K13" s="55" t="inlineStr">
        <is>
          <t>Y</t>
        </is>
      </c>
      <c r="L13" s="95">
        <f>IF(G13="","",IF(L12="",G13,L12+G13))</f>
        <v/>
      </c>
      <c r="M13" s="55" t="n"/>
    </row>
    <row r="14" ht="15.75" customHeight="1" s="99">
      <c r="A14" s="43" t="n">
        <v>12</v>
      </c>
      <c r="B14" s="53" t="n">
        <v>46158</v>
      </c>
      <c r="C14" s="55" t="inlineStr">
        <is>
          <t>Self-GPay</t>
        </is>
      </c>
      <c r="D14" s="55" t="inlineStr">
        <is>
          <t>Econ Builder</t>
        </is>
      </c>
      <c r="E14" s="55" t="n"/>
      <c r="F14" s="55" t="inlineStr">
        <is>
          <t>Supervision advance</t>
        </is>
      </c>
      <c r="G14" s="94" t="n">
        <v>50000</v>
      </c>
      <c r="H14" s="55" t="inlineStr">
        <is>
          <t>GPay</t>
        </is>
      </c>
      <c r="I14" s="55" t="n"/>
      <c r="J14" s="55" t="n"/>
      <c r="K14" s="55" t="inlineStr">
        <is>
          <t>Y</t>
        </is>
      </c>
      <c r="L14" s="95">
        <f>IF(G14="","",IF(L13="",G14,L13+G14))</f>
        <v/>
      </c>
      <c r="M14" s="55" t="n"/>
    </row>
    <row r="15" ht="15.75" customHeight="1" s="99">
      <c r="A15" s="41" t="n">
        <v>13</v>
      </c>
      <c r="B15" s="45" t="n">
        <v>46158</v>
      </c>
      <c r="C15" s="47" t="inlineStr">
        <is>
          <t>Papa</t>
        </is>
      </c>
      <c r="D15" s="47" t="inlineStr">
        <is>
          <t>Local Purchase</t>
        </is>
      </c>
      <c r="E15" s="47" t="n"/>
      <c r="F15" s="47" t="inlineStr">
        <is>
          <t>Panni + tools + food</t>
        </is>
      </c>
      <c r="G15" s="92" t="n">
        <v>5060</v>
      </c>
      <c r="H15" s="47" t="inlineStr">
        <is>
          <t>GPay</t>
        </is>
      </c>
      <c r="I15" s="47" t="n"/>
      <c r="J15" s="47" t="n"/>
      <c r="K15" s="47" t="inlineStr">
        <is>
          <t>Y</t>
        </is>
      </c>
      <c r="L15" s="93">
        <f>IF(G15="","",IF(L14="",G15,L14+G15))</f>
        <v/>
      </c>
      <c r="M15" s="47" t="n"/>
    </row>
    <row r="16" ht="15.75" customHeight="1" s="99">
      <c r="A16" s="43" t="n">
        <v>14</v>
      </c>
      <c r="B16" s="53" t="n">
        <v>46161</v>
      </c>
      <c r="C16" s="55" t="inlineStr">
        <is>
          <t>Self-GPay</t>
        </is>
      </c>
      <c r="D16" s="55" t="inlineStr">
        <is>
          <t>Pappu Hardware</t>
        </is>
      </c>
      <c r="E16" s="55" t="n"/>
      <c r="F16" s="55" t="inlineStr">
        <is>
          <t>Soft wire + cover blocks</t>
        </is>
      </c>
      <c r="G16" s="94" t="n">
        <v>3500</v>
      </c>
      <c r="H16" s="55" t="inlineStr">
        <is>
          <t>GPay</t>
        </is>
      </c>
      <c r="I16" s="55" t="n"/>
      <c r="J16" s="55" t="n"/>
      <c r="K16" s="55" t="inlineStr">
        <is>
          <t>Y</t>
        </is>
      </c>
      <c r="L16" s="95">
        <f>IF(G16="","",IF(L15="",G16,L15+G16))</f>
        <v/>
      </c>
      <c r="M16" s="55" t="n"/>
    </row>
    <row r="17" ht="15.75" customHeight="1" s="99">
      <c r="A17" s="41" t="n">
        <v>15</v>
      </c>
      <c r="B17" s="45" t="n">
        <v>46163</v>
      </c>
      <c r="C17" s="47" t="inlineStr">
        <is>
          <t>Self-GPay</t>
        </is>
      </c>
      <c r="D17" s="47" t="inlineStr">
        <is>
          <t>Pappu Hardware</t>
        </is>
      </c>
      <c r="E17" s="47" t="n"/>
      <c r="F17" s="47" t="inlineStr">
        <is>
          <t>Cement 60B + metal sheet</t>
        </is>
      </c>
      <c r="G17" s="92" t="n">
        <v>24800</v>
      </c>
      <c r="H17" s="47" t="inlineStr">
        <is>
          <t>GPay</t>
        </is>
      </c>
      <c r="I17" s="47" t="n"/>
      <c r="J17" s="47" t="n"/>
      <c r="K17" s="47" t="inlineStr">
        <is>
          <t>Y</t>
        </is>
      </c>
      <c r="L17" s="93">
        <f>IF(G17="","",IF(L16="",G17,L16+G17))</f>
        <v/>
      </c>
      <c r="M17" s="47" t="n"/>
    </row>
    <row r="18" ht="15.75" customHeight="1" s="99">
      <c r="A18" s="43" t="n">
        <v>16</v>
      </c>
      <c r="B18" s="53" t="n">
        <v>46164</v>
      </c>
      <c r="C18" s="55" t="inlineStr">
        <is>
          <t>Self-Bank Transfer</t>
        </is>
      </c>
      <c r="D18" s="55" t="inlineStr">
        <is>
          <t>Econ Builder</t>
        </is>
      </c>
      <c r="E18" s="55" t="n"/>
      <c r="F18" s="55" t="inlineStr">
        <is>
          <t>Engineer advance — net banking</t>
        </is>
      </c>
      <c r="G18" s="94" t="n">
        <v>50000</v>
      </c>
      <c r="H18" s="55" t="inlineStr">
        <is>
          <t>Bank</t>
        </is>
      </c>
      <c r="I18" s="55" t="n"/>
      <c r="J18" s="55" t="n"/>
      <c r="K18" s="55" t="inlineStr">
        <is>
          <t>Y</t>
        </is>
      </c>
      <c r="L18" s="95">
        <f>IF(G18="","",IF(L17="",G18,L17+G18))</f>
        <v/>
      </c>
      <c r="M18" s="55" t="n"/>
    </row>
    <row r="19" ht="15.75" customHeight="1" s="99">
      <c r="A19" s="41" t="n">
        <v>17</v>
      </c>
      <c r="B19" s="45" t="n">
        <v>46165</v>
      </c>
      <c r="C19" s="47" t="inlineStr">
        <is>
          <t>Self-GPay</t>
        </is>
      </c>
      <c r="D19" s="47" t="inlineStr">
        <is>
          <t>Concrete Supplier</t>
        </is>
      </c>
      <c r="E19" s="47" t="n"/>
      <c r="F19" s="47" t="inlineStr">
        <is>
          <t>Gitti 37.64T @ ₹2,550</t>
        </is>
      </c>
      <c r="G19" s="92" t="n">
        <v>95982</v>
      </c>
      <c r="H19" s="47" t="inlineStr">
        <is>
          <t>GPay</t>
        </is>
      </c>
      <c r="I19" s="47" t="n"/>
      <c r="J19" s="47" t="n"/>
      <c r="K19" s="47" t="inlineStr">
        <is>
          <t>Y</t>
        </is>
      </c>
      <c r="L19" s="93">
        <f>IF(G19="","",IF(L18="",G19,L18+G19))</f>
        <v/>
      </c>
      <c r="M19" s="47" t="n"/>
    </row>
    <row r="20" ht="15.75" customHeight="1" s="99">
      <c r="A20" s="43" t="n">
        <v>18</v>
      </c>
      <c r="B20" s="53" t="n">
        <v>46167</v>
      </c>
      <c r="C20" s="55" t="inlineStr">
        <is>
          <t>Self-Bank Transfer</t>
        </is>
      </c>
      <c r="D20" s="55" t="inlineStr">
        <is>
          <t>Naveen Hardware</t>
        </is>
      </c>
      <c r="E20" s="55" t="n"/>
      <c r="F20" s="55" t="inlineStr">
        <is>
          <t>Cement 50B + transport + labour</t>
        </is>
      </c>
      <c r="G20" s="94" t="n">
        <v>18650</v>
      </c>
      <c r="H20" s="55" t="inlineStr">
        <is>
          <t>Bank</t>
        </is>
      </c>
      <c r="I20" s="55" t="n"/>
      <c r="J20" s="55" t="n"/>
      <c r="K20" s="55" t="inlineStr">
        <is>
          <t>Y</t>
        </is>
      </c>
      <c r="L20" s="95">
        <f>IF(G20="","",IF(L19="",G20,L19+G20))</f>
        <v/>
      </c>
      <c r="M20" s="55" t="n"/>
    </row>
    <row r="21" ht="15.75" customHeight="1" s="99">
      <c r="A21" s="43" t="n">
        <v>20</v>
      </c>
      <c r="B21" s="53" t="n">
        <v>46174</v>
      </c>
      <c r="C21" s="55" t="inlineStr">
        <is>
          <t>Self-Bank Transfer</t>
        </is>
      </c>
      <c r="D21" s="55" t="inlineStr">
        <is>
          <t>Pappu Hardware</t>
        </is>
      </c>
      <c r="E21" s="55" t="n"/>
      <c r="F21" s="55" t="inlineStr">
        <is>
          <t>Bill 2: steel + cement + DrFixit</t>
        </is>
      </c>
      <c r="G21" s="94" t="n">
        <v>202830</v>
      </c>
      <c r="H21" s="55" t="inlineStr">
        <is>
          <t>Bank</t>
        </is>
      </c>
      <c r="I21" s="55" t="n"/>
      <c r="J21" s="55" t="n"/>
      <c r="K21" s="55" t="inlineStr">
        <is>
          <t>Y</t>
        </is>
      </c>
      <c r="L21" s="95">
        <f>IF(G21="","",IF(L20="",G21,L20+G21))</f>
        <v/>
      </c>
      <c r="M21" s="55" t="n"/>
    </row>
    <row r="22" ht="15.75" customHeight="1" s="99">
      <c r="A22" s="41" t="n">
        <v>21</v>
      </c>
      <c r="B22" s="45" t="n">
        <v>46174</v>
      </c>
      <c r="C22" s="47" t="inlineStr">
        <is>
          <t>Papa</t>
        </is>
      </c>
      <c r="D22" s="47" t="inlineStr">
        <is>
          <t>Daily Labour</t>
        </is>
      </c>
      <c r="E22" s="47" t="n"/>
      <c r="F22" s="47" t="inlineStr">
        <is>
          <t>Earth filling 66 labourers @ ₹350</t>
        </is>
      </c>
      <c r="G22" s="92" t="n">
        <v>23100</v>
      </c>
      <c r="H22" s="47" t="inlineStr">
        <is>
          <t>GPay</t>
        </is>
      </c>
      <c r="I22" s="47" t="n"/>
      <c r="J22" s="47" t="n"/>
      <c r="K22" s="47" t="inlineStr">
        <is>
          <t>Y</t>
        </is>
      </c>
      <c r="L22" s="93">
        <f>IF(G22="","",IF(L21="",G22,L21+G22))</f>
        <v/>
      </c>
      <c r="M22" s="47" t="n"/>
    </row>
    <row r="23" ht="15.75" customHeight="1" s="99">
      <c r="A23" s="43" t="n">
        <v>22</v>
      </c>
      <c r="B23" s="53" t="n">
        <v>46174</v>
      </c>
      <c r="C23" s="55" t="inlineStr">
        <is>
          <t>Self-GPay</t>
        </is>
      </c>
      <c r="D23" s="55" t="inlineStr">
        <is>
          <t>Econ Builder</t>
        </is>
      </c>
      <c r="E23" s="55" t="n"/>
      <c r="F23" s="55" t="inlineStr">
        <is>
          <t>Engineer payment ₹1L</t>
        </is>
      </c>
      <c r="G23" s="94" t="n">
        <v>100000</v>
      </c>
      <c r="H23" s="55" t="inlineStr">
        <is>
          <t>GPay</t>
        </is>
      </c>
      <c r="I23" s="55" t="n"/>
      <c r="J23" s="55" t="n"/>
      <c r="K23" s="55" t="inlineStr">
        <is>
          <t>Y</t>
        </is>
      </c>
      <c r="L23" s="95">
        <f>IF(G23="","",IF(L22="",G23,L22+G23))</f>
        <v/>
      </c>
      <c r="M23" s="55" t="n"/>
    </row>
    <row r="24" ht="15.75" customHeight="1" s="99">
      <c r="A24" s="41" t="n">
        <v>23</v>
      </c>
      <c r="B24" s="45" t="n">
        <v>46179</v>
      </c>
      <c r="C24" s="47" t="inlineStr">
        <is>
          <t>Self-Bank Transfer</t>
        </is>
      </c>
      <c r="D24" s="47" t="inlineStr">
        <is>
          <t>Pappu Hardware</t>
        </is>
      </c>
      <c r="E24" s="47" t="n"/>
      <c r="F24" s="47" t="inlineStr">
        <is>
          <t>Bill 3: cement 50B + 6mm 70 pcs + transport</t>
        </is>
      </c>
      <c r="G24" s="92" t="n">
        <v>35700</v>
      </c>
      <c r="H24" s="47" t="inlineStr">
        <is>
          <t>Bank</t>
        </is>
      </c>
      <c r="I24" s="47" t="n"/>
      <c r="J24" s="47" t="n"/>
      <c r="K24" s="47" t="inlineStr">
        <is>
          <t>Y</t>
        </is>
      </c>
      <c r="L24" s="93">
        <f>IF(G24="","",IF(L23="",G24,L23+G24))</f>
        <v/>
      </c>
      <c r="M24" s="47" t="n"/>
    </row>
    <row r="25" ht="15.75" customHeight="1" s="99">
      <c r="A25" s="43" t="n">
        <v>24</v>
      </c>
      <c r="B25" s="53" t="n">
        <v>46182</v>
      </c>
      <c r="C25" s="55" t="inlineStr">
        <is>
          <t>Papa</t>
        </is>
      </c>
      <c r="D25" s="55" t="inlineStr">
        <is>
          <t>Daily Labour</t>
        </is>
      </c>
      <c r="E25" s="55" t="n"/>
      <c r="F25" s="55" t="inlineStr">
        <is>
          <t>Mitti bharai 28.5 labourers @ ₹350</t>
        </is>
      </c>
      <c r="G25" s="94" t="n">
        <v>9975</v>
      </c>
      <c r="H25" s="55" t="inlineStr">
        <is>
          <t>GPay</t>
        </is>
      </c>
      <c r="I25" s="55" t="n"/>
      <c r="J25" s="55" t="n"/>
      <c r="K25" s="55" t="inlineStr">
        <is>
          <t>Y</t>
        </is>
      </c>
      <c r="L25" s="95">
        <f>IF(G25="","",IF(L24="",G25,L24+G25))</f>
        <v/>
      </c>
      <c r="M25" s="55" t="n"/>
    </row>
    <row r="26" ht="15.75" customHeight="1" s="99">
      <c r="A26" s="41" t="n">
        <v>25</v>
      </c>
      <c r="B26" s="45" t="n">
        <v>46183</v>
      </c>
      <c r="C26" s="47" t="inlineStr">
        <is>
          <t>Self-Bank Transfer</t>
        </is>
      </c>
      <c r="D26" s="47" t="inlineStr">
        <is>
          <t>Mukesh Yadav</t>
        </is>
      </c>
      <c r="E26" s="47" t="n"/>
      <c r="F26" s="47" t="inlineStr">
        <is>
          <t>Final settlement — JCB + Mitti + Sand + Gitti movement</t>
        </is>
      </c>
      <c r="G26" s="92" t="n">
        <v>58200</v>
      </c>
      <c r="H26" s="47" t="inlineStr">
        <is>
          <t>Bank</t>
        </is>
      </c>
      <c r="I26" s="47" t="n"/>
      <c r="J26" s="47" t="n"/>
      <c r="K26" s="47" t="inlineStr">
        <is>
          <t>Y</t>
        </is>
      </c>
      <c r="L26" s="93">
        <f>IF(G26="","",IF(L25="",G26,L25+G26))</f>
        <v/>
      </c>
      <c r="M26" s="47" t="n"/>
    </row>
    <row r="27" ht="15.75" customHeight="1" s="99">
      <c r="A27" s="43" t="n">
        <v>26</v>
      </c>
      <c r="B27" s="53" t="n">
        <v>46194</v>
      </c>
      <c r="C27" s="55" t="inlineStr">
        <is>
          <t>Self-GPay</t>
        </is>
      </c>
      <c r="D27" s="55" t="inlineStr">
        <is>
          <t>Pappu Hardware</t>
        </is>
      </c>
      <c r="E27" s="55" t="inlineStr">
        <is>
          <t>Building Materials</t>
        </is>
      </c>
      <c r="F27" s="55" t="inlineStr">
        <is>
          <t>Cement 50B + transport + labour</t>
        </is>
      </c>
      <c r="G27" s="63" t="n">
        <v>18500</v>
      </c>
      <c r="H27" s="55" t="inlineStr">
        <is>
          <t>GPay</t>
        </is>
      </c>
      <c r="I27" s="55" t="n"/>
      <c r="J27" s="55" t="n"/>
      <c r="K27" s="55" t="inlineStr">
        <is>
          <t>Y</t>
        </is>
      </c>
      <c r="L27" s="58">
        <f>IF(G27="","",IF(L26="",G27,L26+G27))</f>
        <v/>
      </c>
      <c r="M27" s="55" t="n"/>
    </row>
    <row r="28" ht="15.75" customHeight="1" s="99">
      <c r="A28" s="41" t="n">
        <v>27</v>
      </c>
      <c r="B28" s="45" t="n">
        <v>46194</v>
      </c>
      <c r="C28" s="47" t="inlineStr">
        <is>
          <t>Self-GPay</t>
        </is>
      </c>
      <c r="D28" s="47" t="inlineStr">
        <is>
          <t>Pappu Hardware</t>
        </is>
      </c>
      <c r="E28" s="47" t="inlineStr">
        <is>
          <t>Building Materials</t>
        </is>
      </c>
      <c r="F28" s="47" t="inlineStr">
        <is>
          <t>Soft wire 10 Kg — Bill 4 settlement</t>
        </is>
      </c>
      <c r="G28" s="62" t="n">
        <v>1300</v>
      </c>
      <c r="H28" s="47" t="inlineStr">
        <is>
          <t>GPay</t>
        </is>
      </c>
      <c r="I28" s="47" t="n"/>
      <c r="J28" s="47" t="n"/>
      <c r="K28" s="47" t="inlineStr">
        <is>
          <t>Y</t>
        </is>
      </c>
      <c r="L28" s="50">
        <f>IF(G28="","",IF(L27="",G28,L27+G28))</f>
        <v/>
      </c>
      <c r="M28" s="47" t="n"/>
    </row>
    <row r="29" ht="15.75" customHeight="1" s="99">
      <c r="A29" s="43" t="n">
        <v>28</v>
      </c>
      <c r="B29" s="53" t="n">
        <v>46195</v>
      </c>
      <c r="C29" s="55" t="inlineStr">
        <is>
          <t>Papa</t>
        </is>
      </c>
      <c r="D29" s="55" t="inlineStr">
        <is>
          <t>Daily Labour</t>
        </is>
      </c>
      <c r="E29" s="55" t="inlineStr">
        <is>
          <t>Labour</t>
        </is>
      </c>
      <c r="F29" s="55" t="inlineStr">
        <is>
          <t>Mitti bharai labour payment</t>
        </is>
      </c>
      <c r="G29" s="63" t="n">
        <v>2000</v>
      </c>
      <c r="H29" s="55" t="inlineStr">
        <is>
          <t>GPay</t>
        </is>
      </c>
      <c r="I29" s="55" t="n"/>
      <c r="J29" s="55" t="n"/>
      <c r="K29" s="55" t="inlineStr">
        <is>
          <t>Y</t>
        </is>
      </c>
      <c r="L29" s="58">
        <f>IF(G29="","",IF(L28="",G29,L28+G29))</f>
        <v/>
      </c>
      <c r="M29" s="55" t="n"/>
    </row>
    <row r="30" ht="15.75" customHeight="1" s="99">
      <c r="A30" s="41" t="n">
        <v>29</v>
      </c>
      <c r="B30" s="45" t="n">
        <v>46196</v>
      </c>
      <c r="C30" s="47" t="inlineStr">
        <is>
          <t>Papa</t>
        </is>
      </c>
      <c r="D30" s="47" t="inlineStr">
        <is>
          <t>Daily Labour</t>
        </is>
      </c>
      <c r="E30" s="47" t="inlineStr">
        <is>
          <t>Labour</t>
        </is>
      </c>
      <c r="F30" s="47" t="inlineStr">
        <is>
          <t>Full labour settlement — mitti bharai + kitchen</t>
        </is>
      </c>
      <c r="G30" s="62" t="n">
        <v>16300</v>
      </c>
      <c r="H30" s="47" t="inlineStr">
        <is>
          <t>GPay</t>
        </is>
      </c>
      <c r="I30" s="47" t="n"/>
      <c r="J30" s="47" t="n"/>
      <c r="K30" s="47" t="inlineStr">
        <is>
          <t>Y</t>
        </is>
      </c>
      <c r="L30" s="50">
        <f>IF(G30="","",IF(L29="",G30,L29+G30))</f>
        <v/>
      </c>
      <c r="M30" s="47" t="n"/>
    </row>
    <row r="31" ht="15.75" customHeight="1" s="99">
      <c r="A31" s="43" t="n">
        <v>30</v>
      </c>
      <c r="B31" s="53" t="n">
        <v>46208</v>
      </c>
      <c r="C31" s="55" t="inlineStr">
        <is>
          <t>Self</t>
        </is>
      </c>
      <c r="D31" s="55" t="inlineStr">
        <is>
          <t>Mukesh Yadav</t>
        </is>
      </c>
      <c r="E31" s="55" t="inlineStr">
        <is>
          <t>Land Development</t>
        </is>
      </c>
      <c r="F31" s="55" t="inlineStr">
        <is>
          <t>Mitti + JCB balance payment</t>
        </is>
      </c>
      <c r="G31" s="63" t="n">
        <v>30000</v>
      </c>
      <c r="H31" s="55" t="inlineStr">
        <is>
          <t>GPay</t>
        </is>
      </c>
      <c r="I31" s="55" t="n"/>
      <c r="J31" s="55" t="n"/>
      <c r="K31" s="55" t="inlineStr">
        <is>
          <t>Y</t>
        </is>
      </c>
      <c r="L31" s="58">
        <f>IF(G31="","",IF(L30="",G31,L30+G31))</f>
        <v/>
      </c>
      <c r="M31" s="55" t="n"/>
    </row>
    <row r="32" ht="15.75" customHeight="1" s="99">
      <c r="A32" s="43" t="n">
        <v>32</v>
      </c>
      <c r="B32" s="53" t="n">
        <v>46208</v>
      </c>
      <c r="C32" s="55" t="inlineStr">
        <is>
          <t>Self</t>
        </is>
      </c>
      <c r="D32" s="55" t="inlineStr">
        <is>
          <t>Econ Builder</t>
        </is>
      </c>
      <c r="E32" s="55" t="inlineStr">
        <is>
          <t>Professional Fees</t>
        </is>
      </c>
      <c r="F32" s="55" t="inlineStr">
        <is>
          <t>Engineer supervision fee — Jul payment</t>
        </is>
      </c>
      <c r="G32" s="63" t="n">
        <v>75000</v>
      </c>
      <c r="H32" s="55" t="inlineStr">
        <is>
          <t>GPay</t>
        </is>
      </c>
      <c r="I32" s="55" t="n"/>
      <c r="J32" s="55" t="n"/>
      <c r="K32" s="55" t="inlineStr">
        <is>
          <t>Y</t>
        </is>
      </c>
      <c r="L32" s="58">
        <f>IF(G32="","",IF(L31="",G32,L31+G32))</f>
        <v/>
      </c>
      <c r="M32" s="55" t="n"/>
    </row>
    <row r="33" ht="15.75" customHeight="1" s="99">
      <c r="A33" s="41" t="n">
        <v>33</v>
      </c>
      <c r="B33" s="45" t="n">
        <v>46208</v>
      </c>
      <c r="C33" s="47" t="inlineStr">
        <is>
          <t>Self</t>
        </is>
      </c>
      <c r="D33" s="47" t="inlineStr">
        <is>
          <t>Sand Truck Wala</t>
        </is>
      </c>
      <c r="E33" s="47" t="inlineStr">
        <is>
          <t>Building Materials</t>
        </is>
      </c>
      <c r="F33" s="47" t="inlineStr">
        <is>
          <t>Sand Truck 3 — 944 CFT</t>
        </is>
      </c>
      <c r="G33" s="62" t="n">
        <v>46500</v>
      </c>
      <c r="H33" s="47" t="inlineStr">
        <is>
          <t>GPay</t>
        </is>
      </c>
      <c r="I33" s="47" t="n"/>
      <c r="J33" s="47" t="n"/>
      <c r="K33" s="47" t="inlineStr">
        <is>
          <t>Y</t>
        </is>
      </c>
      <c r="L33" s="50">
        <f>IF(G33="","",IF(L32="",G33,L32+G33))</f>
        <v/>
      </c>
      <c r="M33" s="47" t="n"/>
    </row>
    <row r="34" ht="15.75" customHeight="1" s="99">
      <c r="A34" s="43" t="n">
        <v>34</v>
      </c>
      <c r="B34" s="53" t="n">
        <v>46208</v>
      </c>
      <c r="C34" s="55" t="inlineStr">
        <is>
          <t>Papa</t>
        </is>
      </c>
      <c r="D34" s="55" t="inlineStr">
        <is>
          <t>Sand Truck Wala</t>
        </is>
      </c>
      <c r="E34" s="55" t="inlineStr">
        <is>
          <t>Building Materials</t>
        </is>
      </c>
      <c r="F34" s="55" t="inlineStr">
        <is>
          <t>Sand Truck 3 — 944 CFT</t>
        </is>
      </c>
      <c r="G34" s="63" t="n">
        <v>10000</v>
      </c>
      <c r="H34" s="55" t="inlineStr">
        <is>
          <t>GPay</t>
        </is>
      </c>
      <c r="I34" s="55" t="n"/>
      <c r="J34" s="55" t="n"/>
      <c r="K34" s="55" t="inlineStr">
        <is>
          <t>Y</t>
        </is>
      </c>
      <c r="L34" s="58">
        <f>IF(G34="","",IF(L33="",G34,L33+G34))</f>
        <v/>
      </c>
      <c r="M34" s="55" t="n"/>
    </row>
    <row r="35" ht="15.75" customHeight="1" s="99">
      <c r="A35" s="41" t="n">
        <v>35</v>
      </c>
      <c r="B35" s="45" t="n">
        <v>46208</v>
      </c>
      <c r="C35" s="47" t="inlineStr">
        <is>
          <t>Self</t>
        </is>
      </c>
      <c r="D35" s="47" t="inlineStr">
        <is>
          <t>Sand Truck Wala</t>
        </is>
      </c>
      <c r="E35" s="47" t="inlineStr">
        <is>
          <t>Building Materials</t>
        </is>
      </c>
      <c r="F35" s="47" t="inlineStr">
        <is>
          <t>Sand Truck 4 — 936 CFT</t>
        </is>
      </c>
      <c r="G35" s="62" t="n">
        <v>56000</v>
      </c>
      <c r="H35" s="47" t="inlineStr">
        <is>
          <t>GPay</t>
        </is>
      </c>
      <c r="I35" s="47" t="n"/>
      <c r="J35" s="47" t="n"/>
      <c r="K35" s="47" t="inlineStr">
        <is>
          <t>Y</t>
        </is>
      </c>
      <c r="L35" s="50">
        <f>IF(G35="","",IF(L34="",G35,L34+G35))</f>
        <v/>
      </c>
      <c r="M35" s="47" t="n"/>
    </row>
    <row r="36" ht="15.75" customHeight="1" s="99">
      <c r="A36" s="43" t="n">
        <v>36</v>
      </c>
      <c r="B36" s="53" t="n">
        <v>46208</v>
      </c>
      <c r="C36" s="55" t="inlineStr">
        <is>
          <t>Self</t>
        </is>
      </c>
      <c r="D36" s="55" t="inlineStr">
        <is>
          <t>Pappu Hardware</t>
        </is>
      </c>
      <c r="E36" s="55" t="inlineStr">
        <is>
          <t>Building Materials + Steel + Labour</t>
        </is>
      </c>
      <c r="F36" s="55" t="inlineStr">
        <is>
          <t>Cement 60B + 6mm 50pcs + Gitti + DrFixit + Labour</t>
        </is>
      </c>
      <c r="G36" s="63" t="n">
        <v>41650</v>
      </c>
      <c r="H36" s="55" t="inlineStr">
        <is>
          <t>GPay</t>
        </is>
      </c>
      <c r="I36" s="55" t="n"/>
      <c r="J36" s="55" t="n"/>
      <c r="K36" s="55" t="inlineStr">
        <is>
          <t>Y</t>
        </is>
      </c>
      <c r="L36" s="58">
        <f>IF(G36="","",IF(L35="",G36,L35+G36))</f>
        <v/>
      </c>
      <c r="M36" s="55" t="n"/>
    </row>
    <row r="37" ht="15.75" customHeight="1" s="99">
      <c r="A37" s="43" t="n">
        <v>38</v>
      </c>
      <c r="B37" s="53" t="n">
        <v>46220</v>
      </c>
      <c r="C37" s="55" t="inlineStr">
        <is>
          <t>Papa</t>
        </is>
      </c>
      <c r="D37" s="55" t="inlineStr">
        <is>
          <t>Local Purchase</t>
        </is>
      </c>
      <c r="E37" s="55" t="inlineStr">
        <is>
          <t>Building Materials</t>
        </is>
      </c>
      <c r="F37" s="55" t="inlineStr">
        <is>
          <t>Iron wire 2kg + delivery</t>
        </is>
      </c>
      <c r="G37" s="63" t="n">
        <v>1300</v>
      </c>
      <c r="H37" s="55" t="inlineStr">
        <is>
          <t>GPay</t>
        </is>
      </c>
      <c r="I37" s="55" t="n"/>
      <c r="J37" s="55" t="n"/>
      <c r="K37" s="55" t="inlineStr">
        <is>
          <t>Y</t>
        </is>
      </c>
      <c r="L37" s="58">
        <f>IF(G37="","",IF(L36="",G37,L36+G37))</f>
        <v/>
      </c>
      <c r="M37" s="55" t="n"/>
    </row>
    <row r="38" ht="15.75" customHeight="1" s="99">
      <c r="A38" s="43" t="n">
        <v>40</v>
      </c>
      <c r="B38" s="53" t="n">
        <v>46221</v>
      </c>
      <c r="C38" s="55" t="inlineStr">
        <is>
          <t>Self</t>
        </is>
      </c>
      <c r="D38" s="55" t="inlineStr">
        <is>
          <t>Mukesh Yadav</t>
        </is>
      </c>
      <c r="E38" s="55" t="inlineStr">
        <is>
          <t>Land Development + Labour</t>
        </is>
      </c>
      <c r="F38" s="55" t="inlineStr">
        <is>
          <t>JCB + Mitti + Sand movement balance payment</t>
        </is>
      </c>
      <c r="G38" s="63" t="n">
        <v>40000</v>
      </c>
      <c r="H38" s="55" t="inlineStr">
        <is>
          <t>Cash</t>
        </is>
      </c>
      <c r="I38" s="55" t="n"/>
      <c r="J38" s="55" t="n"/>
      <c r="K38" s="55" t="inlineStr">
        <is>
          <t>Y</t>
        </is>
      </c>
      <c r="L38" s="58">
        <f>IF(G38="","",IF(L37="",G38,L37+G38))</f>
        <v/>
      </c>
      <c r="M38" s="55" t="n"/>
    </row>
    <row r="39" ht="15.75" customHeight="1" s="99">
      <c r="A39" s="43" t="n">
        <v>42</v>
      </c>
      <c r="B39" s="53" t="n">
        <v>46208</v>
      </c>
      <c r="C39" s="55" t="inlineStr">
        <is>
          <t>Papa</t>
        </is>
      </c>
      <c r="D39" s="55" t="inlineStr">
        <is>
          <t>Daily Labour</t>
        </is>
      </c>
      <c r="E39" s="55" t="inlineStr">
        <is>
          <t>Labour</t>
        </is>
      </c>
      <c r="F39" s="55" t="inlineStr">
        <is>
          <t>Mitti bharai labour</t>
        </is>
      </c>
      <c r="G39" s="63" t="n">
        <v>25000</v>
      </c>
      <c r="H39" s="55" t="inlineStr">
        <is>
          <t>GPay</t>
        </is>
      </c>
      <c r="I39" s="55" t="n"/>
      <c r="J39" s="55" t="n"/>
      <c r="K39" s="55" t="inlineStr">
        <is>
          <t>Y</t>
        </is>
      </c>
      <c r="L39" s="58">
        <f>IF(G39="","",IF(L38="",G39,L38+G39))</f>
        <v/>
      </c>
      <c r="M39" s="55" t="n"/>
    </row>
    <row r="40" ht="15.75" customHeight="1" s="99">
      <c r="A40" s="41" t="n">
        <v>43</v>
      </c>
      <c r="B40" s="45" t="n">
        <v>46223</v>
      </c>
      <c r="C40" s="47" t="inlineStr">
        <is>
          <t>Papa</t>
        </is>
      </c>
      <c r="D40" s="47" t="inlineStr">
        <is>
          <t>Daily Labour</t>
        </is>
      </c>
      <c r="E40" s="47" t="inlineStr">
        <is>
          <t>Labour</t>
        </is>
      </c>
      <c r="F40" s="47" t="inlineStr">
        <is>
          <t>Mitti bharai labour</t>
        </is>
      </c>
      <c r="G40" s="62" t="n">
        <v>22875</v>
      </c>
      <c r="H40" s="47" t="inlineStr">
        <is>
          <t>GPay</t>
        </is>
      </c>
      <c r="I40" s="47" t="n"/>
      <c r="J40" s="47" t="n"/>
      <c r="K40" s="47" t="inlineStr">
        <is>
          <t>Y</t>
        </is>
      </c>
      <c r="L40" s="50">
        <f>IF(G40="","",IF(L39="",G40,L39+G40))</f>
        <v/>
      </c>
      <c r="M40" s="47" t="n"/>
    </row>
    <row r="41" ht="15.75" customHeight="1" s="99">
      <c r="A41" s="43" t="n">
        <v>44</v>
      </c>
      <c r="B41" s="53" t="n">
        <v>46223</v>
      </c>
      <c r="C41" s="55" t="inlineStr">
        <is>
          <t>Papa</t>
        </is>
      </c>
      <c r="D41" s="55" t="inlineStr">
        <is>
          <t>Local Purchase</t>
        </is>
      </c>
      <c r="E41" s="55" t="inlineStr">
        <is>
          <t>Transport · Food · Misc</t>
        </is>
      </c>
      <c r="F41" s="55" t="inlineStr">
        <is>
          <t>Food / Miscellaneous provisions</t>
        </is>
      </c>
      <c r="G41" s="63" t="n">
        <v>55768</v>
      </c>
      <c r="H41" s="55" t="inlineStr">
        <is>
          <t>GPay</t>
        </is>
      </c>
      <c r="I41" s="55" t="n"/>
      <c r="J41" s="55" t="n"/>
      <c r="K41" s="55" t="inlineStr">
        <is>
          <t>Y</t>
        </is>
      </c>
      <c r="L41" s="58">
        <f>IF(G41="","",IF(L40="",G41,L40+G41))</f>
        <v/>
      </c>
      <c r="M41" s="55" t="n"/>
    </row>
    <row r="42" ht="15.75" customHeight="1" s="99">
      <c r="A42" s="41" t="n">
        <v>45</v>
      </c>
      <c r="B42" s="45" t="n">
        <v>46224</v>
      </c>
      <c r="C42" s="47" t="inlineStr">
        <is>
          <t>Self</t>
        </is>
      </c>
      <c r="D42" s="47" t="inlineStr">
        <is>
          <t>Pappu Hardware</t>
        </is>
      </c>
      <c r="E42" s="47" t="inlineStr">
        <is>
          <t>Building Materials + Transport + Labour</t>
        </is>
      </c>
      <c r="F42" s="47" t="inlineStr">
        <is>
          <t>Cement 60 bags + wire + transport + labour</t>
        </is>
      </c>
      <c r="G42" s="62" t="n">
        <v>22240</v>
      </c>
      <c r="H42" s="47" t="inlineStr">
        <is>
          <t>Cash</t>
        </is>
      </c>
      <c r="I42" s="47" t="n"/>
      <c r="J42" s="47" t="n"/>
      <c r="K42" s="47" t="inlineStr">
        <is>
          <t>Y</t>
        </is>
      </c>
      <c r="L42" s="50">
        <f>IF(G42="","",IF(L41="",G42,L41+G42))</f>
        <v/>
      </c>
      <c r="M42" s="47" t="n"/>
    </row>
    <row r="43" ht="15.75" customHeight="1" s="99">
      <c r="A43" s="43" t="n">
        <v>46</v>
      </c>
      <c r="B43" s="53" t="n">
        <v>46224</v>
      </c>
      <c r="C43" s="55" t="inlineStr">
        <is>
          <t>Papa</t>
        </is>
      </c>
      <c r="D43" s="55" t="inlineStr">
        <is>
          <t>Concrete Supplier</t>
        </is>
      </c>
      <c r="E43" s="55" t="inlineStr">
        <is>
          <t>Building Materials</t>
        </is>
      </c>
      <c r="F43" s="55" t="inlineStr">
        <is>
          <t>Gitti/Concrete 41.48 MT + labour</t>
        </is>
      </c>
      <c r="G43" s="63" t="n">
        <v>5000</v>
      </c>
      <c r="H43" s="55" t="inlineStr">
        <is>
          <t>GPay</t>
        </is>
      </c>
      <c r="I43" s="55" t="n"/>
      <c r="J43" s="55" t="n"/>
      <c r="K43" s="55" t="inlineStr">
        <is>
          <t>Y</t>
        </is>
      </c>
      <c r="L43" s="58">
        <f>IF(G43="","",IF(L42="",G43,L42+G43))</f>
        <v/>
      </c>
      <c r="M43" s="55" t="n"/>
    </row>
    <row r="44" ht="15.75" customHeight="1" s="99">
      <c r="A44" s="41" t="n">
        <v>47</v>
      </c>
      <c r="B44" s="45" t="n">
        <v>46224</v>
      </c>
      <c r="C44" s="47" t="inlineStr">
        <is>
          <t>Self</t>
        </is>
      </c>
      <c r="D44" s="47" t="inlineStr">
        <is>
          <t>Concrete Supplier</t>
        </is>
      </c>
      <c r="E44" s="47" t="inlineStr">
        <is>
          <t>Building Materials</t>
        </is>
      </c>
      <c r="F44" s="47" t="inlineStr">
        <is>
          <t>Gitti/Concrete 41.48 MT + labour</t>
        </is>
      </c>
      <c r="G44" s="62" t="n">
        <v>90600</v>
      </c>
      <c r="H44" s="47" t="inlineStr">
        <is>
          <t>Bank</t>
        </is>
      </c>
      <c r="I44" s="47" t="n"/>
      <c r="J44" s="47" t="n"/>
      <c r="K44" s="47" t="inlineStr">
        <is>
          <t>Y</t>
        </is>
      </c>
      <c r="L44" s="50">
        <f>IF(G44="","",IF(L43="",G44,L43+G44))</f>
        <v/>
      </c>
      <c r="M44" s="47" t="n"/>
    </row>
    <row r="45" ht="15.75" customHeight="1" s="99">
      <c r="A45" s="43" t="n">
        <v>48</v>
      </c>
      <c r="B45" s="53" t="n">
        <v>46225</v>
      </c>
      <c r="C45" s="55" t="inlineStr">
        <is>
          <t>Self</t>
        </is>
      </c>
      <c r="D45" s="55" t="inlineStr">
        <is>
          <t>Concrete Supplier</t>
        </is>
      </c>
      <c r="E45" s="55" t="inlineStr">
        <is>
          <t>Building Materials</t>
        </is>
      </c>
      <c r="F45" s="55" t="inlineStr">
        <is>
          <t>Gitti/Concrete final settlement balance</t>
        </is>
      </c>
      <c r="G45" s="63" t="n">
        <v>4</v>
      </c>
      <c r="H45" s="55" t="inlineStr">
        <is>
          <t>Cash</t>
        </is>
      </c>
      <c r="I45" s="55" t="n"/>
      <c r="J45" s="55" t="n"/>
      <c r="K45" s="55" t="inlineStr">
        <is>
          <t>Y</t>
        </is>
      </c>
      <c r="L45" s="58">
        <f>IF(G45="","",IF(L44="",G45,L44+G45))</f>
        <v/>
      </c>
      <c r="M45" s="55" t="n"/>
    </row>
    <row r="46" ht="15.75" customHeight="1" s="99">
      <c r="A46" s="43" t="n">
        <v>50</v>
      </c>
      <c r="B46" s="53" t="n">
        <v>46225</v>
      </c>
      <c r="C46" s="55" t="inlineStr">
        <is>
          <t>Self</t>
        </is>
      </c>
      <c r="D46" s="55" t="inlineStr">
        <is>
          <t>Pappu Hardware</t>
        </is>
      </c>
      <c r="E46" s="55" t="inlineStr">
        <is>
          <t>Building Materials + Labour</t>
        </is>
      </c>
      <c r="F46" s="55" t="inlineStr">
        <is>
          <t>Cement 20 bags + labour</t>
        </is>
      </c>
      <c r="G46" s="63" t="n">
        <v>7000</v>
      </c>
      <c r="H46" s="55" t="inlineStr">
        <is>
          <t>Cash</t>
        </is>
      </c>
      <c r="I46" s="55" t="n"/>
      <c r="J46" s="55" t="n"/>
      <c r="K46" s="55" t="inlineStr">
        <is>
          <t>Y</t>
        </is>
      </c>
      <c r="L46" s="58">
        <f>IF(G46="","",IF(L45="",G46,L45+G46))</f>
        <v/>
      </c>
      <c r="M46" s="55" t="n"/>
    </row>
    <row r="47" ht="15.75" customHeight="1" s="99">
      <c r="A47" s="43" t="n">
        <v>52</v>
      </c>
      <c r="B47" s="53" t="n">
        <v>46236</v>
      </c>
      <c r="C47" s="55" t="inlineStr">
        <is>
          <t>Self</t>
        </is>
      </c>
      <c r="D47" s="55" t="inlineStr">
        <is>
          <t>Mukesh Yadav</t>
        </is>
      </c>
      <c r="E47" s="55" t="inlineStr">
        <is>
          <t>Land Development + Labour</t>
        </is>
      </c>
      <c r="F47" s="55" t="inlineStr">
        <is>
          <t>JCB + Mitti + Sand movement — final settlement</t>
        </is>
      </c>
      <c r="G47" s="63" t="n">
        <v>32950</v>
      </c>
      <c r="H47" s="55" t="inlineStr">
        <is>
          <t>Cash</t>
        </is>
      </c>
      <c r="I47" s="55" t="n"/>
      <c r="J47" s="55" t="n"/>
      <c r="K47" s="55" t="inlineStr">
        <is>
          <t>Y</t>
        </is>
      </c>
      <c r="L47" s="58">
        <f>IF(G47="","",IF(L46="",G47,L46+G47))</f>
        <v/>
      </c>
      <c r="M47" s="55" t="n"/>
    </row>
    <row r="48" ht="15.75" customHeight="1" s="99">
      <c r="A48" s="41" t="n">
        <v>53</v>
      </c>
      <c r="B48" s="45" t="n">
        <v>46241</v>
      </c>
      <c r="C48" s="47" t="inlineStr">
        <is>
          <t>Self</t>
        </is>
      </c>
      <c r="D48" s="47" t="inlineStr">
        <is>
          <t>Pappu Hardware</t>
        </is>
      </c>
      <c r="E48" s="47" t="inlineStr">
        <is>
          <t>Building Materials + Steel + Labour</t>
        </is>
      </c>
      <c r="F48" s="47" t="inlineStr">
        <is>
          <t>Cement + Tata Tiscon rods + wire + labour</t>
        </is>
      </c>
      <c r="G48" s="62" t="n">
        <v>47740</v>
      </c>
      <c r="H48" s="47" t="inlineStr">
        <is>
          <t>Cash</t>
        </is>
      </c>
      <c r="I48" s="47" t="n"/>
      <c r="J48" s="47" t="n"/>
      <c r="K48" s="47" t="inlineStr">
        <is>
          <t>Y</t>
        </is>
      </c>
      <c r="L48" s="50">
        <f>IF(G48="","",IF(L47="",G48,L47+G48))</f>
        <v/>
      </c>
      <c r="M48" s="47" t="n"/>
    </row>
    <row r="49" ht="15.75" customHeight="1" s="99">
      <c r="A49" s="41" t="n">
        <v>55</v>
      </c>
      <c r="B49" s="45" t="n">
        <v>46258</v>
      </c>
      <c r="C49" s="47" t="inlineStr">
        <is>
          <t>Self</t>
        </is>
      </c>
      <c r="D49" s="47" t="inlineStr">
        <is>
          <t>Pappu Hardware</t>
        </is>
      </c>
      <c r="E49" s="47" t="inlineStr">
        <is>
          <t>Building Materials + Labour</t>
        </is>
      </c>
      <c r="F49" s="47" t="inlineStr">
        <is>
          <t>Ultratech Super + Plain cement, labour</t>
        </is>
      </c>
      <c r="G49" s="62" t="n">
        <v>17100</v>
      </c>
      <c r="H49" s="47" t="inlineStr">
        <is>
          <t>Cash</t>
        </is>
      </c>
      <c r="I49" s="47" t="n"/>
      <c r="J49" s="47" t="n"/>
      <c r="K49" s="47" t="inlineStr">
        <is>
          <t>Y</t>
        </is>
      </c>
      <c r="L49" s="50">
        <f>IF(G49="","",IF(L48="",G49,L48+G49))</f>
        <v/>
      </c>
      <c r="M49" s="47" t="n"/>
    </row>
    <row r="50" ht="15.75" customHeight="1" s="99">
      <c r="A50" s="43" t="n">
        <v>56</v>
      </c>
      <c r="B50" s="53" t="n">
        <v>46270</v>
      </c>
      <c r="C50" s="55" t="inlineStr">
        <is>
          <t>Self</t>
        </is>
      </c>
      <c r="D50" s="55" t="inlineStr">
        <is>
          <t>Pappu Hardware</t>
        </is>
      </c>
      <c r="E50" s="55" t="inlineStr">
        <is>
          <t>Building Materials</t>
        </is>
      </c>
      <c r="F50" s="55" t="inlineStr">
        <is>
          <t>Ultratech Super+Plain cement, transport</t>
        </is>
      </c>
      <c r="G50" s="63" t="n">
        <v>12210</v>
      </c>
      <c r="H50" s="55" t="inlineStr">
        <is>
          <t>Cash</t>
        </is>
      </c>
      <c r="I50" s="55" t="n"/>
      <c r="J50" s="55" t="n"/>
      <c r="K50" s="55" t="inlineStr">
        <is>
          <t>Y</t>
        </is>
      </c>
      <c r="L50" s="58">
        <f>IF(G50="","",IF(L49="",G50,L49+G50))</f>
        <v/>
      </c>
      <c r="M50" s="55" t="n"/>
    </row>
    <row r="51" ht="15.75" customHeight="1" s="99">
      <c r="A51" s="41" t="n">
        <v>57</v>
      </c>
      <c r="B51" s="45" t="n">
        <v>46277</v>
      </c>
      <c r="C51" s="47" t="inlineStr">
        <is>
          <t>Self</t>
        </is>
      </c>
      <c r="D51" s="47" t="inlineStr">
        <is>
          <t>Econ Builder</t>
        </is>
      </c>
      <c r="E51" s="47" t="inlineStr">
        <is>
          <t>Professional Fees</t>
        </is>
      </c>
      <c r="F51" s="47" t="inlineStr">
        <is>
          <t>Construction work done — general site supervision &amp; labour (Sep)</t>
        </is>
      </c>
      <c r="G51" s="62" t="n">
        <v>100000</v>
      </c>
      <c r="H51" s="47" t="inlineStr">
        <is>
          <t>Cash</t>
        </is>
      </c>
      <c r="I51" s="47" t="n"/>
      <c r="J51" s="47" t="n"/>
      <c r="K51" s="47" t="inlineStr">
        <is>
          <t>Y</t>
        </is>
      </c>
      <c r="L51" s="50">
        <f>IF(G51="","",IF(L50="",G51,L50+G51))</f>
        <v/>
      </c>
      <c r="M51" s="47" t="n"/>
    </row>
    <row r="52" ht="15.75" customHeight="1" s="99">
      <c r="A52" s="43" t="n">
        <v>58</v>
      </c>
      <c r="B52" s="53" t="n">
        <v>46167</v>
      </c>
      <c r="C52" s="55" t="inlineStr">
        <is>
          <t>Papa</t>
        </is>
      </c>
      <c r="D52" s="55" t="inlineStr">
        <is>
          <t>Econ Builder</t>
        </is>
      </c>
      <c r="E52" s="55" t="inlineStr">
        <is>
          <t>Transport · Food · Misc</t>
        </is>
      </c>
      <c r="F52" s="55" t="inlineStr">
        <is>
          <t>Mixer machine — Equipment (Papa notebook)</t>
        </is>
      </c>
      <c r="G52" s="63" t="n">
        <v>10000</v>
      </c>
      <c r="H52" s="55" t="inlineStr">
        <is>
          <t>Cash</t>
        </is>
      </c>
      <c r="I52" s="55" t="n"/>
      <c r="J52" s="55" t="n"/>
      <c r="K52" s="55" t="inlineStr">
        <is>
          <t>Y</t>
        </is>
      </c>
      <c r="L52" s="58">
        <f>IF(G52="","",IF(L51="",G52,L51+G52))</f>
        <v/>
      </c>
      <c r="M52" s="55" t="n"/>
    </row>
    <row r="53" ht="15.75" customHeight="1" s="99">
      <c r="A53" s="41" t="n">
        <v>59</v>
      </c>
      <c r="B53" s="45" t="n">
        <v>46190</v>
      </c>
      <c r="C53" s="47" t="inlineStr">
        <is>
          <t>Papa</t>
        </is>
      </c>
      <c r="D53" s="47" t="inlineStr">
        <is>
          <t>Econ Builder</t>
        </is>
      </c>
      <c r="E53" s="47" t="inlineStr">
        <is>
          <t>Steel / Iron</t>
        </is>
      </c>
      <c r="F53" s="47" t="inlineStr">
        <is>
          <t>Chhotu Lohawala — Steel/Iron (Loha) (Papa notebook)</t>
        </is>
      </c>
      <c r="G53" s="62" t="n">
        <v>5000</v>
      </c>
      <c r="H53" s="47" t="inlineStr">
        <is>
          <t>Cash</t>
        </is>
      </c>
      <c r="I53" s="47" t="n"/>
      <c r="J53" s="47" t="n"/>
      <c r="K53" s="47" t="inlineStr">
        <is>
          <t>Y</t>
        </is>
      </c>
      <c r="L53" s="50">
        <f>IF(G53="","",IF(L52="",G53,L52+G53))</f>
        <v/>
      </c>
      <c r="M53" s="47" t="n"/>
    </row>
    <row r="54" ht="15.75" customHeight="1" s="99">
      <c r="A54" s="43" t="n">
        <v>60</v>
      </c>
      <c r="B54" s="53" t="n">
        <v>46193</v>
      </c>
      <c r="C54" s="55" t="inlineStr">
        <is>
          <t>Papa</t>
        </is>
      </c>
      <c r="D54" s="55" t="inlineStr">
        <is>
          <t>Econ Builder</t>
        </is>
      </c>
      <c r="E54" s="55" t="inlineStr">
        <is>
          <t>Building Materials</t>
        </is>
      </c>
      <c r="F54" s="55" t="inlineStr">
        <is>
          <t>Tank bala — Water Tank/Materials (Papa notebook)</t>
        </is>
      </c>
      <c r="G54" s="63" t="n">
        <v>10000</v>
      </c>
      <c r="H54" s="55" t="inlineStr">
        <is>
          <t>Cash</t>
        </is>
      </c>
      <c r="I54" s="55" t="n"/>
      <c r="J54" s="55" t="n"/>
      <c r="K54" s="55" t="inlineStr">
        <is>
          <t>Y</t>
        </is>
      </c>
      <c r="L54" s="58">
        <f>IF(G54="","",IF(L53="",G54,L53+G54))</f>
        <v/>
      </c>
      <c r="M54" s="55" t="n"/>
    </row>
    <row r="55" ht="15.75" customHeight="1" s="99">
      <c r="A55" s="41" t="n">
        <v>61</v>
      </c>
      <c r="B55" s="45" t="n">
        <v>46200</v>
      </c>
      <c r="C55" s="47" t="inlineStr">
        <is>
          <t>Papa</t>
        </is>
      </c>
      <c r="D55" s="47" t="inlineStr">
        <is>
          <t>Econ Builder</t>
        </is>
      </c>
      <c r="E55" s="47" t="inlineStr">
        <is>
          <t>Labour</t>
        </is>
      </c>
      <c r="F55" s="47" t="inlineStr">
        <is>
          <t>Labour — Labour (Papa notebook)</t>
        </is>
      </c>
      <c r="G55" s="62" t="n">
        <v>500</v>
      </c>
      <c r="H55" s="47" t="inlineStr">
        <is>
          <t>Cash</t>
        </is>
      </c>
      <c r="I55" s="47" t="n"/>
      <c r="J55" s="47" t="n"/>
      <c r="K55" s="47" t="inlineStr">
        <is>
          <t>Y</t>
        </is>
      </c>
      <c r="L55" s="50">
        <f>IF(G55="","",IF(L54="",G55,L54+G55))</f>
        <v/>
      </c>
      <c r="M55" s="47" t="n"/>
    </row>
    <row r="56" ht="15.75" customHeight="1" s="99">
      <c r="A56" s="43" t="n">
        <v>62</v>
      </c>
      <c r="B56" s="53" t="n">
        <v>46203</v>
      </c>
      <c r="C56" s="55" t="inlineStr">
        <is>
          <t>Papa</t>
        </is>
      </c>
      <c r="D56" s="55" t="inlineStr">
        <is>
          <t>Econ Builder</t>
        </is>
      </c>
      <c r="E56" s="55" t="inlineStr">
        <is>
          <t>Labour</t>
        </is>
      </c>
      <c r="F56" s="55" t="inlineStr">
        <is>
          <t>Santosh — Labour/Supervisor (Papa notebook)</t>
        </is>
      </c>
      <c r="G56" s="63" t="n">
        <v>100</v>
      </c>
      <c r="H56" s="55" t="inlineStr">
        <is>
          <t>Cash</t>
        </is>
      </c>
      <c r="I56" s="55" t="n"/>
      <c r="J56" s="55" t="n"/>
      <c r="K56" s="55" t="inlineStr">
        <is>
          <t>Y</t>
        </is>
      </c>
      <c r="L56" s="58">
        <f>IF(G56="","",IF(L55="",G56,L55+G56))</f>
        <v/>
      </c>
      <c r="M56" s="55" t="n"/>
    </row>
    <row r="57" ht="15.75" customHeight="1" s="99">
      <c r="A57" s="41" t="n">
        <v>63</v>
      </c>
      <c r="B57" s="45" t="n">
        <v>46220</v>
      </c>
      <c r="C57" s="47" t="inlineStr">
        <is>
          <t>Papa</t>
        </is>
      </c>
      <c r="D57" s="47" t="inlineStr">
        <is>
          <t>Econ Builder</t>
        </is>
      </c>
      <c r="E57" s="47" t="inlineStr">
        <is>
          <t>Steel / Iron</t>
        </is>
      </c>
      <c r="F57" s="47" t="inlineStr">
        <is>
          <t>Chhotu Lohawala — Steel/Iron (Loha) (Papa notebook)</t>
        </is>
      </c>
      <c r="G57" s="62" t="n">
        <v>15000</v>
      </c>
      <c r="H57" s="47" t="inlineStr">
        <is>
          <t>Cash</t>
        </is>
      </c>
      <c r="I57" s="47" t="n"/>
      <c r="J57" s="47" t="n"/>
      <c r="K57" s="47" t="inlineStr">
        <is>
          <t>Y</t>
        </is>
      </c>
      <c r="L57" s="50">
        <f>IF(G57="","",IF(L56="",G57,L56+G57))</f>
        <v/>
      </c>
      <c r="M57" s="47" t="n"/>
    </row>
    <row r="58" ht="15.75" customHeight="1" s="99">
      <c r="A58" s="43" t="n">
        <v>64</v>
      </c>
      <c r="B58" s="53" t="n">
        <v>46221</v>
      </c>
      <c r="C58" s="55" t="inlineStr">
        <is>
          <t>Papa</t>
        </is>
      </c>
      <c r="D58" s="55" t="inlineStr">
        <is>
          <t>Econ Builder</t>
        </is>
      </c>
      <c r="E58" s="55" t="inlineStr">
        <is>
          <t>Labour</t>
        </is>
      </c>
      <c r="F58" s="55" t="inlineStr">
        <is>
          <t>Santosh — Labour/Payment (Papa notebook)</t>
        </is>
      </c>
      <c r="G58" s="63" t="n">
        <v>18000</v>
      </c>
      <c r="H58" s="55" t="inlineStr">
        <is>
          <t>Cash</t>
        </is>
      </c>
      <c r="I58" s="55" t="n"/>
      <c r="J58" s="55" t="n"/>
      <c r="K58" s="55" t="inlineStr">
        <is>
          <t>Y</t>
        </is>
      </c>
      <c r="L58" s="58">
        <f>IF(G58="","",IF(L57="",G58,L57+G58))</f>
        <v/>
      </c>
      <c r="M58" s="55" t="n"/>
    </row>
    <row r="59" ht="15.75" customHeight="1" s="99">
      <c r="A59" s="41" t="n">
        <v>65</v>
      </c>
      <c r="B59" s="45" t="n">
        <v>46223</v>
      </c>
      <c r="C59" s="47" t="inlineStr">
        <is>
          <t>Papa</t>
        </is>
      </c>
      <c r="D59" s="47" t="inlineStr">
        <is>
          <t>Econ Builder</t>
        </is>
      </c>
      <c r="E59" s="47" t="inlineStr">
        <is>
          <t>Steel / Iron</t>
        </is>
      </c>
      <c r="F59" s="47" t="inlineStr">
        <is>
          <t>Santosh (Chhotu) — Steel/Iron (Chhotu) (Papa notebook)</t>
        </is>
      </c>
      <c r="G59" s="62" t="n">
        <v>5000</v>
      </c>
      <c r="H59" s="47" t="inlineStr">
        <is>
          <t>Cash</t>
        </is>
      </c>
      <c r="I59" s="47" t="n"/>
      <c r="J59" s="47" t="n"/>
      <c r="K59" s="47" t="inlineStr">
        <is>
          <t>Y</t>
        </is>
      </c>
      <c r="L59" s="50">
        <f>IF(G59="","",IF(L58="",G59,L58+G59))</f>
        <v/>
      </c>
      <c r="M59" s="47" t="n"/>
    </row>
    <row r="60" ht="15.75" customHeight="1" s="99">
      <c r="A60" s="43" t="n">
        <v>66</v>
      </c>
      <c r="B60" s="53" t="n">
        <v>46228</v>
      </c>
      <c r="C60" s="55" t="inlineStr">
        <is>
          <t>Papa</t>
        </is>
      </c>
      <c r="D60" s="55" t="inlineStr">
        <is>
          <t>Econ Builder</t>
        </is>
      </c>
      <c r="E60" s="55" t="inlineStr">
        <is>
          <t>Labour</t>
        </is>
      </c>
      <c r="F60" s="55" t="inlineStr">
        <is>
          <t>Santosh (Pintu) — Labour/Advance (Papa notebook)</t>
        </is>
      </c>
      <c r="G60" s="63" t="n">
        <v>200</v>
      </c>
      <c r="H60" s="55" t="inlineStr">
        <is>
          <t>Cash</t>
        </is>
      </c>
      <c r="I60" s="55" t="n"/>
      <c r="J60" s="55" t="n"/>
      <c r="K60" s="55" t="inlineStr">
        <is>
          <t>Y</t>
        </is>
      </c>
      <c r="L60" s="58">
        <f>IF(G60="","",IF(L59="",G60,L59+G60))</f>
        <v/>
      </c>
      <c r="M60" s="55" t="n"/>
    </row>
    <row r="61" ht="15.75" customHeight="1" s="99">
      <c r="A61" s="41" t="n">
        <v>67</v>
      </c>
      <c r="B61" s="45" t="n">
        <v>46228</v>
      </c>
      <c r="C61" s="47" t="inlineStr">
        <is>
          <t>Papa</t>
        </is>
      </c>
      <c r="D61" s="47" t="inlineStr">
        <is>
          <t>Econ Builder</t>
        </is>
      </c>
      <c r="E61" s="47" t="inlineStr">
        <is>
          <t>Labour</t>
        </is>
      </c>
      <c r="F61" s="47" t="inlineStr">
        <is>
          <t>Santosh (Pintu) — Labour/Advance (Papa notebook)</t>
        </is>
      </c>
      <c r="G61" s="62" t="n">
        <v>100</v>
      </c>
      <c r="H61" s="47" t="inlineStr">
        <is>
          <t>Cash</t>
        </is>
      </c>
      <c r="I61" s="47" t="n"/>
      <c r="J61" s="47" t="n"/>
      <c r="K61" s="47" t="inlineStr">
        <is>
          <t>Y</t>
        </is>
      </c>
      <c r="L61" s="50">
        <f>IF(G61="","",IF(L60="",G61,L60+G61))</f>
        <v/>
      </c>
      <c r="M61" s="47" t="n"/>
    </row>
    <row r="62" ht="15.75" customHeight="1" s="99">
      <c r="A62" s="43" t="n">
        <v>68</v>
      </c>
      <c r="B62" s="53" t="n">
        <v>46229</v>
      </c>
      <c r="C62" s="55" t="inlineStr">
        <is>
          <t>Papa</t>
        </is>
      </c>
      <c r="D62" s="55" t="inlineStr">
        <is>
          <t>Econ Builder</t>
        </is>
      </c>
      <c r="E62" s="55" t="inlineStr">
        <is>
          <t>Labour</t>
        </is>
      </c>
      <c r="F62" s="55" t="inlineStr">
        <is>
          <t>Santosh (Pintu) — Labour/Advance (Papa notebook)</t>
        </is>
      </c>
      <c r="G62" s="63" t="n">
        <v>200</v>
      </c>
      <c r="H62" s="55" t="inlineStr">
        <is>
          <t>Cash</t>
        </is>
      </c>
      <c r="I62" s="55" t="n"/>
      <c r="J62" s="55" t="n"/>
      <c r="K62" s="55" t="inlineStr">
        <is>
          <t>Y</t>
        </is>
      </c>
      <c r="L62" s="58">
        <f>IF(G62="","",IF(L61="",G62,L61+G62))</f>
        <v/>
      </c>
      <c r="M62" s="55" t="n"/>
    </row>
    <row r="63" ht="15.75" customHeight="1" s="99">
      <c r="A63" s="41" t="n">
        <v>69</v>
      </c>
      <c r="B63" s="45" t="n">
        <v>46229</v>
      </c>
      <c r="C63" s="47" t="inlineStr">
        <is>
          <t>Papa</t>
        </is>
      </c>
      <c r="D63" s="47" t="inlineStr">
        <is>
          <t>Econ Builder</t>
        </is>
      </c>
      <c r="E63" s="47" t="inlineStr">
        <is>
          <t>Labour</t>
        </is>
      </c>
      <c r="F63" s="47" t="inlineStr">
        <is>
          <t>Santosh (Baiju) — Labour/Baiju (Papa notebook)</t>
        </is>
      </c>
      <c r="G63" s="62" t="n">
        <v>500</v>
      </c>
      <c r="H63" s="47" t="inlineStr">
        <is>
          <t>Cash</t>
        </is>
      </c>
      <c r="I63" s="47" t="n"/>
      <c r="J63" s="47" t="n"/>
      <c r="K63" s="47" t="inlineStr">
        <is>
          <t>Y</t>
        </is>
      </c>
      <c r="L63" s="50">
        <f>IF(G63="","",IF(L62="",G63,L62+G63))</f>
        <v/>
      </c>
      <c r="M63" s="47" t="n"/>
    </row>
    <row r="64" ht="15.75" customHeight="1" s="99">
      <c r="A64" s="43" t="n">
        <v>70</v>
      </c>
      <c r="B64" s="53" t="n">
        <v>46231</v>
      </c>
      <c r="C64" s="55" t="inlineStr">
        <is>
          <t>Papa</t>
        </is>
      </c>
      <c r="D64" s="55" t="inlineStr">
        <is>
          <t>Econ Builder</t>
        </is>
      </c>
      <c r="E64" s="55" t="inlineStr">
        <is>
          <t>Labour</t>
        </is>
      </c>
      <c r="F64" s="55" t="inlineStr">
        <is>
          <t>Santosh (Baiju) — Labour/Baiju (Papa notebook)</t>
        </is>
      </c>
      <c r="G64" s="63" t="n">
        <v>30000</v>
      </c>
      <c r="H64" s="55" t="inlineStr">
        <is>
          <t>Cash</t>
        </is>
      </c>
      <c r="I64" s="55" t="n"/>
      <c r="J64" s="55" t="n"/>
      <c r="K64" s="55" t="inlineStr">
        <is>
          <t>Y</t>
        </is>
      </c>
      <c r="L64" s="58">
        <f>IF(G64="","",IF(L63="",G64,L63+G64))</f>
        <v/>
      </c>
      <c r="M64" s="55" t="n"/>
    </row>
    <row r="65" ht="15.75" customHeight="1" s="99">
      <c r="A65" s="41" t="n">
        <v>71</v>
      </c>
      <c r="B65" s="45" t="n">
        <v>46231</v>
      </c>
      <c r="C65" s="47" t="inlineStr">
        <is>
          <t>Papa</t>
        </is>
      </c>
      <c r="D65" s="47" t="inlineStr">
        <is>
          <t>Econ Builder</t>
        </is>
      </c>
      <c r="E65" s="47" t="inlineStr">
        <is>
          <t>Labour</t>
        </is>
      </c>
      <c r="F65" s="47" t="inlineStr">
        <is>
          <t>Santosh (Pintu) — Labour/Pintu (Papa notebook)</t>
        </is>
      </c>
      <c r="G65" s="62" t="n">
        <v>500</v>
      </c>
      <c r="H65" s="47" t="inlineStr">
        <is>
          <t>Cash</t>
        </is>
      </c>
      <c r="I65" s="47" t="n"/>
      <c r="J65" s="47" t="n"/>
      <c r="K65" s="47" t="inlineStr">
        <is>
          <t>Y</t>
        </is>
      </c>
      <c r="L65" s="50">
        <f>IF(G65="","",IF(L64="",G65,L64+G65))</f>
        <v/>
      </c>
      <c r="M65" s="47" t="n"/>
    </row>
    <row r="66" ht="15.75" customHeight="1" s="99">
      <c r="A66" s="43" t="n">
        <v>72</v>
      </c>
      <c r="B66" s="53" t="n">
        <v>46231</v>
      </c>
      <c r="C66" s="55" t="inlineStr">
        <is>
          <t>Papa</t>
        </is>
      </c>
      <c r="D66" s="55" t="inlineStr">
        <is>
          <t>Econ Builder</t>
        </is>
      </c>
      <c r="E66" s="55" t="inlineStr">
        <is>
          <t>Labour</t>
        </is>
      </c>
      <c r="F66" s="55" t="inlineStr">
        <is>
          <t>Santosh (Labor payment) — Labour Payment (Papa notebook)</t>
        </is>
      </c>
      <c r="G66" s="63" t="n">
        <v>6200</v>
      </c>
      <c r="H66" s="55" t="inlineStr">
        <is>
          <t>Cash</t>
        </is>
      </c>
      <c r="I66" s="55" t="n"/>
      <c r="J66" s="55" t="n"/>
      <c r="K66" s="55" t="inlineStr">
        <is>
          <t>Y</t>
        </is>
      </c>
      <c r="L66" s="58">
        <f>IF(G66="","",IF(L65="",G66,L65+G66))</f>
        <v/>
      </c>
      <c r="M66" s="55" t="n"/>
    </row>
    <row r="67" ht="15.75" customHeight="1" s="99">
      <c r="A67" s="41" t="n">
        <v>73</v>
      </c>
      <c r="B67" s="45" t="n">
        <v>46234</v>
      </c>
      <c r="C67" s="47" t="inlineStr">
        <is>
          <t>Papa</t>
        </is>
      </c>
      <c r="D67" s="47" t="inlineStr">
        <is>
          <t>Econ Builder</t>
        </is>
      </c>
      <c r="E67" s="47" t="inlineStr">
        <is>
          <t>Labour</t>
        </is>
      </c>
      <c r="F67" s="47" t="inlineStr">
        <is>
          <t>Santosh — Labour/Payment (Papa notebook)</t>
        </is>
      </c>
      <c r="G67" s="62" t="n">
        <v>4000</v>
      </c>
      <c r="H67" s="47" t="inlineStr">
        <is>
          <t>Cash</t>
        </is>
      </c>
      <c r="I67" s="47" t="n"/>
      <c r="J67" s="47" t="n"/>
      <c r="K67" s="47" t="inlineStr">
        <is>
          <t>Y</t>
        </is>
      </c>
      <c r="L67" s="50">
        <f>IF(G67="","",IF(L66="",G67,L66+G67))</f>
        <v/>
      </c>
      <c r="M67" s="47" t="n"/>
    </row>
    <row r="68" ht="15.75" customHeight="1" s="99">
      <c r="A68" s="43" t="n">
        <v>74</v>
      </c>
      <c r="B68" s="53" t="n">
        <v>46240</v>
      </c>
      <c r="C68" s="55" t="inlineStr">
        <is>
          <t>Papa</t>
        </is>
      </c>
      <c r="D68" s="55" t="inlineStr">
        <is>
          <t>Econ Builder</t>
        </is>
      </c>
      <c r="E68" s="55" t="inlineStr">
        <is>
          <t>Labour</t>
        </is>
      </c>
      <c r="F68" s="55" t="inlineStr">
        <is>
          <t>Santosh (Pintu) — Labour (Papa notebook)</t>
        </is>
      </c>
      <c r="G68" s="63" t="n">
        <v>500</v>
      </c>
      <c r="H68" s="55" t="inlineStr">
        <is>
          <t>Cash</t>
        </is>
      </c>
      <c r="I68" s="55" t="n"/>
      <c r="J68" s="55" t="n"/>
      <c r="K68" s="55" t="inlineStr">
        <is>
          <t>Y</t>
        </is>
      </c>
      <c r="L68" s="58">
        <f>IF(G68="","",IF(L67="",G68,L67+G68))</f>
        <v/>
      </c>
      <c r="M68" s="55" t="n"/>
    </row>
    <row r="69" ht="15.75" customHeight="1" s="99">
      <c r="A69" s="41" t="n">
        <v>75</v>
      </c>
      <c r="B69" s="45" t="n">
        <v>46240</v>
      </c>
      <c r="C69" s="47" t="inlineStr">
        <is>
          <t>Papa</t>
        </is>
      </c>
      <c r="D69" s="47" t="inlineStr">
        <is>
          <t>Econ Builder</t>
        </is>
      </c>
      <c r="E69" s="47" t="inlineStr">
        <is>
          <t>Labour</t>
        </is>
      </c>
      <c r="F69" s="47" t="inlineStr">
        <is>
          <t>Santosh (Pintu) — Labour (Papa notebook)</t>
        </is>
      </c>
      <c r="G69" s="62" t="n">
        <v>100</v>
      </c>
      <c r="H69" s="47" t="inlineStr">
        <is>
          <t>Cash</t>
        </is>
      </c>
      <c r="I69" s="47" t="n"/>
      <c r="J69" s="47" t="n"/>
      <c r="K69" s="47" t="inlineStr">
        <is>
          <t>Y</t>
        </is>
      </c>
      <c r="L69" s="50">
        <f>IF(G69="","",IF(L68="",G69,L68+G69))</f>
        <v/>
      </c>
      <c r="M69" s="47" t="n"/>
    </row>
    <row r="70" ht="15.75" customHeight="1" s="99">
      <c r="A70" s="43" t="n">
        <v>76</v>
      </c>
      <c r="B70" s="53" t="n">
        <v>46240</v>
      </c>
      <c r="C70" s="55" t="inlineStr">
        <is>
          <t>Papa</t>
        </is>
      </c>
      <c r="D70" s="55" t="inlineStr">
        <is>
          <t>Econ Builder</t>
        </is>
      </c>
      <c r="E70" s="55" t="inlineStr">
        <is>
          <t>Labour</t>
        </is>
      </c>
      <c r="F70" s="55" t="inlineStr">
        <is>
          <t>Santosh (Pintu) — Labour (Papa notebook)</t>
        </is>
      </c>
      <c r="G70" s="63" t="n">
        <v>500</v>
      </c>
      <c r="H70" s="55" t="inlineStr">
        <is>
          <t>Cash</t>
        </is>
      </c>
      <c r="I70" s="55" t="n"/>
      <c r="J70" s="55" t="n"/>
      <c r="K70" s="55" t="inlineStr">
        <is>
          <t>Y</t>
        </is>
      </c>
      <c r="L70" s="58">
        <f>IF(G70="","",IF(L69="",G70,L69+G70))</f>
        <v/>
      </c>
      <c r="M70" s="55" t="n"/>
    </row>
    <row r="71" ht="15.75" customHeight="1" s="99">
      <c r="A71" s="41" t="n">
        <v>77</v>
      </c>
      <c r="B71" s="45" t="n">
        <v>46241</v>
      </c>
      <c r="C71" s="47" t="inlineStr">
        <is>
          <t>Papa</t>
        </is>
      </c>
      <c r="D71" s="47" t="inlineStr">
        <is>
          <t>Econ Builder</t>
        </is>
      </c>
      <c r="E71" s="47" t="inlineStr">
        <is>
          <t>Steel / Iron</t>
        </is>
      </c>
      <c r="F71" s="47" t="inlineStr">
        <is>
          <t>Santosh (Chhotu) — Steel/Iron (Chhotu) (Papa notebook)</t>
        </is>
      </c>
      <c r="G71" s="62" t="n">
        <v>5000</v>
      </c>
      <c r="H71" s="47" t="inlineStr">
        <is>
          <t>Cash</t>
        </is>
      </c>
      <c r="I71" s="47" t="n"/>
      <c r="J71" s="47" t="n"/>
      <c r="K71" s="47" t="inlineStr">
        <is>
          <t>Y</t>
        </is>
      </c>
      <c r="L71" s="50">
        <f>IF(G71="","",IF(L70="",G71,L70+G71))</f>
        <v/>
      </c>
      <c r="M71" s="47" t="n"/>
    </row>
    <row r="72" ht="15.75" customHeight="1" s="99">
      <c r="A72" s="43" t="n">
        <v>78</v>
      </c>
      <c r="B72" s="53" t="n">
        <v>46241</v>
      </c>
      <c r="C72" s="55" t="inlineStr">
        <is>
          <t>Papa</t>
        </is>
      </c>
      <c r="D72" s="55" t="inlineStr">
        <is>
          <t>Econ Builder</t>
        </is>
      </c>
      <c r="E72" s="55" t="inlineStr">
        <is>
          <t>Transport · Food · Misc</t>
        </is>
      </c>
      <c r="F72" s="55" t="inlineStr">
        <is>
          <t>Petrol — Fuel/Site Expense (Papa notebook)</t>
        </is>
      </c>
      <c r="G72" s="63" t="n">
        <v>100</v>
      </c>
      <c r="H72" s="55" t="inlineStr">
        <is>
          <t>Cash</t>
        </is>
      </c>
      <c r="I72" s="55" t="n"/>
      <c r="J72" s="55" t="n"/>
      <c r="K72" s="55" t="inlineStr">
        <is>
          <t>Y</t>
        </is>
      </c>
      <c r="L72" s="58">
        <f>IF(G72="","",IF(L71="",G72,L71+G72))</f>
        <v/>
      </c>
      <c r="M72" s="55" t="n"/>
    </row>
    <row r="73" ht="15.75" customHeight="1" s="99">
      <c r="A73" s="41" t="n">
        <v>79</v>
      </c>
      <c r="B73" s="45" t="n">
        <v>46241</v>
      </c>
      <c r="C73" s="47" t="inlineStr">
        <is>
          <t>Papa</t>
        </is>
      </c>
      <c r="D73" s="47" t="inlineStr">
        <is>
          <t>Econ Builder</t>
        </is>
      </c>
      <c r="E73" s="47" t="inlineStr">
        <is>
          <t>Building Materials</t>
        </is>
      </c>
      <c r="F73" s="47" t="inlineStr">
        <is>
          <t>4mm ply — Formwork/Material (Papa notebook)</t>
        </is>
      </c>
      <c r="G73" s="62" t="n">
        <v>700</v>
      </c>
      <c r="H73" s="47" t="inlineStr">
        <is>
          <t>Cash</t>
        </is>
      </c>
      <c r="I73" s="47" t="n"/>
      <c r="J73" s="47" t="n"/>
      <c r="K73" s="47" t="inlineStr">
        <is>
          <t>Y</t>
        </is>
      </c>
      <c r="L73" s="50">
        <f>IF(G73="","",IF(L72="",G73,L72+G73))</f>
        <v/>
      </c>
      <c r="M73" s="47" t="n"/>
    </row>
    <row r="74" ht="15.75" customHeight="1" s="99">
      <c r="A74" s="43" t="n">
        <v>80</v>
      </c>
      <c r="B74" s="53" t="n">
        <v>46242</v>
      </c>
      <c r="C74" s="55" t="inlineStr">
        <is>
          <t>Papa</t>
        </is>
      </c>
      <c r="D74" s="55" t="inlineStr">
        <is>
          <t>Econ Builder</t>
        </is>
      </c>
      <c r="E74" s="55" t="inlineStr">
        <is>
          <t>Steel / Iron</t>
        </is>
      </c>
      <c r="F74" s="55" t="inlineStr">
        <is>
          <t>Grilling — Fabrication/Grills (Papa notebook)</t>
        </is>
      </c>
      <c r="G74" s="63" t="n">
        <v>1000</v>
      </c>
      <c r="H74" s="55" t="inlineStr">
        <is>
          <t>Cash</t>
        </is>
      </c>
      <c r="I74" s="55" t="n"/>
      <c r="J74" s="55" t="n"/>
      <c r="K74" s="55" t="inlineStr">
        <is>
          <t>Y</t>
        </is>
      </c>
      <c r="L74" s="58">
        <f>IF(G74="","",IF(L73="",G74,L73+G74))</f>
        <v/>
      </c>
      <c r="M74" s="55" t="n"/>
    </row>
    <row r="75" ht="15.75" customHeight="1" s="99">
      <c r="A75" s="41" t="n">
        <v>81</v>
      </c>
      <c r="B75" s="45" t="n">
        <v>46242</v>
      </c>
      <c r="C75" s="47" t="inlineStr">
        <is>
          <t>Papa</t>
        </is>
      </c>
      <c r="D75" s="47" t="inlineStr">
        <is>
          <t>Econ Builder</t>
        </is>
      </c>
      <c r="E75" s="47" t="inlineStr">
        <is>
          <t>Labour</t>
        </is>
      </c>
      <c r="F75" s="47" t="inlineStr">
        <is>
          <t>Labour — Labour (Papa notebook)</t>
        </is>
      </c>
      <c r="G75" s="62" t="n">
        <v>3400</v>
      </c>
      <c r="H75" s="47" t="inlineStr">
        <is>
          <t>Cash</t>
        </is>
      </c>
      <c r="I75" s="47" t="n"/>
      <c r="J75" s="47" t="n"/>
      <c r="K75" s="47" t="inlineStr">
        <is>
          <t>Y</t>
        </is>
      </c>
      <c r="L75" s="50">
        <f>IF(G75="","",IF(L74="",G75,L74+G75))</f>
        <v/>
      </c>
      <c r="M75" s="47" t="n"/>
    </row>
    <row r="76" ht="15.75" customHeight="1" s="99">
      <c r="A76" s="43" t="n">
        <v>82</v>
      </c>
      <c r="B76" s="53" t="n">
        <v>46243</v>
      </c>
      <c r="C76" s="55" t="inlineStr">
        <is>
          <t>Papa</t>
        </is>
      </c>
      <c r="D76" s="55" t="inlineStr">
        <is>
          <t>Econ Builder</t>
        </is>
      </c>
      <c r="E76" s="55" t="inlineStr">
        <is>
          <t>Labour</t>
        </is>
      </c>
      <c r="F76" s="55" t="inlineStr">
        <is>
          <t>Baiju — Contractor/Labour (Papa notebook)</t>
        </is>
      </c>
      <c r="G76" s="63" t="n">
        <v>15000</v>
      </c>
      <c r="H76" s="55" t="inlineStr">
        <is>
          <t>Cash</t>
        </is>
      </c>
      <c r="I76" s="55" t="n"/>
      <c r="J76" s="55" t="n"/>
      <c r="K76" s="55" t="inlineStr">
        <is>
          <t>Y</t>
        </is>
      </c>
      <c r="L76" s="58">
        <f>IF(G76="","",IF(L75="",G76,L75+G76))</f>
        <v/>
      </c>
      <c r="M76" s="55" t="n"/>
    </row>
    <row r="77" ht="15.75" customHeight="1" s="99">
      <c r="A77" s="41" t="n">
        <v>83</v>
      </c>
      <c r="B77" s="45" t="n">
        <v>46246</v>
      </c>
      <c r="C77" s="47" t="inlineStr">
        <is>
          <t>Papa</t>
        </is>
      </c>
      <c r="D77" s="47" t="inlineStr">
        <is>
          <t>Econ Builder</t>
        </is>
      </c>
      <c r="E77" s="47" t="inlineStr">
        <is>
          <t>Labour</t>
        </is>
      </c>
      <c r="F77" s="47" t="inlineStr">
        <is>
          <t>Baiju — Contractor/Labour (Papa notebook)</t>
        </is>
      </c>
      <c r="G77" s="62" t="n">
        <v>15000</v>
      </c>
      <c r="H77" s="47" t="inlineStr">
        <is>
          <t>Cash</t>
        </is>
      </c>
      <c r="I77" s="47" t="n"/>
      <c r="J77" s="47" t="n"/>
      <c r="K77" s="47" t="inlineStr">
        <is>
          <t>Y</t>
        </is>
      </c>
      <c r="L77" s="50">
        <f>IF(G77="","",IF(L76="",G77,L76+G77))</f>
        <v/>
      </c>
      <c r="M77" s="47" t="n"/>
    </row>
    <row r="78" ht="15.75" customHeight="1" s="99">
      <c r="A78" s="43" t="n">
        <v>84</v>
      </c>
      <c r="B78" s="53" t="n">
        <v>46248</v>
      </c>
      <c r="C78" s="55" t="inlineStr">
        <is>
          <t>Papa</t>
        </is>
      </c>
      <c r="D78" s="55" t="inlineStr">
        <is>
          <t>Econ Builder</t>
        </is>
      </c>
      <c r="E78" s="55" t="inlineStr">
        <is>
          <t>Labour</t>
        </is>
      </c>
      <c r="F78" s="55" t="inlineStr">
        <is>
          <t>Paswan — Labour (Papa notebook)</t>
        </is>
      </c>
      <c r="G78" s="63" t="n">
        <v>500</v>
      </c>
      <c r="H78" s="55" t="inlineStr">
        <is>
          <t>Cash</t>
        </is>
      </c>
      <c r="I78" s="55" t="n"/>
      <c r="J78" s="55" t="n"/>
      <c r="K78" s="55" t="inlineStr">
        <is>
          <t>Y</t>
        </is>
      </c>
      <c r="L78" s="58">
        <f>IF(G78="","",IF(L77="",G78,L77+G78))</f>
        <v/>
      </c>
      <c r="M78" s="55" t="n"/>
    </row>
    <row r="79" ht="15.75" customHeight="1" s="99">
      <c r="A79" s="41" t="n">
        <v>85</v>
      </c>
      <c r="B79" s="45" t="n">
        <v>46252</v>
      </c>
      <c r="C79" s="47" t="inlineStr">
        <is>
          <t>Papa</t>
        </is>
      </c>
      <c r="D79" s="47" t="inlineStr">
        <is>
          <t>Econ Builder</t>
        </is>
      </c>
      <c r="E79" s="47" t="inlineStr">
        <is>
          <t>Labour</t>
        </is>
      </c>
      <c r="F79" s="47" t="inlineStr">
        <is>
          <t>Mukesh Kr — Site Staff/Material (Papa notebook)</t>
        </is>
      </c>
      <c r="G79" s="62" t="n">
        <v>3300</v>
      </c>
      <c r="H79" s="47" t="inlineStr">
        <is>
          <t>Cash</t>
        </is>
      </c>
      <c r="I79" s="47" t="n"/>
      <c r="J79" s="47" t="n"/>
      <c r="K79" s="47" t="inlineStr">
        <is>
          <t>Y</t>
        </is>
      </c>
      <c r="L79" s="50">
        <f>IF(G79="","",IF(L78="",G79,L78+G79))</f>
        <v/>
      </c>
      <c r="M79" s="47" t="n"/>
    </row>
    <row r="80" ht="15.75" customHeight="1" s="99">
      <c r="A80" s="43" t="n">
        <v>86</v>
      </c>
      <c r="B80" s="53" t="n">
        <v>46256</v>
      </c>
      <c r="C80" s="55" t="inlineStr">
        <is>
          <t>Papa</t>
        </is>
      </c>
      <c r="D80" s="55" t="inlineStr">
        <is>
          <t>Econ Builder</t>
        </is>
      </c>
      <c r="E80" s="55" t="inlineStr">
        <is>
          <t>Labour</t>
        </is>
      </c>
      <c r="F80" s="55" t="inlineStr">
        <is>
          <t>Paswan — Labour (Papa notebook)</t>
        </is>
      </c>
      <c r="G80" s="63" t="n">
        <v>1000</v>
      </c>
      <c r="H80" s="55" t="inlineStr">
        <is>
          <t>Cash</t>
        </is>
      </c>
      <c r="I80" s="55" t="n"/>
      <c r="J80" s="55" t="n"/>
      <c r="K80" s="55" t="inlineStr">
        <is>
          <t>Y</t>
        </is>
      </c>
      <c r="L80" s="58">
        <f>IF(G80="","",IF(L79="",G80,L79+G80))</f>
        <v/>
      </c>
      <c r="M80" s="55" t="n"/>
    </row>
    <row r="81" ht="15.75" customHeight="1" s="99">
      <c r="A81" s="41" t="n">
        <v>87</v>
      </c>
      <c r="B81" s="45" t="n">
        <v>46256</v>
      </c>
      <c r="C81" s="47" t="inlineStr">
        <is>
          <t>Papa</t>
        </is>
      </c>
      <c r="D81" s="47" t="inlineStr">
        <is>
          <t>Econ Builder</t>
        </is>
      </c>
      <c r="E81" s="47" t="inlineStr">
        <is>
          <t>Steel / Iron</t>
        </is>
      </c>
      <c r="F81" s="47" t="inlineStr">
        <is>
          <t>Lohawala — Steel/Iron (Loha) (Papa notebook)</t>
        </is>
      </c>
      <c r="G81" s="62" t="n">
        <v>1000</v>
      </c>
      <c r="H81" s="47" t="inlineStr">
        <is>
          <t>Cash</t>
        </is>
      </c>
      <c r="I81" s="47" t="n"/>
      <c r="J81" s="47" t="n"/>
      <c r="K81" s="47" t="inlineStr">
        <is>
          <t>Y</t>
        </is>
      </c>
      <c r="L81" s="50">
        <f>IF(G81="","",IF(L80="",G81,L80+G81))</f>
        <v/>
      </c>
      <c r="M81" s="47" t="n"/>
    </row>
    <row r="82" ht="15.75" customHeight="1" s="99">
      <c r="A82" s="43" t="n">
        <v>88</v>
      </c>
      <c r="B82" s="53" t="n">
        <v>46257</v>
      </c>
      <c r="C82" s="55" t="inlineStr">
        <is>
          <t>Papa</t>
        </is>
      </c>
      <c r="D82" s="55" t="inlineStr">
        <is>
          <t>Econ Builder</t>
        </is>
      </c>
      <c r="E82" s="55" t="inlineStr">
        <is>
          <t>Labour</t>
        </is>
      </c>
      <c r="F82" s="55" t="inlineStr">
        <is>
          <t>Labour - 4 — Labour (4 workers) (Papa notebook)</t>
        </is>
      </c>
      <c r="G82" s="63" t="n">
        <v>1600</v>
      </c>
      <c r="H82" s="55" t="inlineStr">
        <is>
          <t>Cash</t>
        </is>
      </c>
      <c r="I82" s="55" t="n"/>
      <c r="J82" s="55" t="n"/>
      <c r="K82" s="55" t="inlineStr">
        <is>
          <t>Y</t>
        </is>
      </c>
      <c r="L82" s="58">
        <f>IF(G82="","",IF(L81="",G82,L81+G82))</f>
        <v/>
      </c>
      <c r="M82" s="55" t="n"/>
    </row>
    <row r="83" ht="15.75" customHeight="1" s="99">
      <c r="A83" s="41" t="n">
        <v>89</v>
      </c>
      <c r="B83" s="45" t="n">
        <v>46259</v>
      </c>
      <c r="C83" s="47" t="inlineStr">
        <is>
          <t>Papa</t>
        </is>
      </c>
      <c r="D83" s="47" t="inlineStr">
        <is>
          <t>Econ Builder</t>
        </is>
      </c>
      <c r="E83" s="47" t="inlineStr">
        <is>
          <t>Steel / Iron</t>
        </is>
      </c>
      <c r="F83" s="47" t="inlineStr">
        <is>
          <t>Chhotu — Steel/Iron (Loha) (Papa notebook)</t>
        </is>
      </c>
      <c r="G83" s="62" t="n">
        <v>8000</v>
      </c>
      <c r="H83" s="47" t="inlineStr">
        <is>
          <t>Cash</t>
        </is>
      </c>
      <c r="I83" s="47" t="n"/>
      <c r="J83" s="47" t="n"/>
      <c r="K83" s="47" t="inlineStr">
        <is>
          <t>Y</t>
        </is>
      </c>
      <c r="L83" s="50">
        <f>IF(G83="","",IF(L82="",G83,L82+G83))</f>
        <v/>
      </c>
      <c r="M83" s="47" t="n"/>
    </row>
    <row r="84" ht="15.75" customHeight="1" s="99">
      <c r="A84" s="43" t="n">
        <v>90</v>
      </c>
      <c r="B84" s="53" t="n">
        <v>46264</v>
      </c>
      <c r="C84" s="55" t="inlineStr">
        <is>
          <t>Papa</t>
        </is>
      </c>
      <c r="D84" s="55" t="inlineStr">
        <is>
          <t>Econ Builder</t>
        </is>
      </c>
      <c r="E84" s="55" t="inlineStr">
        <is>
          <t>Labour</t>
        </is>
      </c>
      <c r="F84" s="55" t="inlineStr">
        <is>
          <t>Santosh — Labour/Payment (Papa notebook)</t>
        </is>
      </c>
      <c r="G84" s="63" t="n">
        <v>2000</v>
      </c>
      <c r="H84" s="55" t="inlineStr">
        <is>
          <t>Cash</t>
        </is>
      </c>
      <c r="I84" s="55" t="n"/>
      <c r="J84" s="55" t="n"/>
      <c r="K84" s="55" t="inlineStr">
        <is>
          <t>Y</t>
        </is>
      </c>
      <c r="L84" s="58">
        <f>IF(G84="","",IF(L83="",G84,L83+G84))</f>
        <v/>
      </c>
      <c r="M84" s="55" t="n"/>
    </row>
    <row r="85" ht="15.75" customHeight="1" s="99">
      <c r="A85" s="41" t="n">
        <v>91</v>
      </c>
      <c r="B85" s="45" t="n">
        <v>46264</v>
      </c>
      <c r="C85" s="47" t="inlineStr">
        <is>
          <t>Papa</t>
        </is>
      </c>
      <c r="D85" s="47" t="inlineStr">
        <is>
          <t>Econ Builder</t>
        </is>
      </c>
      <c r="E85" s="47" t="inlineStr">
        <is>
          <t>Labour</t>
        </is>
      </c>
      <c r="F85" s="47" t="inlineStr">
        <is>
          <t>Santosh — Labour/Payment (Papa notebook)</t>
        </is>
      </c>
      <c r="G85" s="62" t="n">
        <v>100</v>
      </c>
      <c r="H85" s="47" t="inlineStr">
        <is>
          <t>Cash</t>
        </is>
      </c>
      <c r="I85" s="47" t="n"/>
      <c r="J85" s="47" t="n"/>
      <c r="K85" s="47" t="inlineStr">
        <is>
          <t>Y</t>
        </is>
      </c>
      <c r="L85" s="50">
        <f>IF(G85="","",IF(L84="",G85,L84+G85))</f>
        <v/>
      </c>
      <c r="M85" s="47" t="n"/>
    </row>
    <row r="86" ht="15.75" customHeight="1" s="99">
      <c r="A86" s="43" t="n">
        <v>92</v>
      </c>
      <c r="B86" s="53" t="n">
        <v>46266</v>
      </c>
      <c r="C86" s="55" t="inlineStr">
        <is>
          <t>Papa</t>
        </is>
      </c>
      <c r="D86" s="55" t="inlineStr">
        <is>
          <t>Econ Builder</t>
        </is>
      </c>
      <c r="E86" s="55" t="inlineStr">
        <is>
          <t>Transport · Food · Misc</t>
        </is>
      </c>
      <c r="F86" s="55" t="inlineStr">
        <is>
          <t>Mama — Expense (Papa notebook)</t>
        </is>
      </c>
      <c r="G86" s="63" t="n">
        <v>500</v>
      </c>
      <c r="H86" s="55" t="inlineStr">
        <is>
          <t>Cash</t>
        </is>
      </c>
      <c r="I86" s="55" t="n"/>
      <c r="J86" s="55" t="n"/>
      <c r="K86" s="55" t="inlineStr">
        <is>
          <t>Y</t>
        </is>
      </c>
      <c r="L86" s="58">
        <f>IF(G86="","",IF(L85="",G86,L85+G86))</f>
        <v/>
      </c>
      <c r="M86" s="55" t="n"/>
    </row>
    <row r="87" ht="15.75" customHeight="1" s="99">
      <c r="A87" s="41" t="n">
        <v>93</v>
      </c>
      <c r="B87" s="45" t="n">
        <v>46267</v>
      </c>
      <c r="C87" s="47" t="inlineStr">
        <is>
          <t>Papa</t>
        </is>
      </c>
      <c r="D87" s="47" t="inlineStr">
        <is>
          <t>Econ Builder</t>
        </is>
      </c>
      <c r="E87" s="47" t="inlineStr">
        <is>
          <t>Labour</t>
        </is>
      </c>
      <c r="F87" s="47" t="inlineStr">
        <is>
          <t>Santosh — Labour (Papa notebook)</t>
        </is>
      </c>
      <c r="G87" s="62" t="n">
        <v>1000</v>
      </c>
      <c r="H87" s="47" t="inlineStr">
        <is>
          <t>Cash</t>
        </is>
      </c>
      <c r="I87" s="47" t="n"/>
      <c r="J87" s="47" t="n"/>
      <c r="K87" s="47" t="inlineStr">
        <is>
          <t>Y</t>
        </is>
      </c>
      <c r="L87" s="50">
        <f>IF(G87="","",IF(L86="",G87,L86+G87))</f>
        <v/>
      </c>
      <c r="M87" s="47" t="n"/>
    </row>
    <row r="88" ht="15.75" customHeight="1" s="99">
      <c r="A88" s="43" t="n">
        <v>94</v>
      </c>
      <c r="B88" s="53" t="n">
        <v>46267</v>
      </c>
      <c r="C88" s="55" t="inlineStr">
        <is>
          <t>Papa</t>
        </is>
      </c>
      <c r="D88" s="55" t="inlineStr">
        <is>
          <t>Econ Builder</t>
        </is>
      </c>
      <c r="E88" s="55" t="inlineStr">
        <is>
          <t>Labour</t>
        </is>
      </c>
      <c r="F88" s="55" t="inlineStr">
        <is>
          <t>Labour (brick) — Material Unloading/Masonry (Papa notebook)</t>
        </is>
      </c>
      <c r="G88" s="63" t="n">
        <v>1600</v>
      </c>
      <c r="H88" s="55" t="inlineStr">
        <is>
          <t>Cash</t>
        </is>
      </c>
      <c r="I88" s="55" t="n"/>
      <c r="J88" s="55" t="n"/>
      <c r="K88" s="55" t="inlineStr">
        <is>
          <t>Y</t>
        </is>
      </c>
      <c r="L88" s="58">
        <f>IF(G88="","",IF(L87="",G88,L87+G88))</f>
        <v/>
      </c>
      <c r="M88" s="55" t="n"/>
    </row>
    <row r="89" ht="15.75" customHeight="1" s="99">
      <c r="A89" s="41" t="n">
        <v>95</v>
      </c>
      <c r="B89" s="45" t="n">
        <v>46268</v>
      </c>
      <c r="C89" s="47" t="inlineStr">
        <is>
          <t>Papa</t>
        </is>
      </c>
      <c r="D89" s="47" t="inlineStr">
        <is>
          <t>Econ Builder</t>
        </is>
      </c>
      <c r="E89" s="47" t="inlineStr">
        <is>
          <t>Labour</t>
        </is>
      </c>
      <c r="F89" s="47" t="inlineStr">
        <is>
          <t>Santosh — Labour (Papa notebook)</t>
        </is>
      </c>
      <c r="G89" s="62" t="n">
        <v>2000</v>
      </c>
      <c r="H89" s="47" t="inlineStr">
        <is>
          <t>Cash</t>
        </is>
      </c>
      <c r="I89" s="47" t="n"/>
      <c r="J89" s="47" t="n"/>
      <c r="K89" s="47" t="inlineStr">
        <is>
          <t>Y</t>
        </is>
      </c>
      <c r="L89" s="50">
        <f>IF(G89="","",IF(L88="",G89,L88+G89))</f>
        <v/>
      </c>
      <c r="M89" s="47" t="n"/>
    </row>
    <row r="90" ht="15.75" customHeight="1" s="99">
      <c r="A90" s="43" t="n">
        <v>96</v>
      </c>
      <c r="B90" s="53" t="n">
        <v>46269</v>
      </c>
      <c r="C90" s="55" t="inlineStr">
        <is>
          <t>Papa</t>
        </is>
      </c>
      <c r="D90" s="55" t="inlineStr">
        <is>
          <t>Econ Builder</t>
        </is>
      </c>
      <c r="E90" s="55" t="inlineStr">
        <is>
          <t>Labour</t>
        </is>
      </c>
      <c r="F90" s="55" t="inlineStr">
        <is>
          <t>Santosh — Labour (Papa notebook)</t>
        </is>
      </c>
      <c r="G90" s="63" t="n">
        <v>1100</v>
      </c>
      <c r="H90" s="55" t="inlineStr">
        <is>
          <t>Cash</t>
        </is>
      </c>
      <c r="I90" s="55" t="n"/>
      <c r="J90" s="55" t="n"/>
      <c r="K90" s="55" t="inlineStr">
        <is>
          <t>Y</t>
        </is>
      </c>
      <c r="L90" s="58">
        <f>IF(G90="","",IF(L89="",G90,L89+G90))</f>
        <v/>
      </c>
      <c r="M90" s="55" t="n"/>
    </row>
    <row r="91" ht="15.75" customHeight="1" s="99">
      <c r="A91" s="41" t="n">
        <v>97</v>
      </c>
      <c r="B91" s="45" t="n">
        <v>46269</v>
      </c>
      <c r="C91" s="47" t="inlineStr">
        <is>
          <t>Papa</t>
        </is>
      </c>
      <c r="D91" s="47" t="inlineStr">
        <is>
          <t>Econ Builder</t>
        </is>
      </c>
      <c r="E91" s="47" t="inlineStr">
        <is>
          <t>Labour</t>
        </is>
      </c>
      <c r="F91" s="47" t="inlineStr">
        <is>
          <t>Labour — Labour (Papa notebook)</t>
        </is>
      </c>
      <c r="G91" s="62" t="n">
        <v>1600</v>
      </c>
      <c r="H91" s="47" t="inlineStr">
        <is>
          <t>Cash</t>
        </is>
      </c>
      <c r="I91" s="47" t="n"/>
      <c r="J91" s="47" t="n"/>
      <c r="K91" s="47" t="inlineStr">
        <is>
          <t>Y</t>
        </is>
      </c>
      <c r="L91" s="50">
        <f>IF(G91="","",IF(L90="",G91,L90+G91))</f>
        <v/>
      </c>
      <c r="M91" s="47" t="n"/>
    </row>
    <row r="92" ht="15.75" customHeight="1" s="99">
      <c r="A92" s="43" t="n">
        <v>98</v>
      </c>
      <c r="B92" s="53" t="n">
        <v>46274</v>
      </c>
      <c r="C92" s="55" t="inlineStr">
        <is>
          <t>Papa</t>
        </is>
      </c>
      <c r="D92" s="55" t="inlineStr">
        <is>
          <t>Econ Builder</t>
        </is>
      </c>
      <c r="E92" s="55" t="inlineStr">
        <is>
          <t>Labour</t>
        </is>
      </c>
      <c r="F92" s="55" t="inlineStr">
        <is>
          <t>Santosh — Labour (Papa notebook)</t>
        </is>
      </c>
      <c r="G92" s="63" t="n">
        <v>2000</v>
      </c>
      <c r="H92" s="55" t="inlineStr">
        <is>
          <t>Cash</t>
        </is>
      </c>
      <c r="I92" s="55" t="n"/>
      <c r="J92" s="55" t="n"/>
      <c r="K92" s="55" t="inlineStr">
        <is>
          <t>Y</t>
        </is>
      </c>
      <c r="L92" s="58">
        <f>IF(G92="","",IF(L91="",G92,L91+G92))</f>
        <v/>
      </c>
      <c r="M92" s="55" t="n"/>
    </row>
    <row r="93" ht="15.75" customHeight="1" s="99">
      <c r="A93" s="41" t="n">
        <v>99</v>
      </c>
      <c r="B93" s="45" t="n">
        <v>46274</v>
      </c>
      <c r="C93" s="47" t="inlineStr">
        <is>
          <t>Papa</t>
        </is>
      </c>
      <c r="D93" s="47" t="inlineStr">
        <is>
          <t>Econ Builder</t>
        </is>
      </c>
      <c r="E93" s="47" t="inlineStr">
        <is>
          <t>Labour</t>
        </is>
      </c>
      <c r="F93" s="47" t="inlineStr">
        <is>
          <t>Labour (brick) — Material Unloading/Masonry (Papa notebook)</t>
        </is>
      </c>
      <c r="G93" s="62" t="n">
        <v>700</v>
      </c>
      <c r="H93" s="47" t="inlineStr">
        <is>
          <t>Cash</t>
        </is>
      </c>
      <c r="I93" s="47" t="n"/>
      <c r="J93" s="47" t="n"/>
      <c r="K93" s="47" t="inlineStr">
        <is>
          <t>Y</t>
        </is>
      </c>
      <c r="L93" s="50">
        <f>IF(G93="","",IF(L92="",G93,L92+G93))</f>
        <v/>
      </c>
      <c r="M93" s="47" t="n"/>
    </row>
    <row r="94" ht="15.75" customHeight="1" s="99">
      <c r="A94" s="43" t="n">
        <v>100</v>
      </c>
      <c r="B94" s="53" t="n">
        <v>46274</v>
      </c>
      <c r="C94" s="55" t="inlineStr">
        <is>
          <t>Papa</t>
        </is>
      </c>
      <c r="D94" s="55" t="inlineStr">
        <is>
          <t>Econ Builder</t>
        </is>
      </c>
      <c r="E94" s="55" t="inlineStr">
        <is>
          <t>Professional Fees</t>
        </is>
      </c>
      <c r="F94" s="55" t="inlineStr">
        <is>
          <t>Shuttering — Formwork/Shuttering (Papa notebook)</t>
        </is>
      </c>
      <c r="G94" s="63" t="n">
        <v>30000</v>
      </c>
      <c r="H94" s="55" t="inlineStr">
        <is>
          <t>Cash</t>
        </is>
      </c>
      <c r="I94" s="55" t="n"/>
      <c r="J94" s="55" t="n"/>
      <c r="K94" s="55" t="inlineStr">
        <is>
          <t>Y</t>
        </is>
      </c>
      <c r="L94" s="58">
        <f>IF(G94="","",IF(L93="",G94,L93+G94))</f>
        <v/>
      </c>
      <c r="M94" s="55" t="n"/>
    </row>
    <row r="95" ht="15.75" customHeight="1" s="99">
      <c r="A95" s="41" t="n">
        <v>101</v>
      </c>
      <c r="B95" s="45" t="n">
        <v>46275</v>
      </c>
      <c r="C95" s="47" t="inlineStr">
        <is>
          <t>Papa</t>
        </is>
      </c>
      <c r="D95" s="47" t="inlineStr">
        <is>
          <t>Econ Builder</t>
        </is>
      </c>
      <c r="E95" s="47" t="inlineStr">
        <is>
          <t>Professional Fees</t>
        </is>
      </c>
      <c r="F95" s="47" t="inlineStr">
        <is>
          <t>Shuttering — Formwork/Shuttering (Papa notebook)</t>
        </is>
      </c>
      <c r="G95" s="62" t="n">
        <v>20000</v>
      </c>
      <c r="H95" s="47" t="inlineStr">
        <is>
          <t>Cash</t>
        </is>
      </c>
      <c r="I95" s="47" t="n"/>
      <c r="J95" s="47" t="n"/>
      <c r="K95" s="47" t="inlineStr">
        <is>
          <t>Y</t>
        </is>
      </c>
      <c r="L95" s="50">
        <f>IF(G95="","",IF(L94="",G95,L94+G95))</f>
        <v/>
      </c>
      <c r="M95" s="47" t="n"/>
    </row>
    <row r="96" ht="15.75" customHeight="1" s="99">
      <c r="A96" s="43" t="n">
        <v>102</v>
      </c>
      <c r="B96" s="53" t="n">
        <v>46278</v>
      </c>
      <c r="C96" s="55" t="inlineStr">
        <is>
          <t>Papa</t>
        </is>
      </c>
      <c r="D96" s="55" t="inlineStr">
        <is>
          <t>Econ Builder</t>
        </is>
      </c>
      <c r="E96" s="55" t="inlineStr">
        <is>
          <t>Transport · Food · Misc</t>
        </is>
      </c>
      <c r="F96" s="55" t="inlineStr">
        <is>
          <t>Hammer bala — Tools/Labour (Papa notebook)</t>
        </is>
      </c>
      <c r="G96" s="63" t="n">
        <v>1400</v>
      </c>
      <c r="H96" s="55" t="inlineStr">
        <is>
          <t>Cash</t>
        </is>
      </c>
      <c r="I96" s="55" t="n"/>
      <c r="J96" s="55" t="n"/>
      <c r="K96" s="55" t="inlineStr">
        <is>
          <t>Y</t>
        </is>
      </c>
      <c r="L96" s="58">
        <f>IF(G96="","",IF(L95="",G96,L95+G96))</f>
        <v/>
      </c>
      <c r="M96" s="55" t="n"/>
    </row>
    <row r="97" ht="15.75" customHeight="1" s="99">
      <c r="A97" s="41" t="n">
        <v>103</v>
      </c>
      <c r="B97" s="45" t="n">
        <v>46281</v>
      </c>
      <c r="C97" s="47" t="inlineStr">
        <is>
          <t>Papa</t>
        </is>
      </c>
      <c r="D97" s="47" t="inlineStr">
        <is>
          <t>Econ Builder</t>
        </is>
      </c>
      <c r="E97" s="47" t="inlineStr">
        <is>
          <t>Professional Fees</t>
        </is>
      </c>
      <c r="F97" s="47" t="inlineStr">
        <is>
          <t>Shuttering — Formwork/Shuttering (Papa notebook)</t>
        </is>
      </c>
      <c r="G97" s="62" t="n">
        <v>5000</v>
      </c>
      <c r="H97" s="47" t="inlineStr">
        <is>
          <t>Cash</t>
        </is>
      </c>
      <c r="I97" s="47" t="n"/>
      <c r="J97" s="47" t="n"/>
      <c r="K97" s="47" t="inlineStr">
        <is>
          <t>Y</t>
        </is>
      </c>
      <c r="L97" s="50">
        <f>IF(G97="","",IF(L96="",G97,L96+G97))</f>
        <v/>
      </c>
      <c r="M97" s="47" t="n"/>
    </row>
    <row r="98" ht="15.75" customHeight="1" s="99">
      <c r="A98" s="43" t="n">
        <v>104</v>
      </c>
      <c r="B98" s="53" t="n">
        <v>46281</v>
      </c>
      <c r="C98" s="55" t="inlineStr">
        <is>
          <t>Papa</t>
        </is>
      </c>
      <c r="D98" s="55" t="inlineStr">
        <is>
          <t>Econ Builder</t>
        </is>
      </c>
      <c r="E98" s="55" t="inlineStr">
        <is>
          <t>Professional Fees</t>
        </is>
      </c>
      <c r="F98" s="55" t="inlineStr">
        <is>
          <t>Shuttering — Formwork/Shuttering (Papa notebook)</t>
        </is>
      </c>
      <c r="G98" s="63" t="n">
        <v>15000</v>
      </c>
      <c r="H98" s="55" t="inlineStr">
        <is>
          <t>Cash</t>
        </is>
      </c>
      <c r="I98" s="55" t="n"/>
      <c r="J98" s="55" t="n"/>
      <c r="K98" s="55" t="inlineStr">
        <is>
          <t>Y</t>
        </is>
      </c>
      <c r="L98" s="58">
        <f>IF(G98="","",IF(L97="",G98,L97+G98))</f>
        <v/>
      </c>
      <c r="M98" s="55" t="n"/>
    </row>
    <row r="99" ht="15.75" customHeight="1" s="99">
      <c r="A99" s="41" t="n">
        <v>105</v>
      </c>
      <c r="B99" s="45" t="n">
        <v>46287</v>
      </c>
      <c r="C99" s="47" t="inlineStr">
        <is>
          <t>Self</t>
        </is>
      </c>
      <c r="D99" s="47" t="inlineStr">
        <is>
          <t>Sand Truck Wala</t>
        </is>
      </c>
      <c r="E99" s="47" t="inlineStr">
        <is>
          <t>Building Materials</t>
        </is>
      </c>
      <c r="F99" s="47" t="inlineStr">
        <is>
          <t>Sand Truck — 944 CFT</t>
        </is>
      </c>
      <c r="G99" s="62" t="n">
        <v>57200</v>
      </c>
      <c r="H99" s="47" t="inlineStr">
        <is>
          <t>Cash</t>
        </is>
      </c>
      <c r="I99" s="47" t="n"/>
      <c r="J99" s="47" t="n"/>
      <c r="K99" s="47" t="inlineStr">
        <is>
          <t>Y</t>
        </is>
      </c>
      <c r="L99" s="50">
        <f>IF(G99="","",IF(L98="",G99,L98+G99))</f>
        <v/>
      </c>
      <c r="M99" s="47" t="n"/>
    </row>
    <row r="100" ht="15.75" customHeight="1" s="99">
      <c r="A100" s="43" t="n">
        <v>106</v>
      </c>
      <c r="B100" s="53" t="n">
        <v>46293</v>
      </c>
      <c r="C100" s="55" t="inlineStr">
        <is>
          <t>Papa</t>
        </is>
      </c>
      <c r="D100" s="55" t="inlineStr">
        <is>
          <t>Econ Builder</t>
        </is>
      </c>
      <c r="E100" s="55" t="inlineStr">
        <is>
          <t>Professional Fees</t>
        </is>
      </c>
      <c r="F100" s="55" t="inlineStr">
        <is>
          <t>Construction work done — general (Papa, 28-Sep)</t>
        </is>
      </c>
      <c r="G100" s="63" t="n">
        <v>50000</v>
      </c>
      <c r="H100" s="55" t="inlineStr">
        <is>
          <t>Cash</t>
        </is>
      </c>
      <c r="I100" s="55" t="n"/>
      <c r="J100" s="55" t="n"/>
      <c r="K100" s="55" t="inlineStr">
        <is>
          <t>Y</t>
        </is>
      </c>
      <c r="L100" s="58">
        <f>IF(G100="","",IF(L99="",G100,L99+G100))</f>
        <v/>
      </c>
      <c r="M100" s="55" t="n"/>
    </row>
    <row r="101" ht="15.75" customHeight="1" s="99">
      <c r="A101" s="41" t="n">
        <v>107</v>
      </c>
      <c r="B101" s="45" t="n">
        <v>46296</v>
      </c>
      <c r="C101" s="47" t="inlineStr">
        <is>
          <t>Self</t>
        </is>
      </c>
      <c r="D101" s="47" t="inlineStr">
        <is>
          <t>Concrete Supplier</t>
        </is>
      </c>
      <c r="E101" s="47" t="inlineStr">
        <is>
          <t>Building Materials</t>
        </is>
      </c>
      <c r="F101" s="47" t="inlineStr">
        <is>
          <t>Gitti delivery</t>
        </is>
      </c>
      <c r="G101" s="62" t="n">
        <v>79500</v>
      </c>
      <c r="H101" s="47" t="inlineStr">
        <is>
          <t>Cash</t>
        </is>
      </c>
      <c r="I101" s="47" t="n"/>
      <c r="J101" s="47" t="n"/>
      <c r="K101" s="47" t="inlineStr">
        <is>
          <t>Y</t>
        </is>
      </c>
      <c r="L101" s="50">
        <f>IF(G101="","",IF(L100="",G101,L100+G101))</f>
        <v/>
      </c>
      <c r="M101" s="47" t="n"/>
    </row>
    <row r="102" ht="15.75" customHeight="1" s="99">
      <c r="A102" s="43" t="n">
        <v>108</v>
      </c>
      <c r="B102" s="53" t="n">
        <v>46300</v>
      </c>
      <c r="C102" s="55" t="inlineStr">
        <is>
          <t>Self</t>
        </is>
      </c>
      <c r="D102" s="55" t="inlineStr">
        <is>
          <t>Pappu Hardware</t>
        </is>
      </c>
      <c r="E102" s="55" t="inlineStr">
        <is>
          <t>Steel / Iron + Cement + Building Materials</t>
        </is>
      </c>
      <c r="F102" s="55" t="inlineStr">
        <is>
          <t>Part payment against 5-Oct bill (₹4,66,024)</t>
        </is>
      </c>
      <c r="G102" s="63" t="n">
        <v>450000</v>
      </c>
      <c r="H102" s="55" t="inlineStr">
        <is>
          <t>Cash</t>
        </is>
      </c>
      <c r="I102" s="55" t="n"/>
      <c r="J102" s="55" t="n"/>
      <c r="K102" s="55" t="inlineStr">
        <is>
          <t>Y</t>
        </is>
      </c>
      <c r="L102" s="58">
        <f>IF(G102="","",IF(L101="",G102,L101+G102))</f>
        <v/>
      </c>
      <c r="M102" s="55" t="n"/>
    </row>
    <row r="103" ht="15.75" customHeight="1" s="99">
      <c r="A103" s="41" t="n">
        <v>109</v>
      </c>
      <c r="B103" s="45" t="n">
        <v>46302</v>
      </c>
      <c r="C103" s="47" t="inlineStr">
        <is>
          <t>Self</t>
        </is>
      </c>
      <c r="D103" s="47" t="inlineStr">
        <is>
          <t>Khutauna Chirai mill</t>
        </is>
      </c>
      <c r="E103" s="47" t="inlineStr">
        <is>
          <t>Building Materials</t>
        </is>
      </c>
      <c r="F103" s="47" t="inlineStr">
        <is>
          <t>Wood for gate frames — C unit ₹42,509 + B unit ₹26,869</t>
        </is>
      </c>
      <c r="G103" s="62" t="n">
        <v>69378</v>
      </c>
      <c r="H103" s="47" t="inlineStr">
        <is>
          <t>Cash</t>
        </is>
      </c>
      <c r="I103" s="47" t="n"/>
      <c r="J103" s="47" t="n"/>
      <c r="K103" s="47" t="inlineStr">
        <is>
          <t>Y</t>
        </is>
      </c>
      <c r="L103" s="50">
        <f>IF(G103="","",IF(L102="",G103,L102+G103))</f>
        <v/>
      </c>
      <c r="M103" s="47" t="n"/>
    </row>
    <row r="104" ht="15.75" customHeight="1" s="99">
      <c r="A104" s="43" t="n">
        <v>110</v>
      </c>
      <c r="B104" s="53" t="n">
        <v>46302</v>
      </c>
      <c r="C104" s="55" t="inlineStr">
        <is>
          <t>Self</t>
        </is>
      </c>
      <c r="D104" s="55" t="inlineStr">
        <is>
          <t>Pappu Hardware</t>
        </is>
      </c>
      <c r="E104" s="55" t="inlineStr">
        <is>
          <t>Steel / Iron + Cement + Building Materials</t>
        </is>
      </c>
      <c r="F104" s="55" t="inlineStr">
        <is>
          <t>Part payment against Oct bills</t>
        </is>
      </c>
      <c r="G104" s="63" t="n">
        <v>70000</v>
      </c>
      <c r="H104" s="55" t="inlineStr">
        <is>
          <t>Cash</t>
        </is>
      </c>
      <c r="I104" s="55" t="n"/>
      <c r="J104" s="55" t="n"/>
      <c r="K104" s="55" t="inlineStr">
        <is>
          <t>Y</t>
        </is>
      </c>
      <c r="L104" s="58">
        <f>IF(G104="","",IF(L103="",G104,L103+G104))</f>
        <v/>
      </c>
      <c r="M104" s="55" t="n"/>
    </row>
    <row r="105" ht="15.75" customHeight="1" s="99">
      <c r="A105" s="41" t="n">
        <v>111</v>
      </c>
      <c r="B105" s="45" t="n">
        <v>46302</v>
      </c>
      <c r="C105" s="47" t="inlineStr">
        <is>
          <t>Papa</t>
        </is>
      </c>
      <c r="D105" s="47" t="inlineStr">
        <is>
          <t>Econ Builder</t>
        </is>
      </c>
      <c r="E105" s="47" t="inlineStr">
        <is>
          <t>Professional Fees</t>
        </is>
      </c>
      <c r="F105" s="47" t="inlineStr">
        <is>
          <t>Construction work done — general (Papa, 7-Oct)</t>
        </is>
      </c>
      <c r="G105" s="62" t="n">
        <v>25000</v>
      </c>
      <c r="H105" s="47" t="inlineStr">
        <is>
          <t>Cash</t>
        </is>
      </c>
      <c r="I105" s="47" t="n"/>
      <c r="J105" s="47" t="n"/>
      <c r="K105" s="47" t="inlineStr">
        <is>
          <t>Y</t>
        </is>
      </c>
      <c r="L105" s="50">
        <f>IF(G105="","",IF(L104="",G105,L104+G105))</f>
        <v/>
      </c>
      <c r="M105" s="47" t="n"/>
    </row>
    <row r="106" ht="15.75" customHeight="1" s="99">
      <c r="A106" s="43" t="n">
        <v>112</v>
      </c>
      <c r="B106" s="53" t="n">
        <v>46303</v>
      </c>
      <c r="C106" s="55" t="inlineStr">
        <is>
          <t>Papa</t>
        </is>
      </c>
      <c r="D106" s="55" t="inlineStr">
        <is>
          <t>Econ Builder</t>
        </is>
      </c>
      <c r="E106" s="55" t="inlineStr">
        <is>
          <t>Professional Fees</t>
        </is>
      </c>
      <c r="F106" s="55" t="inlineStr">
        <is>
          <t>Construction work done — general (Papa, 8-Oct)</t>
        </is>
      </c>
      <c r="G106" s="63" t="n">
        <v>20000</v>
      </c>
      <c r="H106" s="55" t="inlineStr">
        <is>
          <t>Cash</t>
        </is>
      </c>
      <c r="I106" s="55" t="n"/>
      <c r="J106" s="55" t="n"/>
      <c r="K106" s="55" t="inlineStr">
        <is>
          <t>Y</t>
        </is>
      </c>
      <c r="L106" s="58">
        <f>IF(G106="","",IF(L105="",G106,L105+G106))</f>
        <v/>
      </c>
      <c r="M106" s="55" t="n"/>
    </row>
    <row r="107" ht="15.75" customHeight="1" s="99">
      <c r="A107" s="41" t="n">
        <v>113</v>
      </c>
      <c r="B107" s="45" t="n">
        <v>46303</v>
      </c>
      <c r="C107" s="47" t="inlineStr">
        <is>
          <t>Self</t>
        </is>
      </c>
      <c r="D107" s="47" t="inlineStr">
        <is>
          <t>Mittal Electric</t>
        </is>
      </c>
      <c r="E107" s="47" t="inlineStr">
        <is>
          <t>Electrical</t>
        </is>
      </c>
      <c r="F107" s="47" t="inlineStr">
        <is>
          <t>Electrical items — Mittal Electric, Darbhanga</t>
        </is>
      </c>
      <c r="G107" s="62" t="n">
        <v>21065</v>
      </c>
      <c r="H107" s="47" t="inlineStr">
        <is>
          <t>Cash</t>
        </is>
      </c>
      <c r="I107" s="47" t="n"/>
      <c r="J107" s="47" t="n"/>
      <c r="K107" s="47" t="inlineStr">
        <is>
          <t>Y</t>
        </is>
      </c>
      <c r="L107" s="50">
        <f>IF(G107="","",IF(L106="",G107,L106+G107))</f>
        <v/>
      </c>
      <c r="M107" s="47" t="n"/>
    </row>
    <row r="108" ht="15.75" customHeight="1" s="99">
      <c r="A108" s="43" t="n">
        <v>114</v>
      </c>
      <c r="B108" s="53" t="n">
        <v>46304</v>
      </c>
      <c r="C108" s="55" t="inlineStr">
        <is>
          <t>Self</t>
        </is>
      </c>
      <c r="D108" s="55" t="inlineStr">
        <is>
          <t>Sand Truck Wala</t>
        </is>
      </c>
      <c r="E108" s="55" t="inlineStr">
        <is>
          <t>Building Materials</t>
        </is>
      </c>
      <c r="F108" s="55" t="inlineStr">
        <is>
          <t>Sand delivery — 40 MT</t>
        </is>
      </c>
      <c r="G108" s="63" t="n">
        <v>56000</v>
      </c>
      <c r="H108" s="55" t="inlineStr">
        <is>
          <t>Cash</t>
        </is>
      </c>
      <c r="I108" s="55" t="n"/>
      <c r="J108" s="55" t="n"/>
      <c r="K108" s="55" t="inlineStr">
        <is>
          <t>Y</t>
        </is>
      </c>
      <c r="L108" s="58">
        <f>IF(G108="","",IF(L107="",G108,L107+G108))</f>
        <v/>
      </c>
      <c r="M108" s="55" t="n"/>
    </row>
    <row r="109" ht="15.75" customHeight="1" s="99">
      <c r="A109" s="41" t="n">
        <v>115</v>
      </c>
      <c r="B109" s="45" t="n">
        <v>46304</v>
      </c>
      <c r="C109" s="47" t="inlineStr">
        <is>
          <t>Self</t>
        </is>
      </c>
      <c r="D109" s="47" t="inlineStr">
        <is>
          <t>Local Purchase</t>
        </is>
      </c>
      <c r="E109" s="47" t="inlineStr">
        <is>
          <t>Transport · Food · Misc</t>
        </is>
      </c>
      <c r="F109" s="47" t="inlineStr">
        <is>
          <t>Diesel 10 litres</t>
        </is>
      </c>
      <c r="G109" s="62" t="n">
        <v>1000</v>
      </c>
      <c r="H109" s="47" t="inlineStr">
        <is>
          <t>Cash</t>
        </is>
      </c>
      <c r="I109" s="47" t="n"/>
      <c r="J109" s="47" t="n"/>
      <c r="K109" s="47" t="inlineStr">
        <is>
          <t>Y</t>
        </is>
      </c>
      <c r="L109" s="50">
        <f>IF(G109="","",IF(L108="",G109,L108+G109))</f>
        <v/>
      </c>
      <c r="M109" s="47" t="n"/>
    </row>
    <row r="110" ht="15.75" customHeight="1" s="99">
      <c r="A110" s="43" t="n">
        <v>116</v>
      </c>
      <c r="B110" s="53" t="n">
        <v>46308</v>
      </c>
      <c r="C110" s="55" t="inlineStr">
        <is>
          <t>Self</t>
        </is>
      </c>
      <c r="D110" s="55" t="inlineStr">
        <is>
          <t>Pappu Hardware</t>
        </is>
      </c>
      <c r="E110" s="55" t="inlineStr">
        <is>
          <t>Steel / Iron + Cement + Building Materials</t>
        </is>
      </c>
      <c r="F110" s="55" t="inlineStr">
        <is>
          <t>Full payment — 13-Oct bill (₹1,42,843)</t>
        </is>
      </c>
      <c r="G110" s="63" t="n">
        <v>142843</v>
      </c>
      <c r="H110" s="55" t="inlineStr">
        <is>
          <t>Cash</t>
        </is>
      </c>
      <c r="I110" s="55" t="n"/>
      <c r="J110" s="55" t="n"/>
      <c r="K110" s="55" t="inlineStr">
        <is>
          <t>Y</t>
        </is>
      </c>
      <c r="L110" s="58">
        <f>IF(G110="","",IF(L109="",G110,L109+G110))</f>
        <v/>
      </c>
      <c r="M110" s="55" t="n"/>
    </row>
    <row r="111" ht="15.75" customHeight="1" s="99">
      <c r="A111" s="41" t="n">
        <v>117</v>
      </c>
      <c r="B111" s="45" t="n"/>
      <c r="C111" s="47" t="n"/>
      <c r="D111" s="47" t="n"/>
      <c r="E111" s="47" t="n"/>
      <c r="F111" s="47" t="n"/>
      <c r="G111" s="62" t="n"/>
      <c r="H111" s="47" t="n"/>
      <c r="I111" s="47" t="n"/>
      <c r="J111" s="47" t="n"/>
      <c r="K111" s="47" t="n"/>
      <c r="L111" s="50">
        <f>IF(G111="","",IF(L110="",G111,L110+G111))</f>
        <v/>
      </c>
      <c r="M111" s="47" t="n"/>
    </row>
    <row r="112" ht="15.75" customHeight="1" s="99">
      <c r="A112" s="43" t="n">
        <v>118</v>
      </c>
      <c r="B112" s="53" t="n"/>
      <c r="C112" s="55" t="n"/>
      <c r="D112" s="55" t="n"/>
      <c r="E112" s="55" t="n"/>
      <c r="F112" s="55" t="n"/>
      <c r="G112" s="63" t="n"/>
      <c r="H112" s="55" t="n"/>
      <c r="I112" s="55" t="n"/>
      <c r="J112" s="55" t="n"/>
      <c r="K112" s="55" t="n"/>
      <c r="L112" s="58">
        <f>IF(G112="","",IF(L111="",G112,L111+G112))</f>
        <v/>
      </c>
      <c r="M112" s="55" t="n"/>
    </row>
    <row r="113" ht="15.75" customHeight="1" s="99">
      <c r="A113" s="41" t="n">
        <v>119</v>
      </c>
      <c r="B113" s="45" t="n"/>
      <c r="C113" s="47" t="n"/>
      <c r="D113" s="47" t="n"/>
      <c r="E113" s="47" t="n"/>
      <c r="F113" s="47" t="n"/>
      <c r="G113" s="62" t="n"/>
      <c r="H113" s="47" t="n"/>
      <c r="I113" s="47" t="n"/>
      <c r="J113" s="47" t="n"/>
      <c r="K113" s="47" t="n"/>
      <c r="L113" s="50">
        <f>IF(G113="","",IF(L112="",G113,L112+G113))</f>
        <v/>
      </c>
      <c r="M113" s="47" t="n"/>
    </row>
    <row r="114" ht="15.75" customHeight="1" s="99">
      <c r="A114" s="43" t="n">
        <v>120</v>
      </c>
      <c r="B114" s="53" t="n"/>
      <c r="C114" s="55" t="n"/>
      <c r="D114" s="55" t="n"/>
      <c r="E114" s="55" t="n"/>
      <c r="F114" s="55" t="n"/>
      <c r="G114" s="63" t="n"/>
      <c r="H114" s="55" t="n"/>
      <c r="I114" s="55" t="n"/>
      <c r="J114" s="55" t="n"/>
      <c r="K114" s="55" t="n"/>
      <c r="L114" s="58">
        <f>IF(G114="","",IF(L113="",G114,L113+G114))</f>
        <v/>
      </c>
      <c r="M114" s="55" t="n"/>
    </row>
    <row r="115" ht="15.75" customHeight="1" s="99">
      <c r="A115" s="41" t="n">
        <v>121</v>
      </c>
      <c r="B115" s="45" t="n"/>
      <c r="C115" s="47" t="n"/>
      <c r="D115" s="47" t="n"/>
      <c r="E115" s="47" t="n"/>
      <c r="F115" s="47" t="n"/>
      <c r="G115" s="62" t="n"/>
      <c r="H115" s="47" t="n"/>
      <c r="I115" s="47" t="n"/>
      <c r="J115" s="47" t="n"/>
      <c r="K115" s="47" t="n"/>
      <c r="L115" s="50">
        <f>IF(G115="","",IF(L114="",G115,L114+G115))</f>
        <v/>
      </c>
      <c r="M115" s="47" t="n"/>
    </row>
    <row r="116" ht="15.75" customHeight="1" s="99">
      <c r="A116" s="43" t="n">
        <v>122</v>
      </c>
      <c r="B116" s="53" t="n"/>
      <c r="C116" s="55" t="n"/>
      <c r="D116" s="55" t="n"/>
      <c r="E116" s="55" t="n"/>
      <c r="F116" s="55" t="n"/>
      <c r="G116" s="63" t="n"/>
      <c r="H116" s="55" t="n"/>
      <c r="I116" s="55" t="n"/>
      <c r="J116" s="55" t="n"/>
      <c r="K116" s="55" t="n"/>
      <c r="L116" s="58">
        <f>IF(G116="","",IF(L115="",G116,L115+G116))</f>
        <v/>
      </c>
      <c r="M116" s="55" t="n"/>
    </row>
    <row r="117" ht="15.75" customHeight="1" s="99">
      <c r="A117" s="41" t="n">
        <v>123</v>
      </c>
      <c r="B117" s="45" t="n"/>
      <c r="C117" s="47" t="n"/>
      <c r="D117" s="47" t="n"/>
      <c r="E117" s="47" t="n"/>
      <c r="F117" s="47" t="n"/>
      <c r="G117" s="62" t="n"/>
      <c r="H117" s="47" t="n"/>
      <c r="I117" s="47" t="n"/>
      <c r="J117" s="47" t="n"/>
      <c r="K117" s="47" t="n"/>
      <c r="L117" s="50">
        <f>IF(G117="","",IF(L116="",G117,L116+G117))</f>
        <v/>
      </c>
      <c r="M117" s="47" t="n"/>
    </row>
    <row r="118" ht="15.75" customHeight="1" s="99">
      <c r="A118" s="43" t="n">
        <v>124</v>
      </c>
      <c r="B118" s="53" t="n"/>
      <c r="C118" s="55" t="n"/>
      <c r="D118" s="55" t="n"/>
      <c r="E118" s="55" t="n"/>
      <c r="F118" s="55" t="n"/>
      <c r="G118" s="63" t="n"/>
      <c r="H118" s="55" t="n"/>
      <c r="I118" s="55" t="n"/>
      <c r="J118" s="55" t="n"/>
      <c r="K118" s="55" t="n"/>
      <c r="L118" s="58">
        <f>IF(G118="","",IF(L117="",G118,L117+G118))</f>
        <v/>
      </c>
      <c r="M118" s="55" t="n"/>
    </row>
    <row r="119" ht="15.75" customHeight="1" s="99">
      <c r="A119" s="41" t="n">
        <v>125</v>
      </c>
      <c r="B119" s="45" t="n"/>
      <c r="C119" s="47" t="n"/>
      <c r="D119" s="47" t="n"/>
      <c r="E119" s="47" t="n"/>
      <c r="F119" s="47" t="n"/>
      <c r="G119" s="62" t="n"/>
      <c r="H119" s="47" t="n"/>
      <c r="I119" s="47" t="n"/>
      <c r="J119" s="47" t="n"/>
      <c r="K119" s="47" t="n"/>
      <c r="L119" s="50">
        <f>IF(G119="","",IF(L118="",G119,L118+G119))</f>
        <v/>
      </c>
      <c r="M119" s="47" t="n"/>
    </row>
    <row r="120" ht="15.75" customHeight="1" s="99">
      <c r="A120" s="43" t="n">
        <v>126</v>
      </c>
      <c r="B120" s="53" t="n"/>
      <c r="C120" s="55" t="n"/>
      <c r="D120" s="55" t="n"/>
      <c r="E120" s="55" t="n"/>
      <c r="F120" s="55" t="n"/>
      <c r="G120" s="63" t="n"/>
      <c r="H120" s="55" t="n"/>
      <c r="I120" s="55" t="n"/>
      <c r="J120" s="55" t="n"/>
      <c r="K120" s="55" t="n"/>
      <c r="L120" s="58">
        <f>IF(G120="","",IF(L119="",G120,L119+G120))</f>
        <v/>
      </c>
      <c r="M120" s="55" t="n"/>
    </row>
    <row r="121" ht="15.75" customHeight="1" s="99">
      <c r="A121" s="41" t="n">
        <v>127</v>
      </c>
      <c r="B121" s="45" t="n"/>
      <c r="C121" s="47" t="n"/>
      <c r="D121" s="47" t="n"/>
      <c r="E121" s="47" t="n"/>
      <c r="F121" s="47" t="n"/>
      <c r="G121" s="62" t="n"/>
      <c r="H121" s="47" t="n"/>
      <c r="I121" s="47" t="n"/>
      <c r="J121" s="47" t="n"/>
      <c r="K121" s="47" t="n"/>
      <c r="L121" s="50">
        <f>IF(G121="","",IF(L120="",G121,L120+G121))</f>
        <v/>
      </c>
      <c r="M121" s="47" t="n"/>
    </row>
    <row r="122" ht="15.75" customHeight="1" s="99">
      <c r="A122" s="43" t="n">
        <v>128</v>
      </c>
      <c r="B122" s="53" t="n"/>
      <c r="C122" s="55" t="n"/>
      <c r="D122" s="55" t="n"/>
      <c r="E122" s="55" t="n"/>
      <c r="F122" s="55" t="n"/>
      <c r="G122" s="63" t="n"/>
      <c r="H122" s="55" t="n"/>
      <c r="I122" s="55" t="n"/>
      <c r="J122" s="55" t="n"/>
      <c r="K122" s="55" t="n"/>
      <c r="L122" s="58">
        <f>IF(G122="","",IF(L121="",G122,L121+G122))</f>
        <v/>
      </c>
      <c r="M122" s="55" t="n"/>
    </row>
    <row r="123" ht="15.75" customHeight="1" s="99">
      <c r="A123" s="41" t="n">
        <v>129</v>
      </c>
      <c r="B123" s="45" t="n"/>
      <c r="C123" s="47" t="n"/>
      <c r="D123" s="47" t="n"/>
      <c r="E123" s="47" t="n"/>
      <c r="F123" s="47" t="n"/>
      <c r="G123" s="62" t="n"/>
      <c r="H123" s="47" t="n"/>
      <c r="I123" s="47" t="n"/>
      <c r="J123" s="47" t="n"/>
      <c r="K123" s="47" t="n"/>
      <c r="L123" s="50">
        <f>IF(G123="","",IF(L122="",G123,L122+G123))</f>
        <v/>
      </c>
      <c r="M123" s="47" t="n"/>
    </row>
    <row r="124" ht="15.75" customHeight="1" s="99">
      <c r="A124" s="43" t="n">
        <v>130</v>
      </c>
      <c r="B124" s="53" t="n"/>
      <c r="C124" s="55" t="n"/>
      <c r="D124" s="55" t="n"/>
      <c r="E124" s="55" t="n"/>
      <c r="F124" s="55" t="n"/>
      <c r="G124" s="63" t="n"/>
      <c r="H124" s="55" t="n"/>
      <c r="I124" s="55" t="n"/>
      <c r="J124" s="55" t="n"/>
      <c r="K124" s="55" t="n"/>
      <c r="L124" s="58">
        <f>IF(G124="","",IF(L123="",G124,L123+G124))</f>
        <v/>
      </c>
      <c r="M124" s="55" t="n"/>
    </row>
    <row r="125" ht="15.75" customHeight="1" s="99">
      <c r="A125" s="41" t="n">
        <v>131</v>
      </c>
      <c r="B125" s="45" t="n"/>
      <c r="C125" s="47" t="n"/>
      <c r="D125" s="47" t="n"/>
      <c r="E125" s="47" t="n"/>
      <c r="F125" s="47" t="n"/>
      <c r="G125" s="62" t="n"/>
      <c r="H125" s="47" t="n"/>
      <c r="I125" s="47" t="n"/>
      <c r="J125" s="47" t="n"/>
      <c r="K125" s="47" t="n"/>
      <c r="L125" s="50">
        <f>IF(G125="","",IF(L124="",G125,L124+G125))</f>
        <v/>
      </c>
      <c r="M125" s="47" t="n"/>
    </row>
    <row r="126" ht="15.75" customHeight="1" s="99">
      <c r="A126" s="43" t="n">
        <v>132</v>
      </c>
      <c r="B126" s="53" t="n"/>
      <c r="C126" s="55" t="n"/>
      <c r="D126" s="55" t="n"/>
      <c r="E126" s="55" t="n"/>
      <c r="F126" s="55" t="n"/>
      <c r="G126" s="63" t="n"/>
      <c r="H126" s="55" t="n"/>
      <c r="I126" s="55" t="n"/>
      <c r="J126" s="55" t="n"/>
      <c r="K126" s="55" t="n"/>
      <c r="L126" s="58">
        <f>IF(G126="","",IF(L125="",G126,L125+G126))</f>
        <v/>
      </c>
      <c r="M126" s="55" t="n"/>
    </row>
    <row r="127" ht="15.75" customHeight="1" s="99">
      <c r="A127" s="41" t="n">
        <v>133</v>
      </c>
      <c r="B127" s="45" t="n"/>
      <c r="C127" s="47" t="n"/>
      <c r="D127" s="47" t="n"/>
      <c r="E127" s="47" t="n"/>
      <c r="F127" s="47" t="n"/>
      <c r="G127" s="62" t="n"/>
      <c r="H127" s="47" t="n"/>
      <c r="I127" s="47" t="n"/>
      <c r="J127" s="47" t="n"/>
      <c r="K127" s="47" t="n"/>
      <c r="L127" s="50">
        <f>IF(G127="","",IF(L126="",G127,L126+G127))</f>
        <v/>
      </c>
      <c r="M127" s="47" t="n"/>
    </row>
    <row r="128" ht="15.75" customHeight="1" s="99">
      <c r="A128" s="43" t="n">
        <v>134</v>
      </c>
      <c r="B128" s="53" t="n"/>
      <c r="C128" s="55" t="n"/>
      <c r="D128" s="55" t="n"/>
      <c r="E128" s="55" t="n"/>
      <c r="F128" s="55" t="n"/>
      <c r="G128" s="63" t="n"/>
      <c r="H128" s="55" t="n"/>
      <c r="I128" s="55" t="n"/>
      <c r="J128" s="55" t="n"/>
      <c r="K128" s="55" t="n"/>
      <c r="L128" s="58">
        <f>IF(G128="","",IF(L127="",G128,L127+G128))</f>
        <v/>
      </c>
      <c r="M128" s="55" t="n"/>
    </row>
    <row r="129" ht="15.75" customHeight="1" s="99">
      <c r="A129" s="41" t="n">
        <v>135</v>
      </c>
      <c r="B129" s="45" t="n"/>
      <c r="C129" s="47" t="n"/>
      <c r="D129" s="47" t="n"/>
      <c r="E129" s="47" t="n"/>
      <c r="F129" s="47" t="n"/>
      <c r="G129" s="62" t="n"/>
      <c r="H129" s="47" t="n"/>
      <c r="I129" s="47" t="n"/>
      <c r="J129" s="47" t="n"/>
      <c r="K129" s="47" t="n"/>
      <c r="L129" s="50">
        <f>IF(G129="","",IF(L128="",G129,L128+G129))</f>
        <v/>
      </c>
      <c r="M129" s="47" t="n"/>
    </row>
    <row r="130" ht="15.75" customHeight="1" s="99">
      <c r="A130" s="43" t="n">
        <v>136</v>
      </c>
      <c r="B130" s="53" t="n"/>
      <c r="C130" s="55" t="n"/>
      <c r="D130" s="55" t="n"/>
      <c r="E130" s="55" t="n"/>
      <c r="F130" s="55" t="n"/>
      <c r="G130" s="63" t="n"/>
      <c r="H130" s="55" t="n"/>
      <c r="I130" s="55" t="n"/>
      <c r="J130" s="55" t="n"/>
      <c r="K130" s="55" t="n"/>
      <c r="L130" s="58">
        <f>IF(G130="","",IF(L129="",G130,L129+G130))</f>
        <v/>
      </c>
      <c r="M130" s="55" t="n"/>
    </row>
    <row r="131" ht="15.75" customHeight="1" s="99">
      <c r="A131" s="41" t="n">
        <v>137</v>
      </c>
      <c r="B131" s="45" t="n"/>
      <c r="C131" s="47" t="n"/>
      <c r="D131" s="47" t="n"/>
      <c r="E131" s="47" t="n"/>
      <c r="F131" s="47" t="n"/>
      <c r="G131" s="62" t="n"/>
      <c r="H131" s="47" t="n"/>
      <c r="I131" s="47" t="n"/>
      <c r="J131" s="47" t="n"/>
      <c r="K131" s="47" t="n"/>
      <c r="L131" s="50">
        <f>IF(G131="","",IF(L130="",G131,L130+G131))</f>
        <v/>
      </c>
      <c r="M131" s="47" t="n"/>
    </row>
    <row r="132" ht="15.75" customHeight="1" s="99">
      <c r="A132" s="43" t="n">
        <v>138</v>
      </c>
      <c r="B132" s="53" t="n"/>
      <c r="C132" s="55" t="n"/>
      <c r="D132" s="55" t="n"/>
      <c r="E132" s="55" t="n"/>
      <c r="F132" s="55" t="n"/>
      <c r="G132" s="63" t="n"/>
      <c r="H132" s="55" t="n"/>
      <c r="I132" s="55" t="n"/>
      <c r="J132" s="55" t="n"/>
      <c r="K132" s="55" t="n"/>
      <c r="L132" s="58">
        <f>IF(G132="","",IF(L131="",G132,L131+G132))</f>
        <v/>
      </c>
      <c r="M132" s="55" t="n"/>
    </row>
    <row r="133" ht="15.75" customHeight="1" s="99">
      <c r="A133" s="41" t="n">
        <v>139</v>
      </c>
      <c r="B133" s="45" t="n"/>
      <c r="C133" s="47" t="n"/>
      <c r="D133" s="47" t="n"/>
      <c r="E133" s="47" t="n"/>
      <c r="F133" s="47" t="n"/>
      <c r="G133" s="62" t="n"/>
      <c r="H133" s="47" t="n"/>
      <c r="I133" s="47" t="n"/>
      <c r="J133" s="47" t="n"/>
      <c r="K133" s="47" t="n"/>
      <c r="L133" s="50">
        <f>IF(G133="","",IF(L132="",G133,L132+G133))</f>
        <v/>
      </c>
      <c r="M133" s="47" t="n"/>
    </row>
    <row r="134" ht="15.75" customHeight="1" s="99">
      <c r="A134" s="43" t="n">
        <v>140</v>
      </c>
      <c r="B134" s="53" t="n"/>
      <c r="C134" s="55" t="n"/>
      <c r="D134" s="55" t="n"/>
      <c r="E134" s="55" t="n"/>
      <c r="F134" s="55" t="n"/>
      <c r="G134" s="63" t="n"/>
      <c r="H134" s="55" t="n"/>
      <c r="I134" s="55" t="n"/>
      <c r="J134" s="55" t="n"/>
      <c r="K134" s="55" t="n"/>
      <c r="L134" s="58">
        <f>IF(G134="","",IF(L133="",G134,L133+G134))</f>
        <v/>
      </c>
      <c r="M134" s="55" t="n"/>
    </row>
    <row r="135" ht="15.75" customHeight="1" s="99">
      <c r="A135" s="41" t="n">
        <v>141</v>
      </c>
      <c r="B135" s="45" t="n"/>
      <c r="C135" s="47" t="n"/>
      <c r="D135" s="47" t="n"/>
      <c r="E135" s="47" t="n"/>
      <c r="F135" s="47" t="n"/>
      <c r="G135" s="62" t="n"/>
      <c r="H135" s="47" t="n"/>
      <c r="I135" s="47" t="n"/>
      <c r="J135" s="47" t="n"/>
      <c r="K135" s="47" t="n"/>
      <c r="L135" s="50">
        <f>IF(G135="","",IF(L134="",G135,L134+G135))</f>
        <v/>
      </c>
      <c r="M135" s="47" t="n"/>
    </row>
    <row r="136" ht="15.75" customHeight="1" s="99">
      <c r="A136" s="43" t="n">
        <v>142</v>
      </c>
      <c r="B136" s="53" t="n"/>
      <c r="C136" s="55" t="n"/>
      <c r="D136" s="55" t="n"/>
      <c r="E136" s="55" t="n"/>
      <c r="F136" s="55" t="n"/>
      <c r="G136" s="63" t="n"/>
      <c r="H136" s="55" t="n"/>
      <c r="I136" s="55" t="n"/>
      <c r="J136" s="55" t="n"/>
      <c r="K136" s="55" t="n"/>
      <c r="L136" s="58">
        <f>IF(G136="","",IF(L135="",G136,L135+G136))</f>
        <v/>
      </c>
      <c r="M136" s="55" t="n"/>
    </row>
    <row r="137" ht="15.75" customHeight="1" s="99">
      <c r="A137" s="41" t="n">
        <v>143</v>
      </c>
      <c r="B137" s="45" t="n"/>
      <c r="C137" s="47" t="n"/>
      <c r="D137" s="47" t="n"/>
      <c r="E137" s="47" t="n"/>
      <c r="F137" s="47" t="n"/>
      <c r="G137" s="62" t="n"/>
      <c r="H137" s="47" t="n"/>
      <c r="I137" s="47" t="n"/>
      <c r="J137" s="47" t="n"/>
      <c r="K137" s="47" t="n"/>
      <c r="L137" s="50">
        <f>IF(G137="","",IF(L136="",G137,L136+G137))</f>
        <v/>
      </c>
      <c r="M137" s="47" t="n"/>
    </row>
    <row r="138" ht="15.75" customHeight="1" s="99">
      <c r="A138" s="43" t="n">
        <v>144</v>
      </c>
      <c r="B138" s="53" t="n"/>
      <c r="C138" s="55" t="n"/>
      <c r="D138" s="55" t="n"/>
      <c r="E138" s="55" t="n"/>
      <c r="F138" s="55" t="n"/>
      <c r="G138" s="63" t="n"/>
      <c r="H138" s="55" t="n"/>
      <c r="I138" s="55" t="n"/>
      <c r="J138" s="55" t="n"/>
      <c r="K138" s="55" t="n"/>
      <c r="L138" s="58">
        <f>IF(G138="","",IF(L137="",G138,L137+G138))</f>
        <v/>
      </c>
      <c r="M138" s="55" t="n"/>
    </row>
    <row r="139" ht="15.75" customHeight="1" s="99">
      <c r="A139" s="41" t="n">
        <v>145</v>
      </c>
      <c r="B139" s="45" t="n"/>
      <c r="C139" s="47" t="n"/>
      <c r="D139" s="47" t="n"/>
      <c r="E139" s="47" t="n"/>
      <c r="F139" s="47" t="n"/>
      <c r="G139" s="62" t="n"/>
      <c r="H139" s="47" t="n"/>
      <c r="I139" s="47" t="n"/>
      <c r="J139" s="47" t="n"/>
      <c r="K139" s="47" t="n"/>
      <c r="L139" s="50">
        <f>IF(G139="","",IF(L138="",G139,L138+G139))</f>
        <v/>
      </c>
      <c r="M139" s="47" t="n"/>
    </row>
    <row r="140" ht="15.75" customHeight="1" s="99">
      <c r="A140" s="43" t="n">
        <v>146</v>
      </c>
      <c r="B140" s="53" t="n"/>
      <c r="C140" s="55" t="n"/>
      <c r="D140" s="55" t="n"/>
      <c r="E140" s="55" t="n"/>
      <c r="F140" s="55" t="n"/>
      <c r="G140" s="63" t="n"/>
      <c r="H140" s="55" t="n"/>
      <c r="I140" s="55" t="n"/>
      <c r="J140" s="55" t="n"/>
      <c r="K140" s="55" t="n"/>
      <c r="L140" s="58">
        <f>IF(G140="","",IF(L139="",G140,L139+G140))</f>
        <v/>
      </c>
      <c r="M140" s="55" t="n"/>
    </row>
    <row r="141" ht="15.75" customHeight="1" s="99">
      <c r="A141" s="41" t="n">
        <v>147</v>
      </c>
      <c r="B141" s="45" t="n"/>
      <c r="C141" s="47" t="n"/>
      <c r="D141" s="47" t="n"/>
      <c r="E141" s="47" t="n"/>
      <c r="F141" s="47" t="n"/>
      <c r="G141" s="62" t="n"/>
      <c r="H141" s="47" t="n"/>
      <c r="I141" s="47" t="n"/>
      <c r="J141" s="47" t="n"/>
      <c r="K141" s="47" t="n"/>
      <c r="L141" s="50">
        <f>IF(G141="","",IF(L140="",G141,L140+G141))</f>
        <v/>
      </c>
      <c r="M141" s="47" t="n"/>
    </row>
    <row r="142" ht="15.75" customHeight="1" s="99">
      <c r="A142" s="43" t="n">
        <v>148</v>
      </c>
      <c r="B142" s="53" t="n"/>
      <c r="C142" s="55" t="n"/>
      <c r="D142" s="55" t="n"/>
      <c r="E142" s="55" t="n"/>
      <c r="F142" s="55" t="n"/>
      <c r="G142" s="63" t="n"/>
      <c r="H142" s="55" t="n"/>
      <c r="I142" s="55" t="n"/>
      <c r="J142" s="55" t="n"/>
      <c r="K142" s="55" t="n"/>
      <c r="L142" s="58">
        <f>IF(G142="","",IF(L141="",G142,L141+G142))</f>
        <v/>
      </c>
      <c r="M142" s="55" t="n"/>
    </row>
    <row r="143" ht="15.75" customHeight="1" s="99">
      <c r="A143" s="41" t="n">
        <v>149</v>
      </c>
      <c r="B143" s="45" t="n"/>
      <c r="C143" s="47" t="n"/>
      <c r="D143" s="47" t="n"/>
      <c r="E143" s="47" t="n"/>
      <c r="F143" s="47" t="n"/>
      <c r="G143" s="62" t="n"/>
      <c r="H143" s="47" t="n"/>
      <c r="I143" s="47" t="n"/>
      <c r="J143" s="47" t="n"/>
      <c r="K143" s="47" t="n"/>
      <c r="L143" s="50">
        <f>IF(G143="","",IF(L142="",G143,L142+G143))</f>
        <v/>
      </c>
      <c r="M143" s="47" t="n"/>
    </row>
    <row r="144" ht="15.75" customHeight="1" s="99">
      <c r="A144" s="43" t="n">
        <v>150</v>
      </c>
      <c r="B144" s="53" t="n"/>
      <c r="C144" s="55" t="n"/>
      <c r="D144" s="55" t="n"/>
      <c r="E144" s="55" t="n"/>
      <c r="F144" s="55" t="n"/>
      <c r="G144" s="63" t="n"/>
      <c r="H144" s="55" t="n"/>
      <c r="I144" s="55" t="n"/>
      <c r="J144" s="55" t="n"/>
      <c r="K144" s="55" t="n"/>
      <c r="L144" s="58">
        <f>IF(G144="","",IF(L143="",G144,L143+G144))</f>
        <v/>
      </c>
      <c r="M144" s="55" t="n"/>
    </row>
    <row r="145" ht="15.75" customHeight="1" s="99">
      <c r="A145" s="41" t="n">
        <v>151</v>
      </c>
      <c r="B145" s="45" t="n"/>
      <c r="C145" s="47" t="n"/>
      <c r="D145" s="47" t="n"/>
      <c r="E145" s="47" t="n"/>
      <c r="F145" s="47" t="n"/>
      <c r="G145" s="62" t="n"/>
      <c r="H145" s="47" t="n"/>
      <c r="I145" s="47" t="n"/>
      <c r="J145" s="47" t="n"/>
      <c r="K145" s="47" t="n"/>
      <c r="L145" s="50">
        <f>IF(G145="","",IF(L144="",G145,L144+G145))</f>
        <v/>
      </c>
      <c r="M145" s="47" t="n"/>
    </row>
    <row r="146" ht="15.75" customHeight="1" s="99">
      <c r="A146" s="43" t="n">
        <v>152</v>
      </c>
      <c r="B146" s="53" t="n"/>
      <c r="C146" s="55" t="n"/>
      <c r="D146" s="55" t="n"/>
      <c r="E146" s="55" t="n"/>
      <c r="F146" s="55" t="n"/>
      <c r="G146" s="63" t="n"/>
      <c r="H146" s="55" t="n"/>
      <c r="I146" s="55" t="n"/>
      <c r="J146" s="55" t="n"/>
      <c r="K146" s="55" t="n"/>
      <c r="L146" s="58">
        <f>IF(G146="","",IF(L145="",G146,L145+G146))</f>
        <v/>
      </c>
      <c r="M146" s="55" t="n"/>
    </row>
    <row r="147" ht="15.75" customHeight="1" s="99">
      <c r="A147" s="41" t="n">
        <v>153</v>
      </c>
      <c r="B147" s="45" t="n"/>
      <c r="C147" s="47" t="n"/>
      <c r="D147" s="47" t="n"/>
      <c r="E147" s="47" t="n"/>
      <c r="F147" s="47" t="n"/>
      <c r="G147" s="62" t="n"/>
      <c r="H147" s="47" t="n"/>
      <c r="I147" s="47" t="n"/>
      <c r="J147" s="47" t="n"/>
      <c r="K147" s="47" t="n"/>
      <c r="L147" s="50">
        <f>IF(G147="","",IF(L146="",G147,L146+G147))</f>
        <v/>
      </c>
      <c r="M147" s="47" t="n"/>
    </row>
    <row r="148" ht="15.75" customHeight="1" s="99">
      <c r="A148" s="43" t="n">
        <v>154</v>
      </c>
      <c r="B148" s="53" t="n"/>
      <c r="C148" s="55" t="n"/>
      <c r="D148" s="55" t="n"/>
      <c r="E148" s="55" t="n"/>
      <c r="F148" s="55" t="n"/>
      <c r="G148" s="63" t="n"/>
      <c r="H148" s="55" t="n"/>
      <c r="I148" s="55" t="n"/>
      <c r="J148" s="55" t="n"/>
      <c r="K148" s="55" t="n"/>
      <c r="L148" s="58">
        <f>IF(G148="","",IF(L147="",G148,L147+G148))</f>
        <v/>
      </c>
      <c r="M148" s="55" t="n"/>
    </row>
    <row r="149" ht="15.75" customHeight="1" s="99">
      <c r="A149" s="41" t="n">
        <v>155</v>
      </c>
      <c r="B149" s="45" t="n"/>
      <c r="C149" s="47" t="n"/>
      <c r="D149" s="47" t="n"/>
      <c r="E149" s="47" t="n"/>
      <c r="F149" s="47" t="n"/>
      <c r="G149" s="62" t="n"/>
      <c r="H149" s="47" t="n"/>
      <c r="I149" s="47" t="n"/>
      <c r="J149" s="47" t="n"/>
      <c r="K149" s="47" t="n"/>
      <c r="L149" s="50">
        <f>IF(G149="","",IF(L148="",G149,L148+G149))</f>
        <v/>
      </c>
      <c r="M149" s="47" t="n"/>
    </row>
    <row r="150" ht="15.75" customHeight="1" s="99">
      <c r="A150" s="43" t="n">
        <v>156</v>
      </c>
      <c r="B150" s="53" t="n"/>
      <c r="C150" s="55" t="n"/>
      <c r="D150" s="55" t="n"/>
      <c r="E150" s="55" t="n"/>
      <c r="F150" s="55" t="n"/>
      <c r="G150" s="63" t="n"/>
      <c r="H150" s="55" t="n"/>
      <c r="I150" s="55" t="n"/>
      <c r="J150" s="55" t="n"/>
      <c r="K150" s="55" t="n"/>
      <c r="L150" s="58">
        <f>IF(G150="","",IF(L149="",G150,L149+G150))</f>
        <v/>
      </c>
      <c r="M150" s="55" t="n"/>
    </row>
    <row r="151" ht="15.75" customHeight="1" s="99">
      <c r="A151" s="41" t="n">
        <v>157</v>
      </c>
      <c r="B151" s="45" t="n"/>
      <c r="C151" s="47" t="n"/>
      <c r="D151" s="47" t="n"/>
      <c r="E151" s="47" t="n"/>
      <c r="F151" s="47" t="n"/>
      <c r="G151" s="62" t="n"/>
      <c r="H151" s="47" t="n"/>
      <c r="I151" s="47" t="n"/>
      <c r="J151" s="47" t="n"/>
      <c r="K151" s="47" t="n"/>
      <c r="L151" s="50">
        <f>IF(G151="","",IF(L150="",G151,L150+G151))</f>
        <v/>
      </c>
      <c r="M151" s="47" t="n"/>
    </row>
    <row r="152" ht="15.75" customHeight="1" s="99">
      <c r="A152" s="43" t="n">
        <v>158</v>
      </c>
      <c r="B152" s="53" t="n"/>
      <c r="C152" s="55" t="n"/>
      <c r="D152" s="55" t="n"/>
      <c r="E152" s="55" t="n"/>
      <c r="F152" s="55" t="n"/>
      <c r="G152" s="63" t="n"/>
      <c r="H152" s="55" t="n"/>
      <c r="I152" s="55" t="n"/>
      <c r="J152" s="55" t="n"/>
      <c r="K152" s="55" t="n"/>
      <c r="L152" s="58">
        <f>IF(G152="","",IF(L151="",G152,L151+G152))</f>
        <v/>
      </c>
      <c r="M152" s="55" t="n"/>
    </row>
    <row r="153" ht="15.75" customHeight="1" s="99">
      <c r="A153" s="41" t="n">
        <v>159</v>
      </c>
      <c r="B153" s="45" t="n"/>
      <c r="C153" s="47" t="n"/>
      <c r="D153" s="47" t="n"/>
      <c r="E153" s="47" t="n"/>
      <c r="F153" s="47" t="n"/>
      <c r="G153" s="62" t="n"/>
      <c r="H153" s="47" t="n"/>
      <c r="I153" s="47" t="n"/>
      <c r="J153" s="47" t="n"/>
      <c r="K153" s="47" t="n"/>
      <c r="L153" s="50">
        <f>IF(G153="","",IF(L152="",G153,L152+G153))</f>
        <v/>
      </c>
      <c r="M153" s="47" t="n"/>
    </row>
    <row r="154" ht="15.75" customHeight="1" s="99">
      <c r="A154" s="43" t="n">
        <v>160</v>
      </c>
      <c r="B154" s="53" t="n"/>
      <c r="C154" s="55" t="n"/>
      <c r="D154" s="55" t="n"/>
      <c r="E154" s="55" t="n"/>
      <c r="F154" s="55" t="n"/>
      <c r="G154" s="63" t="n"/>
      <c r="H154" s="55" t="n"/>
      <c r="I154" s="55" t="n"/>
      <c r="J154" s="55" t="n"/>
      <c r="K154" s="55" t="n"/>
      <c r="L154" s="58">
        <f>IF(G154="","",IF(L153="",G154,L153+G154))</f>
        <v/>
      </c>
      <c r="M154" s="55" t="n"/>
    </row>
    <row r="155" ht="15.75" customHeight="1" s="99">
      <c r="A155" s="41" t="n">
        <v>161</v>
      </c>
      <c r="B155" s="45" t="n"/>
      <c r="C155" s="47" t="n"/>
      <c r="D155" s="47" t="n"/>
      <c r="E155" s="47" t="n"/>
      <c r="F155" s="47" t="n"/>
      <c r="G155" s="62" t="n"/>
      <c r="H155" s="47" t="n"/>
      <c r="I155" s="47" t="n"/>
      <c r="J155" s="47" t="n"/>
      <c r="K155" s="47" t="n"/>
      <c r="L155" s="50">
        <f>IF(G155="","",IF(L154="",G155,L154+G155))</f>
        <v/>
      </c>
      <c r="M155" s="47" t="n"/>
    </row>
    <row r="156" ht="15.75" customHeight="1" s="99">
      <c r="A156" s="43" t="n">
        <v>162</v>
      </c>
      <c r="B156" s="53" t="n"/>
      <c r="C156" s="55" t="n"/>
      <c r="D156" s="55" t="n"/>
      <c r="E156" s="55" t="n"/>
      <c r="F156" s="55" t="n"/>
      <c r="G156" s="63" t="n"/>
      <c r="H156" s="55" t="n"/>
      <c r="I156" s="55" t="n"/>
      <c r="J156" s="55" t="n"/>
      <c r="K156" s="55" t="n"/>
      <c r="L156" s="58">
        <f>IF(G156="","",IF(L155="",G156,L155+G156))</f>
        <v/>
      </c>
      <c r="M156" s="55" t="n"/>
    </row>
    <row r="157" ht="15.75" customHeight="1" s="99">
      <c r="A157" s="41" t="n">
        <v>163</v>
      </c>
      <c r="B157" s="45" t="n"/>
      <c r="C157" s="47" t="n"/>
      <c r="D157" s="47" t="n"/>
      <c r="E157" s="47" t="n"/>
      <c r="F157" s="47" t="n"/>
      <c r="G157" s="62" t="n"/>
      <c r="H157" s="47" t="n"/>
      <c r="I157" s="47" t="n"/>
      <c r="J157" s="47" t="n"/>
      <c r="K157" s="47" t="n"/>
      <c r="L157" s="50">
        <f>IF(G157="","",IF(L156="",G157,L156+G157))</f>
        <v/>
      </c>
      <c r="M157" s="47" t="n"/>
    </row>
    <row r="158" ht="15.75" customHeight="1" s="99">
      <c r="A158" s="43" t="n">
        <v>164</v>
      </c>
      <c r="B158" s="53" t="n"/>
      <c r="C158" s="55" t="n"/>
      <c r="D158" s="55" t="n"/>
      <c r="E158" s="55" t="n"/>
      <c r="F158" s="55" t="n"/>
      <c r="G158" s="63" t="n"/>
      <c r="H158" s="55" t="n"/>
      <c r="I158" s="55" t="n"/>
      <c r="J158" s="55" t="n"/>
      <c r="K158" s="55" t="n"/>
      <c r="L158" s="58">
        <f>IF(G158="","",IF(L157="",G158,L157+G158))</f>
        <v/>
      </c>
      <c r="M158" s="55" t="n"/>
    </row>
    <row r="159" ht="15.75" customHeight="1" s="99">
      <c r="A159" s="41" t="n">
        <v>165</v>
      </c>
      <c r="B159" s="45" t="n"/>
      <c r="C159" s="47" t="n"/>
      <c r="D159" s="47" t="n"/>
      <c r="E159" s="47" t="n"/>
      <c r="F159" s="47" t="n"/>
      <c r="G159" s="62" t="n"/>
      <c r="H159" s="47" t="n"/>
      <c r="I159" s="47" t="n"/>
      <c r="J159" s="47" t="n"/>
      <c r="K159" s="47" t="n"/>
      <c r="L159" s="50">
        <f>IF(G159="","",IF(L158="",G159,L158+G159))</f>
        <v/>
      </c>
      <c r="M159" s="47" t="n"/>
    </row>
    <row r="160" ht="15.75" customHeight="1" s="99">
      <c r="A160" s="43" t="n">
        <v>166</v>
      </c>
      <c r="B160" s="53" t="n"/>
      <c r="C160" s="55" t="n"/>
      <c r="D160" s="55" t="n"/>
      <c r="E160" s="55" t="n"/>
      <c r="F160" s="55" t="n"/>
      <c r="G160" s="63" t="n"/>
      <c r="H160" s="55" t="n"/>
      <c r="I160" s="55" t="n"/>
      <c r="J160" s="55" t="n"/>
      <c r="K160" s="55" t="n"/>
      <c r="L160" s="58">
        <f>IF(G160="","",IF(L159="",G160,L159+G160))</f>
        <v/>
      </c>
      <c r="M160" s="55" t="n"/>
    </row>
    <row r="161" ht="15.75" customHeight="1" s="99">
      <c r="A161" s="41" t="n">
        <v>167</v>
      </c>
      <c r="B161" s="45" t="n"/>
      <c r="C161" s="47" t="n"/>
      <c r="D161" s="47" t="n"/>
      <c r="E161" s="47" t="n"/>
      <c r="F161" s="47" t="n"/>
      <c r="G161" s="62" t="n"/>
      <c r="H161" s="47" t="n"/>
      <c r="I161" s="47" t="n"/>
      <c r="J161" s="47" t="n"/>
      <c r="K161" s="47" t="n"/>
      <c r="L161" s="50">
        <f>IF(G161="","",IF(L160="",G161,L160+G161))</f>
        <v/>
      </c>
      <c r="M161" s="47" t="n"/>
    </row>
    <row r="162" ht="15.75" customHeight="1" s="99">
      <c r="A162" s="43" t="n">
        <v>168</v>
      </c>
      <c r="B162" s="53" t="n"/>
      <c r="C162" s="55" t="n"/>
      <c r="D162" s="55" t="n"/>
      <c r="E162" s="55" t="n"/>
      <c r="F162" s="55" t="n"/>
      <c r="G162" s="63" t="n"/>
      <c r="H162" s="55" t="n"/>
      <c r="I162" s="55" t="n"/>
      <c r="J162" s="55" t="n"/>
      <c r="K162" s="55" t="n"/>
      <c r="L162" s="58">
        <f>IF(G162="","",IF(L161="",G162,L161+G162))</f>
        <v/>
      </c>
      <c r="M162" s="55" t="n"/>
    </row>
    <row r="163" ht="15.75" customHeight="1" s="99">
      <c r="A163" s="41" t="n">
        <v>169</v>
      </c>
      <c r="B163" s="45" t="n"/>
      <c r="C163" s="47" t="n"/>
      <c r="D163" s="47" t="n"/>
      <c r="E163" s="47" t="n"/>
      <c r="F163" s="47" t="n"/>
      <c r="G163" s="62" t="n"/>
      <c r="H163" s="47" t="n"/>
      <c r="I163" s="47" t="n"/>
      <c r="J163" s="47" t="n"/>
      <c r="K163" s="47" t="n"/>
      <c r="L163" s="50">
        <f>IF(G163="","",IF(L162="",G163,L162+G163))</f>
        <v/>
      </c>
      <c r="M163" s="47" t="n"/>
    </row>
    <row r="164" ht="15.75" customHeight="1" s="99">
      <c r="A164" s="43" t="n">
        <v>170</v>
      </c>
      <c r="B164" s="53" t="n"/>
      <c r="C164" s="55" t="n"/>
      <c r="D164" s="55" t="n"/>
      <c r="E164" s="55" t="n"/>
      <c r="F164" s="55" t="n"/>
      <c r="G164" s="63" t="n"/>
      <c r="H164" s="55" t="n"/>
      <c r="I164" s="55" t="n"/>
      <c r="J164" s="55" t="n"/>
      <c r="K164" s="55" t="n"/>
      <c r="L164" s="58">
        <f>IF(G164="","",IF(L163="",G164,L163+G164))</f>
        <v/>
      </c>
      <c r="M164" s="55" t="n"/>
    </row>
    <row r="165" ht="15.75" customHeight="1" s="99">
      <c r="A165" s="41" t="n">
        <v>171</v>
      </c>
      <c r="B165" s="45" t="n"/>
      <c r="C165" s="47" t="n"/>
      <c r="D165" s="47" t="n"/>
      <c r="E165" s="47" t="n"/>
      <c r="F165" s="47" t="n"/>
      <c r="G165" s="62" t="n"/>
      <c r="H165" s="47" t="n"/>
      <c r="I165" s="47" t="n"/>
      <c r="J165" s="47" t="n"/>
      <c r="K165" s="47" t="n"/>
      <c r="L165" s="50">
        <f>IF(G165="","",IF(L164="",G165,L164+G165))</f>
        <v/>
      </c>
      <c r="M165" s="47" t="n"/>
    </row>
    <row r="166" ht="15.75" customHeight="1" s="99">
      <c r="A166" s="43" t="n">
        <v>172</v>
      </c>
      <c r="B166" s="53" t="n"/>
      <c r="C166" s="55" t="n"/>
      <c r="D166" s="55" t="n"/>
      <c r="E166" s="55" t="n"/>
      <c r="F166" s="55" t="n"/>
      <c r="G166" s="63" t="n"/>
      <c r="H166" s="55" t="n"/>
      <c r="I166" s="55" t="n"/>
      <c r="J166" s="55" t="n"/>
      <c r="K166" s="55" t="n"/>
      <c r="L166" s="58">
        <f>IF(G166="","",IF(L165="",G166,L165+G166))</f>
        <v/>
      </c>
      <c r="M166" s="55" t="n"/>
    </row>
    <row r="167" ht="15.75" customHeight="1" s="99">
      <c r="A167" s="41" t="n">
        <v>173</v>
      </c>
      <c r="B167" s="45" t="n"/>
      <c r="C167" s="47" t="n"/>
      <c r="D167" s="47" t="n"/>
      <c r="E167" s="47" t="n"/>
      <c r="F167" s="47" t="n"/>
      <c r="G167" s="62" t="n"/>
      <c r="H167" s="47" t="n"/>
      <c r="I167" s="47" t="n"/>
      <c r="J167" s="47" t="n"/>
      <c r="K167" s="47" t="n"/>
      <c r="L167" s="50">
        <f>IF(G167="","",IF(L166="",G167,L166+G167))</f>
        <v/>
      </c>
      <c r="M167" s="47" t="n"/>
    </row>
    <row r="168" ht="15.75" customHeight="1" s="99">
      <c r="A168" s="43" t="n">
        <v>174</v>
      </c>
      <c r="B168" s="53" t="n"/>
      <c r="C168" s="55" t="n"/>
      <c r="D168" s="55" t="n"/>
      <c r="E168" s="55" t="n"/>
      <c r="F168" s="55" t="n"/>
      <c r="G168" s="63" t="n"/>
      <c r="H168" s="55" t="n"/>
      <c r="I168" s="55" t="n"/>
      <c r="J168" s="55" t="n"/>
      <c r="K168" s="55" t="n"/>
      <c r="L168" s="58">
        <f>IF(G168="","",IF(L167="",G168,L167+G168))</f>
        <v/>
      </c>
      <c r="M168" s="55" t="n"/>
    </row>
    <row r="169" ht="15.75" customHeight="1" s="99">
      <c r="A169" s="41" t="n">
        <v>175</v>
      </c>
      <c r="B169" s="45" t="n"/>
      <c r="C169" s="47" t="n"/>
      <c r="D169" s="47" t="n"/>
      <c r="E169" s="47" t="n"/>
      <c r="F169" s="47" t="n"/>
      <c r="G169" s="62" t="n"/>
      <c r="H169" s="47" t="n"/>
      <c r="I169" s="47" t="n"/>
      <c r="J169" s="47" t="n"/>
      <c r="K169" s="47" t="n"/>
      <c r="L169" s="50">
        <f>IF(G169="","",IF(L168="",G169,L168+G169))</f>
        <v/>
      </c>
      <c r="M169" s="47" t="n"/>
    </row>
    <row r="170" ht="15.75" customHeight="1" s="99">
      <c r="A170" s="43" t="n">
        <v>176</v>
      </c>
      <c r="B170" s="53" t="n"/>
      <c r="C170" s="55" t="n"/>
      <c r="D170" s="55" t="n"/>
      <c r="E170" s="55" t="n"/>
      <c r="F170" s="55" t="n"/>
      <c r="G170" s="63" t="n"/>
      <c r="H170" s="55" t="n"/>
      <c r="I170" s="55" t="n"/>
      <c r="J170" s="55" t="n"/>
      <c r="K170" s="55" t="n"/>
      <c r="L170" s="58">
        <f>IF(G170="","",IF(L169="",G170,L169+G170))</f>
        <v/>
      </c>
      <c r="M170" s="55" t="n"/>
    </row>
    <row r="171" ht="15.75" customHeight="1" s="99">
      <c r="A171" s="41" t="n">
        <v>177</v>
      </c>
      <c r="B171" s="45" t="n"/>
      <c r="C171" s="47" t="n"/>
      <c r="D171" s="47" t="n"/>
      <c r="E171" s="47" t="n"/>
      <c r="F171" s="47" t="n"/>
      <c r="G171" s="62" t="n"/>
      <c r="H171" s="47" t="n"/>
      <c r="I171" s="47" t="n"/>
      <c r="J171" s="47" t="n"/>
      <c r="K171" s="47" t="n"/>
      <c r="L171" s="50">
        <f>IF(G171="","",IF(L170="",G171,L170+G171))</f>
        <v/>
      </c>
      <c r="M171" s="47" t="n"/>
    </row>
    <row r="172" ht="15.75" customHeight="1" s="99">
      <c r="A172" s="43" t="n">
        <v>178</v>
      </c>
      <c r="B172" s="53" t="n"/>
      <c r="C172" s="55" t="n"/>
      <c r="D172" s="55" t="n"/>
      <c r="E172" s="55" t="n"/>
      <c r="F172" s="55" t="n"/>
      <c r="G172" s="63" t="n"/>
      <c r="H172" s="55" t="n"/>
      <c r="I172" s="55" t="n"/>
      <c r="J172" s="55" t="n"/>
      <c r="K172" s="55" t="n"/>
      <c r="L172" s="58">
        <f>IF(G172="","",IF(L171="",G172,L171+G172))</f>
        <v/>
      </c>
      <c r="M172" s="55" t="n"/>
    </row>
    <row r="173" ht="15.75" customHeight="1" s="99">
      <c r="A173" s="41" t="n">
        <v>179</v>
      </c>
      <c r="B173" s="45" t="n"/>
      <c r="C173" s="47" t="n"/>
      <c r="D173" s="47" t="n"/>
      <c r="E173" s="47" t="n"/>
      <c r="F173" s="47" t="n"/>
      <c r="G173" s="62" t="n"/>
      <c r="H173" s="47" t="n"/>
      <c r="I173" s="47" t="n"/>
      <c r="J173" s="47" t="n"/>
      <c r="K173" s="47" t="n"/>
      <c r="L173" s="50">
        <f>IF(G173="","",IF(L172="",G173,L172+G173))</f>
        <v/>
      </c>
      <c r="M173" s="47" t="n"/>
    </row>
    <row r="174" ht="15.75" customHeight="1" s="99">
      <c r="A174" s="43" t="n">
        <v>180</v>
      </c>
      <c r="B174" s="53" t="n"/>
      <c r="C174" s="55" t="n"/>
      <c r="D174" s="55" t="n"/>
      <c r="E174" s="55" t="n"/>
      <c r="F174" s="55" t="n"/>
      <c r="G174" s="63" t="n"/>
      <c r="H174" s="55" t="n"/>
      <c r="I174" s="55" t="n"/>
      <c r="J174" s="55" t="n"/>
      <c r="K174" s="55" t="n"/>
      <c r="L174" s="58">
        <f>IF(G174="","",IF(L173="",G174,L173+G174))</f>
        <v/>
      </c>
      <c r="M174" s="55" t="n"/>
    </row>
    <row r="175" ht="15.75" customHeight="1" s="99">
      <c r="A175" s="41" t="n">
        <v>181</v>
      </c>
      <c r="B175" s="45" t="n"/>
      <c r="C175" s="47" t="n"/>
      <c r="D175" s="47" t="n"/>
      <c r="E175" s="47" t="n"/>
      <c r="F175" s="47" t="n"/>
      <c r="G175" s="62" t="n"/>
      <c r="H175" s="47" t="n"/>
      <c r="I175" s="47" t="n"/>
      <c r="J175" s="47" t="n"/>
      <c r="K175" s="47" t="n"/>
      <c r="L175" s="50">
        <f>IF(G175="","",IF(L174="",G175,L174+G175))</f>
        <v/>
      </c>
      <c r="M175" s="47" t="n"/>
    </row>
    <row r="176" ht="15.75" customHeight="1" s="99">
      <c r="A176" s="43" t="n">
        <v>182</v>
      </c>
      <c r="B176" s="53" t="n"/>
      <c r="C176" s="55" t="n"/>
      <c r="D176" s="55" t="n"/>
      <c r="E176" s="55" t="n"/>
      <c r="F176" s="55" t="n"/>
      <c r="G176" s="63" t="n"/>
      <c r="H176" s="55" t="n"/>
      <c r="I176" s="55" t="n"/>
      <c r="J176" s="55" t="n"/>
      <c r="K176" s="55" t="n"/>
      <c r="L176" s="58">
        <f>IF(G176="","",IF(L175="",G176,L175+G176))</f>
        <v/>
      </c>
      <c r="M176" s="55" t="n"/>
    </row>
    <row r="177" ht="15.75" customHeight="1" s="99">
      <c r="A177" s="41" t="n">
        <v>183</v>
      </c>
      <c r="B177" s="45" t="n"/>
      <c r="C177" s="47" t="n"/>
      <c r="D177" s="47" t="n"/>
      <c r="E177" s="47" t="n"/>
      <c r="F177" s="47" t="n"/>
      <c r="G177" s="62" t="n"/>
      <c r="H177" s="47" t="n"/>
      <c r="I177" s="47" t="n"/>
      <c r="J177" s="47" t="n"/>
      <c r="K177" s="47" t="n"/>
      <c r="L177" s="50">
        <f>IF(G177="","",IF(L176="",G177,L176+G177))</f>
        <v/>
      </c>
      <c r="M177" s="47" t="n"/>
    </row>
    <row r="178" ht="15.75" customHeight="1" s="99">
      <c r="A178" s="43" t="n">
        <v>184</v>
      </c>
      <c r="B178" s="53" t="n"/>
      <c r="C178" s="55" t="n"/>
      <c r="D178" s="55" t="n"/>
      <c r="E178" s="55" t="n"/>
      <c r="F178" s="55" t="n"/>
      <c r="G178" s="63" t="n"/>
      <c r="H178" s="55" t="n"/>
      <c r="I178" s="55" t="n"/>
      <c r="J178" s="55" t="n"/>
      <c r="K178" s="55" t="n"/>
      <c r="L178" s="58">
        <f>IF(G178="","",IF(L177="",G178,L177+G178))</f>
        <v/>
      </c>
      <c r="M178" s="55" t="n"/>
    </row>
    <row r="179" ht="15.75" customHeight="1" s="99">
      <c r="A179" s="41" t="n">
        <v>185</v>
      </c>
      <c r="B179" s="45" t="n"/>
      <c r="C179" s="47" t="n"/>
      <c r="D179" s="47" t="n"/>
      <c r="E179" s="47" t="n"/>
      <c r="F179" s="47" t="n"/>
      <c r="G179" s="62" t="n"/>
      <c r="H179" s="47" t="n"/>
      <c r="I179" s="47" t="n"/>
      <c r="J179" s="47" t="n"/>
      <c r="K179" s="47" t="n"/>
      <c r="L179" s="50">
        <f>IF(G179="","",IF(L178="",G179,L178+G179))</f>
        <v/>
      </c>
      <c r="M179" s="47" t="n"/>
    </row>
    <row r="180" ht="15.75" customHeight="1" s="99">
      <c r="A180" s="43" t="n">
        <v>186</v>
      </c>
      <c r="B180" s="53" t="n"/>
      <c r="C180" s="55" t="n"/>
      <c r="D180" s="55" t="n"/>
      <c r="E180" s="55" t="n"/>
      <c r="F180" s="55" t="n"/>
      <c r="G180" s="63" t="n"/>
      <c r="H180" s="55" t="n"/>
      <c r="I180" s="55" t="n"/>
      <c r="J180" s="55" t="n"/>
      <c r="K180" s="55" t="n"/>
      <c r="L180" s="58">
        <f>IF(G180="","",IF(L179="",G180,L179+G180))</f>
        <v/>
      </c>
      <c r="M180" s="55" t="n"/>
    </row>
    <row r="181" ht="15.75" customHeight="1" s="99">
      <c r="A181" s="41" t="n">
        <v>187</v>
      </c>
      <c r="B181" s="45" t="n"/>
      <c r="C181" s="47" t="n"/>
      <c r="D181" s="47" t="n"/>
      <c r="E181" s="47" t="n"/>
      <c r="F181" s="47" t="n"/>
      <c r="G181" s="62" t="n"/>
      <c r="H181" s="47" t="n"/>
      <c r="I181" s="47" t="n"/>
      <c r="J181" s="47" t="n"/>
      <c r="K181" s="47" t="n"/>
      <c r="L181" s="50">
        <f>IF(G181="","",IF(L180="",G181,L180+G181))</f>
        <v/>
      </c>
      <c r="M181" s="47" t="n"/>
    </row>
    <row r="182" ht="15.75" customHeight="1" s="99">
      <c r="A182" s="43" t="n">
        <v>188</v>
      </c>
      <c r="B182" s="53" t="n"/>
      <c r="C182" s="55" t="n"/>
      <c r="D182" s="55" t="n"/>
      <c r="E182" s="55" t="n"/>
      <c r="F182" s="55" t="n"/>
      <c r="G182" s="63" t="n"/>
      <c r="H182" s="55" t="n"/>
      <c r="I182" s="55" t="n"/>
      <c r="J182" s="55" t="n"/>
      <c r="K182" s="55" t="n"/>
      <c r="L182" s="58">
        <f>IF(G182="","",IF(L181="",G182,L181+G182))</f>
        <v/>
      </c>
      <c r="M182" s="55" t="n"/>
    </row>
    <row r="183" ht="15.75" customHeight="1" s="99">
      <c r="A183" s="41" t="n">
        <v>189</v>
      </c>
      <c r="B183" s="45" t="n"/>
      <c r="C183" s="47" t="n"/>
      <c r="D183" s="47" t="n"/>
      <c r="E183" s="47" t="n"/>
      <c r="F183" s="47" t="n"/>
      <c r="G183" s="62" t="n"/>
      <c r="H183" s="47" t="n"/>
      <c r="I183" s="47" t="n"/>
      <c r="J183" s="47" t="n"/>
      <c r="K183" s="47" t="n"/>
      <c r="L183" s="50">
        <f>IF(G183="","",IF(L182="",G183,L182+G183))</f>
        <v/>
      </c>
      <c r="M183" s="47" t="n"/>
    </row>
    <row r="184" ht="15.75" customHeight="1" s="99">
      <c r="A184" s="43" t="n">
        <v>190</v>
      </c>
      <c r="B184" s="53" t="n"/>
      <c r="C184" s="55" t="n"/>
      <c r="D184" s="55" t="n"/>
      <c r="E184" s="55" t="n"/>
      <c r="F184" s="55" t="n"/>
      <c r="G184" s="63" t="n"/>
      <c r="H184" s="55" t="n"/>
      <c r="I184" s="55" t="n"/>
      <c r="J184" s="55" t="n"/>
      <c r="K184" s="55" t="n"/>
      <c r="L184" s="58">
        <f>IF(G184="","",IF(L183="",G184,L183+G184))</f>
        <v/>
      </c>
      <c r="M184" s="55" t="n"/>
    </row>
    <row r="185" ht="15.75" customHeight="1" s="99">
      <c r="A185" s="41" t="n">
        <v>191</v>
      </c>
      <c r="B185" s="45" t="n"/>
      <c r="C185" s="47" t="n"/>
      <c r="D185" s="47" t="n"/>
      <c r="E185" s="47" t="n"/>
      <c r="F185" s="47" t="n"/>
      <c r="G185" s="62" t="n"/>
      <c r="H185" s="47" t="n"/>
      <c r="I185" s="47" t="n"/>
      <c r="J185" s="47" t="n"/>
      <c r="K185" s="47" t="n"/>
      <c r="L185" s="50">
        <f>IF(G185="","",IF(L184="",G185,L184+G185))</f>
        <v/>
      </c>
      <c r="M185" s="47" t="n"/>
    </row>
    <row r="186" ht="15.75" customHeight="1" s="99">
      <c r="A186" s="43" t="n">
        <v>192</v>
      </c>
      <c r="B186" s="53" t="n"/>
      <c r="C186" s="55" t="n"/>
      <c r="D186" s="55" t="n"/>
      <c r="E186" s="55" t="n"/>
      <c r="F186" s="55" t="n"/>
      <c r="G186" s="63" t="n"/>
      <c r="H186" s="55" t="n"/>
      <c r="I186" s="55" t="n"/>
      <c r="J186" s="55" t="n"/>
      <c r="K186" s="55" t="n"/>
      <c r="L186" s="58">
        <f>IF(G186="","",IF(L185="",G186,L185+G186))</f>
        <v/>
      </c>
      <c r="M186" s="55" t="n"/>
    </row>
    <row r="187" ht="15.75" customHeight="1" s="99">
      <c r="A187" s="41" t="n">
        <v>193</v>
      </c>
      <c r="B187" s="45" t="n"/>
      <c r="C187" s="47" t="n"/>
      <c r="D187" s="47" t="n"/>
      <c r="E187" s="47" t="n"/>
      <c r="F187" s="47" t="n"/>
      <c r="G187" s="62" t="n"/>
      <c r="H187" s="47" t="n"/>
      <c r="I187" s="47" t="n"/>
      <c r="J187" s="47" t="n"/>
      <c r="K187" s="47" t="n"/>
      <c r="L187" s="50">
        <f>IF(G187="","",IF(L186="",G187,L186+G187))</f>
        <v/>
      </c>
      <c r="M187" s="47" t="n"/>
    </row>
    <row r="188" ht="15.75" customHeight="1" s="99">
      <c r="A188" s="43" t="n">
        <v>194</v>
      </c>
      <c r="B188" s="53" t="n"/>
      <c r="C188" s="55" t="n"/>
      <c r="D188" s="55" t="n"/>
      <c r="E188" s="55" t="n"/>
      <c r="F188" s="55" t="n"/>
      <c r="G188" s="63" t="n"/>
      <c r="H188" s="55" t="n"/>
      <c r="I188" s="55" t="n"/>
      <c r="J188" s="55" t="n"/>
      <c r="K188" s="55" t="n"/>
      <c r="L188" s="58">
        <f>IF(G188="","",IF(L187="",G188,L187+G188))</f>
        <v/>
      </c>
      <c r="M188" s="55" t="n"/>
    </row>
    <row r="189" ht="15.75" customHeight="1" s="99">
      <c r="A189" s="41" t="n">
        <v>195</v>
      </c>
      <c r="B189" s="45" t="n"/>
      <c r="C189" s="47" t="n"/>
      <c r="D189" s="47" t="n"/>
      <c r="E189" s="47" t="n"/>
      <c r="F189" s="47" t="n"/>
      <c r="G189" s="62" t="n"/>
      <c r="H189" s="47" t="n"/>
      <c r="I189" s="47" t="n"/>
      <c r="J189" s="47" t="n"/>
      <c r="K189" s="47" t="n"/>
      <c r="L189" s="50">
        <f>IF(G189="","",IF(L188="",G189,L188+G189))</f>
        <v/>
      </c>
      <c r="M189" s="47" t="n"/>
    </row>
    <row r="190" ht="15.75" customHeight="1" s="99">
      <c r="A190" s="43" t="n">
        <v>196</v>
      </c>
      <c r="B190" s="53" t="n"/>
      <c r="C190" s="55" t="n"/>
      <c r="D190" s="55" t="n"/>
      <c r="E190" s="55" t="n"/>
      <c r="F190" s="55" t="n"/>
      <c r="G190" s="63" t="n"/>
      <c r="H190" s="55" t="n"/>
      <c r="I190" s="55" t="n"/>
      <c r="J190" s="55" t="n"/>
      <c r="K190" s="55" t="n"/>
      <c r="L190" s="58">
        <f>IF(G190="","",IF(L189="",G190,L189+G190))</f>
        <v/>
      </c>
      <c r="M190" s="55" t="n"/>
    </row>
    <row r="191" ht="15.75" customHeight="1" s="99">
      <c r="A191" s="41" t="n">
        <v>197</v>
      </c>
      <c r="B191" s="45" t="n"/>
      <c r="C191" s="47" t="n"/>
      <c r="D191" s="47" t="n"/>
      <c r="E191" s="47" t="n"/>
      <c r="F191" s="47" t="n"/>
      <c r="G191" s="62" t="n"/>
      <c r="H191" s="47" t="n"/>
      <c r="I191" s="47" t="n"/>
      <c r="J191" s="47" t="n"/>
      <c r="K191" s="47" t="n"/>
      <c r="L191" s="50">
        <f>IF(G191="","",IF(L190="",G191,L190+G191))</f>
        <v/>
      </c>
      <c r="M191" s="47" t="n"/>
    </row>
    <row r="192" ht="15.75" customHeight="1" s="99">
      <c r="A192" s="43" t="n">
        <v>198</v>
      </c>
      <c r="B192" s="53" t="n"/>
      <c r="C192" s="55" t="n"/>
      <c r="D192" s="55" t="n"/>
      <c r="E192" s="55" t="n"/>
      <c r="F192" s="55" t="n"/>
      <c r="G192" s="63" t="n"/>
      <c r="H192" s="55" t="n"/>
      <c r="I192" s="55" t="n"/>
      <c r="J192" s="55" t="n"/>
      <c r="K192" s="55" t="n"/>
      <c r="L192" s="58">
        <f>IF(G192="","",IF(L191="",G192,L191+G192))</f>
        <v/>
      </c>
      <c r="M192" s="55" t="n"/>
    </row>
    <row r="193" ht="15.75" customHeight="1" s="99">
      <c r="A193" s="41" t="n">
        <v>199</v>
      </c>
      <c r="B193" s="45" t="n"/>
      <c r="C193" s="47" t="n"/>
      <c r="D193" s="47" t="n"/>
      <c r="E193" s="47" t="n"/>
      <c r="F193" s="47" t="n"/>
      <c r="G193" s="62" t="n"/>
      <c r="H193" s="47" t="n"/>
      <c r="I193" s="47" t="n"/>
      <c r="J193" s="47" t="n"/>
      <c r="K193" s="47" t="n"/>
      <c r="L193" s="50">
        <f>IF(G193="","",IF(L192="",G193,L192+G193))</f>
        <v/>
      </c>
      <c r="M193" s="47" t="n"/>
    </row>
    <row r="194" ht="15.75" customHeight="1" s="99">
      <c r="A194" s="43" t="n">
        <v>200</v>
      </c>
      <c r="B194" s="53" t="n"/>
      <c r="C194" s="55" t="n"/>
      <c r="D194" s="55" t="n"/>
      <c r="E194" s="55" t="n"/>
      <c r="F194" s="55" t="n"/>
      <c r="G194" s="63" t="n"/>
      <c r="H194" s="55" t="n"/>
      <c r="I194" s="55" t="n"/>
      <c r="J194" s="55" t="n"/>
      <c r="K194" s="55" t="n"/>
      <c r="L194" s="58">
        <f>IF(G194="","",IF(L193="",G194,L193+G194))</f>
        <v/>
      </c>
      <c r="M194" s="55" t="n"/>
    </row>
    <row r="195" ht="15.75" customHeight="1" s="99">
      <c r="A195" s="41" t="n">
        <v>201</v>
      </c>
      <c r="B195" s="45" t="n"/>
      <c r="C195" s="47" t="n"/>
      <c r="D195" s="47" t="n"/>
      <c r="E195" s="47" t="n"/>
      <c r="F195" s="47" t="n"/>
      <c r="G195" s="62" t="n"/>
      <c r="H195" s="47" t="n"/>
      <c r="I195" s="47" t="n"/>
      <c r="J195" s="47" t="n"/>
      <c r="K195" s="47" t="n"/>
      <c r="L195" s="50">
        <f>IF(G195="","",IF(L194="",G195,L194+G195))</f>
        <v/>
      </c>
      <c r="M195" s="47" t="n"/>
    </row>
    <row r="196" ht="15.75" customHeight="1" s="99">
      <c r="A196" s="43" t="n">
        <v>202</v>
      </c>
      <c r="B196" s="53" t="n"/>
      <c r="C196" s="55" t="n"/>
      <c r="D196" s="55" t="n"/>
      <c r="E196" s="55" t="n"/>
      <c r="F196" s="55" t="n"/>
      <c r="G196" s="63" t="n"/>
      <c r="H196" s="55" t="n"/>
      <c r="I196" s="55" t="n"/>
      <c r="J196" s="55" t="n"/>
      <c r="K196" s="55" t="n"/>
      <c r="L196" s="58">
        <f>IF(G196="","",IF(L195="",G196,L195+G196))</f>
        <v/>
      </c>
      <c r="M196" s="55" t="n"/>
    </row>
    <row r="197" ht="15.75" customHeight="1" s="99">
      <c r="A197" s="41" t="n">
        <v>203</v>
      </c>
      <c r="B197" s="45" t="n"/>
      <c r="C197" s="47" t="n"/>
      <c r="D197" s="47" t="n"/>
      <c r="E197" s="47" t="n"/>
      <c r="F197" s="47" t="n"/>
      <c r="G197" s="62" t="n"/>
      <c r="H197" s="47" t="n"/>
      <c r="I197" s="47" t="n"/>
      <c r="J197" s="47" t="n"/>
      <c r="K197" s="47" t="n"/>
      <c r="L197" s="50">
        <f>IF(G197="","",IF(L196="",G197,L196+G197))</f>
        <v/>
      </c>
      <c r="M197" s="47" t="n"/>
    </row>
    <row r="198" ht="15.75" customHeight="1" s="99">
      <c r="A198" s="43" t="n">
        <v>204</v>
      </c>
      <c r="B198" s="53" t="n"/>
      <c r="C198" s="55" t="n"/>
      <c r="D198" s="55" t="n"/>
      <c r="E198" s="55" t="n"/>
      <c r="F198" s="55" t="n"/>
      <c r="G198" s="63" t="n"/>
      <c r="H198" s="55" t="n"/>
      <c r="I198" s="55" t="n"/>
      <c r="J198" s="55" t="n"/>
      <c r="K198" s="55" t="n"/>
      <c r="L198" s="58">
        <f>IF(G198="","",IF(L197="",G198,L197+G198))</f>
        <v/>
      </c>
      <c r="M198" s="55" t="n"/>
    </row>
    <row r="199" ht="15.75" customHeight="1" s="99">
      <c r="A199" s="41" t="n">
        <v>205</v>
      </c>
      <c r="B199" s="45" t="n"/>
      <c r="C199" s="47" t="n"/>
      <c r="D199" s="47" t="n"/>
      <c r="E199" s="47" t="n"/>
      <c r="F199" s="47" t="n"/>
      <c r="G199" s="62" t="n"/>
      <c r="H199" s="47" t="n"/>
      <c r="I199" s="47" t="n"/>
      <c r="J199" s="47" t="n"/>
      <c r="K199" s="47" t="n"/>
      <c r="L199" s="50">
        <f>IF(G199="","",IF(L198="",G199,L198+G199))</f>
        <v/>
      </c>
      <c r="M199" s="47" t="n"/>
    </row>
    <row r="200" ht="15.75" customHeight="1" s="99">
      <c r="A200" s="43" t="n">
        <v>206</v>
      </c>
      <c r="B200" s="53" t="n"/>
      <c r="C200" s="55" t="n"/>
      <c r="D200" s="55" t="n"/>
      <c r="E200" s="55" t="n"/>
      <c r="F200" s="55" t="n"/>
      <c r="G200" s="63" t="n"/>
      <c r="H200" s="55" t="n"/>
      <c r="I200" s="55" t="n"/>
      <c r="J200" s="55" t="n"/>
      <c r="K200" s="55" t="n"/>
      <c r="L200" s="58">
        <f>IF(G200="","",IF(L199="",G200,L199+G200))</f>
        <v/>
      </c>
      <c r="M200" s="55" t="n"/>
    </row>
    <row r="201" ht="15.75" customHeight="1" s="99">
      <c r="A201" s="41" t="n">
        <v>207</v>
      </c>
      <c r="B201" s="45" t="n"/>
      <c r="C201" s="47" t="n"/>
      <c r="D201" s="47" t="n"/>
      <c r="E201" s="47" t="n"/>
      <c r="F201" s="47" t="n"/>
      <c r="G201" s="62" t="n"/>
      <c r="H201" s="47" t="n"/>
      <c r="I201" s="47" t="n"/>
      <c r="J201" s="47" t="n"/>
      <c r="K201" s="47" t="n"/>
      <c r="L201" s="50">
        <f>IF(G201="","",IF(L200="",G201,L200+G201))</f>
        <v/>
      </c>
      <c r="M201" s="47" t="n"/>
    </row>
    <row r="202" ht="15.75" customHeight="1" s="99">
      <c r="A202" s="43" t="n">
        <v>208</v>
      </c>
      <c r="B202" s="53" t="n"/>
      <c r="C202" s="55" t="n"/>
      <c r="D202" s="55" t="n"/>
      <c r="E202" s="55" t="n"/>
      <c r="F202" s="55" t="n"/>
      <c r="G202" s="63" t="n"/>
      <c r="H202" s="55" t="n"/>
      <c r="I202" s="55" t="n"/>
      <c r="J202" s="55" t="n"/>
      <c r="K202" s="55" t="n"/>
      <c r="L202" s="58">
        <f>IF(G202="","",IF(L201="",G202,L201+G202))</f>
        <v/>
      </c>
      <c r="M202" s="55" t="n"/>
    </row>
    <row r="203" ht="15.75" customHeight="1" s="99">
      <c r="A203" s="41" t="n">
        <v>209</v>
      </c>
      <c r="B203" s="45" t="n"/>
      <c r="C203" s="47" t="n"/>
      <c r="D203" s="47" t="n"/>
      <c r="E203" s="47" t="n"/>
      <c r="F203" s="47" t="n"/>
      <c r="G203" s="62" t="n"/>
      <c r="H203" s="47" t="n"/>
      <c r="I203" s="47" t="n"/>
      <c r="J203" s="47" t="n"/>
      <c r="K203" s="47" t="n"/>
      <c r="L203" s="50">
        <f>IF(G203="","",IF(L202="",G203,L202+G203))</f>
        <v/>
      </c>
      <c r="M203" s="47" t="n"/>
    </row>
    <row r="204" ht="15.75" customHeight="1" s="99">
      <c r="A204" s="43" t="n">
        <v>210</v>
      </c>
      <c r="B204" s="53" t="n"/>
      <c r="C204" s="55" t="n"/>
      <c r="D204" s="55" t="n"/>
      <c r="E204" s="55" t="n"/>
      <c r="F204" s="55" t="n"/>
      <c r="G204" s="63" t="n"/>
      <c r="H204" s="55" t="n"/>
      <c r="I204" s="55" t="n"/>
      <c r="J204" s="55" t="n"/>
      <c r="K204" s="55" t="n"/>
      <c r="L204" s="58">
        <f>IF(G204="","",IF(L203="",G204,L203+G204))</f>
        <v/>
      </c>
      <c r="M204" s="55" t="n"/>
    </row>
    <row r="205" ht="15.75" customHeight="1" s="99">
      <c r="A205" s="41" t="n">
        <v>211</v>
      </c>
      <c r="B205" s="45" t="n"/>
      <c r="C205" s="47" t="n"/>
      <c r="D205" s="47" t="n"/>
      <c r="E205" s="47" t="n"/>
      <c r="F205" s="47" t="n"/>
      <c r="G205" s="62" t="n"/>
      <c r="H205" s="47" t="n"/>
      <c r="I205" s="47" t="n"/>
      <c r="J205" s="47" t="n"/>
      <c r="K205" s="47" t="n"/>
      <c r="L205" s="50">
        <f>IF(G205="","",IF(L204="",G205,L204+G205))</f>
        <v/>
      </c>
      <c r="M205" s="47" t="n"/>
    </row>
    <row r="206" ht="15.75" customHeight="1" s="99">
      <c r="A206" s="43" t="n">
        <v>212</v>
      </c>
      <c r="B206" s="53" t="n"/>
      <c r="C206" s="55" t="n"/>
      <c r="D206" s="55" t="n"/>
      <c r="E206" s="55" t="n"/>
      <c r="F206" s="55" t="n"/>
      <c r="G206" s="63" t="n"/>
      <c r="H206" s="55" t="n"/>
      <c r="I206" s="55" t="n"/>
      <c r="J206" s="55" t="n"/>
      <c r="K206" s="55" t="n"/>
      <c r="L206" s="58">
        <f>IF(G206="","",IF(L205="",G206,L205+G206))</f>
        <v/>
      </c>
      <c r="M206" s="55" t="n"/>
    </row>
    <row r="207" ht="15.75" customHeight="1" s="99">
      <c r="A207" s="41" t="n">
        <v>213</v>
      </c>
      <c r="B207" s="45" t="n"/>
      <c r="C207" s="47" t="n"/>
      <c r="D207" s="47" t="n"/>
      <c r="E207" s="47" t="n"/>
      <c r="F207" s="47" t="n"/>
      <c r="G207" s="62" t="n"/>
      <c r="H207" s="47" t="n"/>
      <c r="I207" s="47" t="n"/>
      <c r="J207" s="47" t="n"/>
      <c r="K207" s="47" t="n"/>
      <c r="L207" s="50">
        <f>IF(G207="","",IF(L206="",G207,L206+G207))</f>
        <v/>
      </c>
      <c r="M207" s="47" t="n"/>
    </row>
    <row r="208" ht="15.75" customHeight="1" s="99">
      <c r="A208" s="43" t="n">
        <v>214</v>
      </c>
      <c r="B208" s="53" t="n"/>
      <c r="C208" s="55" t="n"/>
      <c r="D208" s="55" t="n"/>
      <c r="E208" s="55" t="n"/>
      <c r="F208" s="55" t="n"/>
      <c r="G208" s="63" t="n"/>
      <c r="H208" s="55" t="n"/>
      <c r="I208" s="55" t="n"/>
      <c r="J208" s="55" t="n"/>
      <c r="K208" s="55" t="n"/>
      <c r="L208" s="58">
        <f>IF(G208="","",IF(L207="",G208,L207+G208))</f>
        <v/>
      </c>
      <c r="M208" s="55" t="n"/>
    </row>
    <row r="209" ht="15.75" customHeight="1" s="99">
      <c r="A209" s="41" t="n">
        <v>215</v>
      </c>
      <c r="B209" s="45" t="n"/>
      <c r="C209" s="47" t="n"/>
      <c r="D209" s="47" t="n"/>
      <c r="E209" s="47" t="n"/>
      <c r="F209" s="47" t="n"/>
      <c r="G209" s="62" t="n"/>
      <c r="H209" s="47" t="n"/>
      <c r="I209" s="47" t="n"/>
      <c r="J209" s="47" t="n"/>
      <c r="K209" s="47" t="n"/>
      <c r="L209" s="50">
        <f>IF(G209="","",IF(L208="",G209,L208+G209))</f>
        <v/>
      </c>
      <c r="M209" s="47" t="n"/>
    </row>
    <row r="210" ht="15.75" customHeight="1" s="99">
      <c r="A210" s="43" t="n">
        <v>216</v>
      </c>
      <c r="B210" s="53" t="n"/>
      <c r="C210" s="55" t="n"/>
      <c r="D210" s="55" t="n"/>
      <c r="E210" s="55" t="n"/>
      <c r="F210" s="55" t="n"/>
      <c r="G210" s="63" t="n"/>
      <c r="H210" s="55" t="n"/>
      <c r="I210" s="55" t="n"/>
      <c r="J210" s="55" t="n"/>
      <c r="K210" s="55" t="n"/>
      <c r="L210" s="58">
        <f>IF(G210="","",IF(L209="",G210,L209+G210))</f>
        <v/>
      </c>
      <c r="M210" s="55" t="n"/>
    </row>
    <row r="211" ht="15.75" customHeight="1" s="99">
      <c r="A211" s="41" t="n">
        <v>217</v>
      </c>
      <c r="B211" s="45" t="n"/>
      <c r="C211" s="47" t="n"/>
      <c r="D211" s="47" t="n"/>
      <c r="E211" s="47" t="n"/>
      <c r="F211" s="47" t="n"/>
      <c r="G211" s="62" t="n"/>
      <c r="H211" s="47" t="n"/>
      <c r="I211" s="47" t="n"/>
      <c r="J211" s="47" t="n"/>
      <c r="K211" s="47" t="n"/>
      <c r="L211" s="50">
        <f>IF(G211="","",IF(L210="",G211,L210+G211))</f>
        <v/>
      </c>
      <c r="M211" s="47" t="n"/>
    </row>
    <row r="212" ht="15.75" customHeight="1" s="99">
      <c r="A212" s="43" t="n">
        <v>218</v>
      </c>
      <c r="B212" s="53" t="n"/>
      <c r="C212" s="55" t="n"/>
      <c r="D212" s="55" t="n"/>
      <c r="E212" s="55" t="n"/>
      <c r="F212" s="55" t="n"/>
      <c r="G212" s="63" t="n"/>
      <c r="H212" s="55" t="n"/>
      <c r="I212" s="55" t="n"/>
      <c r="J212" s="55" t="n"/>
      <c r="K212" s="55" t="n"/>
      <c r="L212" s="58">
        <f>IF(G212="","",IF(L211="",G212,L211+G212))</f>
        <v/>
      </c>
      <c r="M212" s="55" t="n"/>
    </row>
    <row r="213" ht="15.75" customHeight="1" s="99">
      <c r="A213" s="41" t="n">
        <v>219</v>
      </c>
      <c r="B213" s="45" t="n"/>
      <c r="C213" s="47" t="n"/>
      <c r="D213" s="47" t="n"/>
      <c r="E213" s="47" t="n"/>
      <c r="F213" s="47" t="n"/>
      <c r="G213" s="62" t="n"/>
      <c r="H213" s="47" t="n"/>
      <c r="I213" s="47" t="n"/>
      <c r="J213" s="47" t="n"/>
      <c r="K213" s="47" t="n"/>
      <c r="L213" s="50">
        <f>IF(G213="","",IF(L212="",G213,L212+G213))</f>
        <v/>
      </c>
      <c r="M213" s="47" t="n"/>
    </row>
    <row r="214" ht="15.75" customHeight="1" s="99">
      <c r="A214" s="43" t="n">
        <v>220</v>
      </c>
      <c r="B214" s="53" t="n"/>
      <c r="C214" s="55" t="n"/>
      <c r="D214" s="55" t="n"/>
      <c r="E214" s="55" t="n"/>
      <c r="F214" s="55" t="n"/>
      <c r="G214" s="63" t="n"/>
      <c r="H214" s="55" t="n"/>
      <c r="I214" s="55" t="n"/>
      <c r="J214" s="55" t="n"/>
      <c r="K214" s="55" t="n"/>
      <c r="L214" s="58">
        <f>IF(G214="","",IF(L213="",G214,L213+G214))</f>
        <v/>
      </c>
      <c r="M214" s="55" t="n"/>
    </row>
    <row r="215" ht="15.75" customHeight="1" s="99">
      <c r="A215" s="41" t="n">
        <v>221</v>
      </c>
      <c r="B215" s="45" t="n"/>
      <c r="C215" s="47" t="n"/>
      <c r="D215" s="47" t="n"/>
      <c r="E215" s="47" t="n"/>
      <c r="F215" s="47" t="n"/>
      <c r="G215" s="62" t="n"/>
      <c r="H215" s="47" t="n"/>
      <c r="I215" s="47" t="n"/>
      <c r="J215" s="47" t="n"/>
      <c r="K215" s="47" t="n"/>
      <c r="L215" s="50">
        <f>IF(G215="","",IF(L214="",G215,L214+G215))</f>
        <v/>
      </c>
      <c r="M215" s="47" t="n"/>
    </row>
    <row r="216" ht="15.75" customHeight="1" s="99">
      <c r="A216" s="43" t="n">
        <v>222</v>
      </c>
      <c r="B216" s="53" t="n"/>
      <c r="C216" s="55" t="n"/>
      <c r="D216" s="55" t="n"/>
      <c r="E216" s="55" t="n"/>
      <c r="F216" s="55" t="n"/>
      <c r="G216" s="63" t="n"/>
      <c r="H216" s="55" t="n"/>
      <c r="I216" s="55" t="n"/>
      <c r="J216" s="55" t="n"/>
      <c r="K216" s="55" t="n"/>
      <c r="L216" s="58">
        <f>IF(G216="","",IF(L215="",G216,L215+G216))</f>
        <v/>
      </c>
      <c r="M216" s="55" t="n"/>
    </row>
    <row r="217" ht="15.75" customHeight="1" s="99">
      <c r="A217" s="41" t="n">
        <v>223</v>
      </c>
      <c r="B217" s="45" t="n"/>
      <c r="C217" s="47" t="n"/>
      <c r="D217" s="47" t="n"/>
      <c r="E217" s="47" t="n"/>
      <c r="F217" s="47" t="n"/>
      <c r="G217" s="62" t="n"/>
      <c r="H217" s="47" t="n"/>
      <c r="I217" s="47" t="n"/>
      <c r="J217" s="47" t="n"/>
      <c r="K217" s="47" t="n"/>
      <c r="L217" s="50">
        <f>IF(G217="","",IF(L216="",G217,L216+G217))</f>
        <v/>
      </c>
      <c r="M217" s="47" t="n"/>
    </row>
    <row r="218" ht="15.75" customHeight="1" s="99">
      <c r="A218" s="43" t="n">
        <v>224</v>
      </c>
      <c r="B218" s="53" t="n"/>
      <c r="C218" s="55" t="n"/>
      <c r="D218" s="55" t="n"/>
      <c r="E218" s="55" t="n"/>
      <c r="F218" s="55" t="n"/>
      <c r="G218" s="63" t="n"/>
      <c r="H218" s="55" t="n"/>
      <c r="I218" s="55" t="n"/>
      <c r="J218" s="55" t="n"/>
      <c r="K218" s="55" t="n"/>
      <c r="L218" s="58">
        <f>IF(G218="","",IF(L217="",G218,L217+G218))</f>
        <v/>
      </c>
      <c r="M218" s="55" t="n"/>
    </row>
    <row r="219" ht="15.75" customHeight="1" s="99">
      <c r="A219" s="41" t="n">
        <v>225</v>
      </c>
      <c r="B219" s="45" t="n"/>
      <c r="C219" s="47" t="n"/>
      <c r="D219" s="47" t="n"/>
      <c r="E219" s="47" t="n"/>
      <c r="F219" s="47" t="n"/>
      <c r="G219" s="62" t="n"/>
      <c r="H219" s="47" t="n"/>
      <c r="I219" s="47" t="n"/>
      <c r="J219" s="47" t="n"/>
      <c r="K219" s="47" t="n"/>
      <c r="L219" s="50">
        <f>IF(G219="","",IF(L218="",G219,L218+G219))</f>
        <v/>
      </c>
      <c r="M219" s="47" t="n"/>
    </row>
    <row r="220" ht="15.75" customHeight="1" s="99">
      <c r="A220" s="43" t="n">
        <v>226</v>
      </c>
      <c r="B220" s="53" t="n"/>
      <c r="C220" s="55" t="n"/>
      <c r="D220" s="55" t="n"/>
      <c r="E220" s="55" t="n"/>
      <c r="F220" s="55" t="n"/>
      <c r="G220" s="63" t="n"/>
      <c r="H220" s="55" t="n"/>
      <c r="I220" s="55" t="n"/>
      <c r="J220" s="55" t="n"/>
      <c r="K220" s="55" t="n"/>
      <c r="L220" s="58">
        <f>IF(G220="","",IF(L219="",G220,L219+G220))</f>
        <v/>
      </c>
      <c r="M220" s="55" t="n"/>
    </row>
    <row r="221" ht="15.75" customHeight="1" s="99">
      <c r="A221" s="41" t="n">
        <v>227</v>
      </c>
      <c r="B221" s="45" t="n"/>
      <c r="C221" s="47" t="n"/>
      <c r="D221" s="47" t="n"/>
      <c r="E221" s="47" t="n"/>
      <c r="F221" s="47" t="n"/>
      <c r="G221" s="62" t="n"/>
      <c r="H221" s="47" t="n"/>
      <c r="I221" s="47" t="n"/>
      <c r="J221" s="47" t="n"/>
      <c r="K221" s="47" t="n"/>
      <c r="L221" s="50">
        <f>IF(G221="","",IF(L220="",G221,L220+G221))</f>
        <v/>
      </c>
      <c r="M221" s="47" t="n"/>
    </row>
    <row r="222" ht="15.75" customHeight="1" s="99">
      <c r="A222" s="43" t="n">
        <v>228</v>
      </c>
      <c r="B222" s="53" t="n"/>
      <c r="C222" s="55" t="n"/>
      <c r="D222" s="55" t="n"/>
      <c r="E222" s="55" t="n"/>
      <c r="F222" s="55" t="n"/>
      <c r="G222" s="63" t="n"/>
      <c r="H222" s="55" t="n"/>
      <c r="I222" s="55" t="n"/>
      <c r="J222" s="55" t="n"/>
      <c r="K222" s="55" t="n"/>
      <c r="L222" s="58">
        <f>IF(G222="","",IF(L221="",G222,L221+G222))</f>
        <v/>
      </c>
      <c r="M222" s="55" t="n"/>
    </row>
    <row r="223" ht="15.75" customHeight="1" s="99">
      <c r="A223" s="41" t="n">
        <v>229</v>
      </c>
      <c r="B223" s="45" t="n"/>
      <c r="C223" s="47" t="n"/>
      <c r="D223" s="47" t="n"/>
      <c r="E223" s="47" t="n"/>
      <c r="F223" s="47" t="n"/>
      <c r="G223" s="62" t="n"/>
      <c r="H223" s="47" t="n"/>
      <c r="I223" s="47" t="n"/>
      <c r="J223" s="47" t="n"/>
      <c r="K223" s="47" t="n"/>
      <c r="L223" s="50">
        <f>IF(G223="","",IF(L222="",G223,L222+G223))</f>
        <v/>
      </c>
      <c r="M223" s="47" t="n"/>
    </row>
    <row r="224" ht="15.75" customHeight="1" s="99">
      <c r="A224" s="43" t="n">
        <v>230</v>
      </c>
      <c r="B224" s="53" t="n"/>
      <c r="C224" s="55" t="n"/>
      <c r="D224" s="55" t="n"/>
      <c r="E224" s="55" t="n"/>
      <c r="F224" s="55" t="n"/>
      <c r="G224" s="63" t="n"/>
      <c r="H224" s="55" t="n"/>
      <c r="I224" s="55" t="n"/>
      <c r="J224" s="55" t="n"/>
      <c r="K224" s="55" t="n"/>
      <c r="L224" s="58">
        <f>IF(G224="","",IF(L223="",G224,L223+G224))</f>
        <v/>
      </c>
      <c r="M224" s="55" t="n"/>
    </row>
    <row r="225" ht="15.75" customHeight="1" s="99">
      <c r="A225" s="41" t="n">
        <v>231</v>
      </c>
      <c r="B225" s="45" t="n"/>
      <c r="C225" s="47" t="n"/>
      <c r="D225" s="47" t="n"/>
      <c r="E225" s="47" t="n"/>
      <c r="F225" s="47" t="n"/>
      <c r="G225" s="62" t="n"/>
      <c r="H225" s="47" t="n"/>
      <c r="I225" s="47" t="n"/>
      <c r="J225" s="47" t="n"/>
      <c r="K225" s="47" t="n"/>
      <c r="L225" s="50">
        <f>IF(G225="","",IF(L224="",G225,L224+G225))</f>
        <v/>
      </c>
      <c r="M225" s="47" t="n"/>
    </row>
    <row r="226" ht="15.75" customHeight="1" s="99">
      <c r="A226" s="43" t="n">
        <v>232</v>
      </c>
      <c r="B226" s="53" t="n"/>
      <c r="C226" s="55" t="n"/>
      <c r="D226" s="55" t="n"/>
      <c r="E226" s="55" t="n"/>
      <c r="F226" s="55" t="n"/>
      <c r="G226" s="63" t="n"/>
      <c r="H226" s="55" t="n"/>
      <c r="I226" s="55" t="n"/>
      <c r="J226" s="55" t="n"/>
      <c r="K226" s="55" t="n"/>
      <c r="L226" s="58">
        <f>IF(G226="","",IF(L225="",G226,L225+G226))</f>
        <v/>
      </c>
      <c r="M226" s="55" t="n"/>
    </row>
    <row r="227" ht="15.75" customHeight="1" s="99">
      <c r="A227" s="41" t="n">
        <v>233</v>
      </c>
      <c r="B227" s="45" t="n"/>
      <c r="C227" s="47" t="n"/>
      <c r="D227" s="47" t="n"/>
      <c r="E227" s="47" t="n"/>
      <c r="F227" s="47" t="n"/>
      <c r="G227" s="62" t="n"/>
      <c r="H227" s="47" t="n"/>
      <c r="I227" s="47" t="n"/>
      <c r="J227" s="47" t="n"/>
      <c r="K227" s="47" t="n"/>
      <c r="L227" s="50">
        <f>IF(G227="","",IF(L226="",G227,L226+G227))</f>
        <v/>
      </c>
      <c r="M227" s="47" t="n"/>
    </row>
    <row r="228" ht="15.75" customHeight="1" s="99">
      <c r="A228" s="43" t="n">
        <v>234</v>
      </c>
      <c r="B228" s="53" t="n"/>
      <c r="C228" s="55" t="n"/>
      <c r="D228" s="55" t="n"/>
      <c r="E228" s="55" t="n"/>
      <c r="F228" s="55" t="n"/>
      <c r="G228" s="63" t="n"/>
      <c r="H228" s="55" t="n"/>
      <c r="I228" s="55" t="n"/>
      <c r="J228" s="55" t="n"/>
      <c r="K228" s="55" t="n"/>
      <c r="L228" s="58">
        <f>IF(G228="","",IF(L227="",G228,L227+G228))</f>
        <v/>
      </c>
      <c r="M228" s="55" t="n"/>
    </row>
    <row r="229" ht="15.75" customHeight="1" s="99">
      <c r="A229" s="41" t="n">
        <v>235</v>
      </c>
      <c r="B229" s="45" t="n"/>
      <c r="C229" s="47" t="n"/>
      <c r="D229" s="47" t="n"/>
      <c r="E229" s="47" t="n"/>
      <c r="F229" s="47" t="n"/>
      <c r="G229" s="62" t="n"/>
      <c r="H229" s="47" t="n"/>
      <c r="I229" s="47" t="n"/>
      <c r="J229" s="47" t="n"/>
      <c r="K229" s="47" t="n"/>
      <c r="L229" s="50">
        <f>IF(G229="","",IF(L228="",G229,L228+G229))</f>
        <v/>
      </c>
      <c r="M229" s="47" t="n"/>
    </row>
    <row r="230" ht="15.75" customHeight="1" s="99">
      <c r="A230" s="43" t="n">
        <v>236</v>
      </c>
      <c r="B230" s="53" t="n"/>
      <c r="C230" s="55" t="n"/>
      <c r="D230" s="55" t="n"/>
      <c r="E230" s="55" t="n"/>
      <c r="F230" s="55" t="n"/>
      <c r="G230" s="63" t="n"/>
      <c r="H230" s="55" t="n"/>
      <c r="I230" s="55" t="n"/>
      <c r="J230" s="55" t="n"/>
      <c r="K230" s="55" t="n"/>
      <c r="L230" s="58">
        <f>IF(G230="","",IF(L229="",G230,L229+G230))</f>
        <v/>
      </c>
      <c r="M230" s="55" t="n"/>
    </row>
    <row r="231" ht="15.75" customHeight="1" s="99">
      <c r="A231" s="41" t="n">
        <v>237</v>
      </c>
      <c r="B231" s="45" t="n"/>
      <c r="C231" s="47" t="n"/>
      <c r="D231" s="47" t="n"/>
      <c r="E231" s="47" t="n"/>
      <c r="F231" s="47" t="n"/>
      <c r="G231" s="62" t="n"/>
      <c r="H231" s="47" t="n"/>
      <c r="I231" s="47" t="n"/>
      <c r="J231" s="47" t="n"/>
      <c r="K231" s="47" t="n"/>
      <c r="L231" s="50">
        <f>IF(G231="","",IF(L230="",G231,L230+G231))</f>
        <v/>
      </c>
      <c r="M231" s="47" t="n"/>
    </row>
    <row r="232" ht="15.75" customHeight="1" s="99">
      <c r="A232" s="43" t="n">
        <v>238</v>
      </c>
      <c r="B232" s="53" t="n"/>
      <c r="C232" s="55" t="n"/>
      <c r="D232" s="55" t="n"/>
      <c r="E232" s="55" t="n"/>
      <c r="F232" s="55" t="n"/>
      <c r="G232" s="63" t="n"/>
      <c r="H232" s="55" t="n"/>
      <c r="I232" s="55" t="n"/>
      <c r="J232" s="55" t="n"/>
      <c r="K232" s="55" t="n"/>
      <c r="L232" s="58">
        <f>IF(G232="","",IF(L231="",G232,L231+G232))</f>
        <v/>
      </c>
      <c r="M232" s="55" t="n"/>
    </row>
    <row r="233" ht="15.75" customHeight="1" s="99">
      <c r="A233" s="41" t="n">
        <v>239</v>
      </c>
      <c r="B233" s="45" t="n"/>
      <c r="C233" s="47" t="n"/>
      <c r="D233" s="47" t="n"/>
      <c r="E233" s="47" t="n"/>
      <c r="F233" s="47" t="n"/>
      <c r="G233" s="62" t="n"/>
      <c r="H233" s="47" t="n"/>
      <c r="I233" s="47" t="n"/>
      <c r="J233" s="47" t="n"/>
      <c r="K233" s="47" t="n"/>
      <c r="L233" s="50">
        <f>IF(G233="","",IF(L232="",G233,L232+G233))</f>
        <v/>
      </c>
      <c r="M233" s="47" t="n"/>
    </row>
    <row r="234" ht="15.75" customHeight="1" s="99">
      <c r="A234" s="43" t="n">
        <v>240</v>
      </c>
      <c r="B234" s="53" t="n"/>
      <c r="C234" s="55" t="n"/>
      <c r="D234" s="55" t="n"/>
      <c r="E234" s="55" t="n"/>
      <c r="F234" s="55" t="n"/>
      <c r="G234" s="63" t="n"/>
      <c r="H234" s="55" t="n"/>
      <c r="I234" s="55" t="n"/>
      <c r="J234" s="55" t="n"/>
      <c r="K234" s="55" t="n"/>
      <c r="L234" s="58">
        <f>IF(G234="","",IF(L233="",G234,L233+G234))</f>
        <v/>
      </c>
      <c r="M234" s="55" t="n"/>
    </row>
    <row r="235" ht="15.75" customHeight="1" s="99">
      <c r="A235" s="41" t="n">
        <v>241</v>
      </c>
      <c r="B235" s="45" t="n"/>
      <c r="C235" s="47" t="n"/>
      <c r="D235" s="47" t="n"/>
      <c r="E235" s="47" t="n"/>
      <c r="F235" s="47" t="n"/>
      <c r="G235" s="62" t="n"/>
      <c r="H235" s="47" t="n"/>
      <c r="I235" s="47" t="n"/>
      <c r="J235" s="47" t="n"/>
      <c r="K235" s="47" t="n"/>
      <c r="L235" s="50">
        <f>IF(G235="","",IF(L234="",G235,L234+G235))</f>
        <v/>
      </c>
      <c r="M235" s="47" t="n"/>
    </row>
    <row r="236" ht="15.75" customHeight="1" s="99">
      <c r="A236" s="43" t="n">
        <v>242</v>
      </c>
      <c r="B236" s="53" t="n"/>
      <c r="C236" s="55" t="n"/>
      <c r="D236" s="55" t="n"/>
      <c r="E236" s="55" t="n"/>
      <c r="F236" s="55" t="n"/>
      <c r="G236" s="63" t="n"/>
      <c r="H236" s="55" t="n"/>
      <c r="I236" s="55" t="n"/>
      <c r="J236" s="55" t="n"/>
      <c r="K236" s="55" t="n"/>
      <c r="L236" s="58">
        <f>IF(G236="","",IF(L235="",G236,L235+G236))</f>
        <v/>
      </c>
      <c r="M236" s="55" t="n"/>
    </row>
    <row r="237" ht="15.75" customHeight="1" s="99">
      <c r="A237" s="41" t="n">
        <v>243</v>
      </c>
      <c r="B237" s="45" t="n"/>
      <c r="C237" s="47" t="n"/>
      <c r="D237" s="47" t="n"/>
      <c r="E237" s="47" t="n"/>
      <c r="F237" s="47" t="n"/>
      <c r="G237" s="62" t="n"/>
      <c r="H237" s="47" t="n"/>
      <c r="I237" s="47" t="n"/>
      <c r="J237" s="47" t="n"/>
      <c r="K237" s="47" t="n"/>
      <c r="L237" s="50">
        <f>IF(G237="","",IF(L236="",G237,L236+G237))</f>
        <v/>
      </c>
      <c r="M237" s="47" t="n"/>
    </row>
    <row r="238" ht="15.75" customHeight="1" s="99">
      <c r="A238" s="43" t="n">
        <v>244</v>
      </c>
      <c r="B238" s="53" t="n"/>
      <c r="C238" s="55" t="n"/>
      <c r="D238" s="55" t="n"/>
      <c r="E238" s="55" t="n"/>
      <c r="F238" s="55" t="n"/>
      <c r="G238" s="63" t="n"/>
      <c r="H238" s="55" t="n"/>
      <c r="I238" s="55" t="n"/>
      <c r="J238" s="55" t="n"/>
      <c r="K238" s="55" t="n"/>
      <c r="L238" s="58">
        <f>IF(G238="","",IF(L237="",G238,L237+G238))</f>
        <v/>
      </c>
      <c r="M238" s="55" t="n"/>
    </row>
    <row r="239" ht="15.75" customHeight="1" s="99">
      <c r="A239" s="41" t="n">
        <v>245</v>
      </c>
      <c r="B239" s="45" t="n"/>
      <c r="C239" s="47" t="n"/>
      <c r="D239" s="47" t="n"/>
      <c r="E239" s="47" t="n"/>
      <c r="F239" s="47" t="n"/>
      <c r="G239" s="62" t="n"/>
      <c r="H239" s="47" t="n"/>
      <c r="I239" s="47" t="n"/>
      <c r="J239" s="47" t="n"/>
      <c r="K239" s="47" t="n"/>
      <c r="L239" s="50">
        <f>IF(G239="","",IF(L238="",G239,L238+G239))</f>
        <v/>
      </c>
      <c r="M239" s="47" t="n"/>
    </row>
    <row r="240" ht="15.75" customHeight="1" s="99">
      <c r="A240" s="43" t="n">
        <v>246</v>
      </c>
      <c r="B240" s="53" t="n"/>
      <c r="C240" s="55" t="n"/>
      <c r="D240" s="55" t="n"/>
      <c r="E240" s="55" t="n"/>
      <c r="F240" s="55" t="n"/>
      <c r="G240" s="63" t="n"/>
      <c r="H240" s="55" t="n"/>
      <c r="I240" s="55" t="n"/>
      <c r="J240" s="55" t="n"/>
      <c r="K240" s="55" t="n"/>
      <c r="L240" s="58">
        <f>IF(G240="","",IF(L239="",G240,L239+G240))</f>
        <v/>
      </c>
      <c r="M240" s="55" t="n"/>
    </row>
    <row r="241" ht="15.75" customHeight="1" s="99">
      <c r="A241" s="41" t="n">
        <v>247</v>
      </c>
      <c r="B241" s="45" t="n"/>
      <c r="C241" s="47" t="n"/>
      <c r="D241" s="47" t="n"/>
      <c r="E241" s="47" t="n"/>
      <c r="F241" s="47" t="n"/>
      <c r="G241" s="62" t="n"/>
      <c r="H241" s="47" t="n"/>
      <c r="I241" s="47" t="n"/>
      <c r="J241" s="47" t="n"/>
      <c r="K241" s="47" t="n"/>
      <c r="L241" s="50">
        <f>IF(G241="","",IF(L240="",G241,L240+G241))</f>
        <v/>
      </c>
      <c r="M241" s="47" t="n"/>
    </row>
    <row r="242" ht="15.75" customHeight="1" s="99">
      <c r="A242" s="43" t="n">
        <v>248</v>
      </c>
      <c r="B242" s="53" t="n"/>
      <c r="C242" s="55" t="n"/>
      <c r="D242" s="55" t="n"/>
      <c r="E242" s="55" t="n"/>
      <c r="F242" s="55" t="n"/>
      <c r="G242" s="63" t="n"/>
      <c r="H242" s="55" t="n"/>
      <c r="I242" s="55" t="n"/>
      <c r="J242" s="55" t="n"/>
      <c r="K242" s="55" t="n"/>
      <c r="L242" s="58">
        <f>IF(G242="","",IF(L241="",G242,L241+G242))</f>
        <v/>
      </c>
      <c r="M242" s="55" t="n"/>
    </row>
    <row r="243" ht="15.75" customHeight="1" s="99">
      <c r="A243" s="41" t="n">
        <v>249</v>
      </c>
      <c r="B243" s="45" t="n"/>
      <c r="C243" s="47" t="n"/>
      <c r="D243" s="47" t="n"/>
      <c r="E243" s="47" t="n"/>
      <c r="F243" s="47" t="n"/>
      <c r="G243" s="62" t="n"/>
      <c r="H243" s="47" t="n"/>
      <c r="I243" s="47" t="n"/>
      <c r="J243" s="47" t="n"/>
      <c r="K243" s="47" t="n"/>
      <c r="L243" s="50">
        <f>IF(G243="","",IF(L242="",G243,L242+G243))</f>
        <v/>
      </c>
      <c r="M243" s="47" t="n"/>
    </row>
    <row r="244" ht="15.75" customHeight="1" s="99">
      <c r="A244" s="43" t="n">
        <v>250</v>
      </c>
      <c r="B244" s="53" t="n"/>
      <c r="C244" s="55" t="n"/>
      <c r="D244" s="55" t="n"/>
      <c r="E244" s="55" t="n"/>
      <c r="F244" s="55" t="n"/>
      <c r="G244" s="63" t="n"/>
      <c r="H244" s="55" t="n"/>
      <c r="I244" s="55" t="n"/>
      <c r="J244" s="55" t="n"/>
      <c r="K244" s="55" t="n"/>
      <c r="L244" s="58">
        <f>IF(G244="","",IF(L243="",G244,L243+G244))</f>
        <v/>
      </c>
      <c r="M244" s="55" t="n"/>
    </row>
    <row r="245" ht="15.75" customHeight="1" s="99">
      <c r="A245" s="41" t="n">
        <v>251</v>
      </c>
      <c r="B245" s="45" t="n"/>
      <c r="C245" s="47" t="n"/>
      <c r="D245" s="47" t="n"/>
      <c r="E245" s="47" t="n"/>
      <c r="F245" s="47" t="n"/>
      <c r="G245" s="62" t="n"/>
      <c r="H245" s="47" t="n"/>
      <c r="I245" s="47" t="n"/>
      <c r="J245" s="47" t="n"/>
      <c r="K245" s="47" t="n"/>
      <c r="L245" s="50">
        <f>IF(G245="","",IF(L244="",G245,L244+G245))</f>
        <v/>
      </c>
      <c r="M245" s="47" t="n"/>
    </row>
    <row r="246" ht="15.75" customHeight="1" s="99">
      <c r="A246" s="43" t="n">
        <v>252</v>
      </c>
      <c r="B246" s="53" t="n"/>
      <c r="C246" s="55" t="n"/>
      <c r="D246" s="55" t="n"/>
      <c r="E246" s="55" t="n"/>
      <c r="F246" s="55" t="n"/>
      <c r="G246" s="63" t="n"/>
      <c r="H246" s="55" t="n"/>
      <c r="I246" s="55" t="n"/>
      <c r="J246" s="55" t="n"/>
      <c r="K246" s="55" t="n"/>
      <c r="L246" s="58">
        <f>IF(G246="","",IF(L245="",G246,L245+G246))</f>
        <v/>
      </c>
      <c r="M246" s="55" t="n"/>
    </row>
    <row r="247" ht="15.75" customHeight="1" s="99">
      <c r="A247" s="41" t="n">
        <v>253</v>
      </c>
      <c r="B247" s="45" t="n"/>
      <c r="C247" s="47" t="n"/>
      <c r="D247" s="47" t="n"/>
      <c r="E247" s="47" t="n"/>
      <c r="F247" s="47" t="n"/>
      <c r="G247" s="62" t="n"/>
      <c r="H247" s="47" t="n"/>
      <c r="I247" s="47" t="n"/>
      <c r="J247" s="47" t="n"/>
      <c r="K247" s="47" t="n"/>
      <c r="L247" s="50">
        <f>IF(G247="","",IF(L246="",G247,L246+G247))</f>
        <v/>
      </c>
      <c r="M247" s="47" t="n"/>
    </row>
    <row r="248" ht="15.75" customHeight="1" s="99">
      <c r="A248" s="43" t="n">
        <v>254</v>
      </c>
      <c r="B248" s="53" t="n"/>
      <c r="C248" s="55" t="n"/>
      <c r="D248" s="55" t="n"/>
      <c r="E248" s="55" t="n"/>
      <c r="F248" s="55" t="n"/>
      <c r="G248" s="63" t="n"/>
      <c r="H248" s="55" t="n"/>
      <c r="I248" s="55" t="n"/>
      <c r="J248" s="55" t="n"/>
      <c r="K248" s="55" t="n"/>
      <c r="L248" s="58">
        <f>IF(G248="","",IF(L247="",G248,L247+G248))</f>
        <v/>
      </c>
      <c r="M248" s="55" t="n"/>
    </row>
    <row r="249" ht="15.75" customHeight="1" s="99">
      <c r="A249" s="41" t="n">
        <v>255</v>
      </c>
      <c r="B249" s="45" t="n"/>
      <c r="C249" s="47" t="n"/>
      <c r="D249" s="47" t="n"/>
      <c r="E249" s="47" t="n"/>
      <c r="F249" s="47" t="n"/>
      <c r="G249" s="62" t="n"/>
      <c r="H249" s="47" t="n"/>
      <c r="I249" s="47" t="n"/>
      <c r="J249" s="47" t="n"/>
      <c r="K249" s="47" t="n"/>
      <c r="L249" s="50">
        <f>IF(G249="","",IF(L248="",G249,L248+G249))</f>
        <v/>
      </c>
      <c r="M249" s="47" t="n"/>
    </row>
    <row r="250" ht="15.75" customHeight="1" s="99">
      <c r="A250" s="43" t="n">
        <v>256</v>
      </c>
      <c r="B250" s="53" t="n"/>
      <c r="C250" s="55" t="n"/>
      <c r="D250" s="55" t="n"/>
      <c r="E250" s="55" t="n"/>
      <c r="F250" s="55" t="n"/>
      <c r="G250" s="63" t="n"/>
      <c r="H250" s="55" t="n"/>
      <c r="I250" s="55" t="n"/>
      <c r="J250" s="55" t="n"/>
      <c r="K250" s="55" t="n"/>
      <c r="L250" s="58">
        <f>IF(G250="","",IF(L249="",G250,L249+G250))</f>
        <v/>
      </c>
      <c r="M250" s="55" t="n"/>
    </row>
    <row r="251" ht="15.75" customHeight="1" s="99">
      <c r="A251" s="41" t="n">
        <v>257</v>
      </c>
      <c r="B251" s="45" t="n"/>
      <c r="C251" s="47" t="n"/>
      <c r="D251" s="47" t="n"/>
      <c r="E251" s="47" t="n"/>
      <c r="F251" s="47" t="n"/>
      <c r="G251" s="62" t="n"/>
      <c r="H251" s="47" t="n"/>
      <c r="I251" s="47" t="n"/>
      <c r="J251" s="47" t="n"/>
      <c r="K251" s="47" t="n"/>
      <c r="L251" s="50">
        <f>IF(G251="","",IF(L250="",G251,L250+G251))</f>
        <v/>
      </c>
      <c r="M251" s="47" t="n"/>
    </row>
    <row r="252" ht="15.75" customHeight="1" s="99">
      <c r="A252" s="43" t="n">
        <v>258</v>
      </c>
      <c r="B252" s="53" t="n"/>
      <c r="C252" s="55" t="n"/>
      <c r="D252" s="55" t="n"/>
      <c r="E252" s="55" t="n"/>
      <c r="F252" s="55" t="n"/>
      <c r="G252" s="63" t="n"/>
      <c r="H252" s="55" t="n"/>
      <c r="I252" s="55" t="n"/>
      <c r="J252" s="55" t="n"/>
      <c r="K252" s="55" t="n"/>
      <c r="L252" s="58">
        <f>IF(G252="","",IF(L251="",G252,L251+G252))</f>
        <v/>
      </c>
      <c r="M252" s="55" t="n"/>
    </row>
    <row r="253" ht="15.75" customHeight="1" s="99">
      <c r="A253" s="41" t="n">
        <v>259</v>
      </c>
      <c r="B253" s="45" t="n"/>
      <c r="C253" s="47" t="n"/>
      <c r="D253" s="47" t="n"/>
      <c r="E253" s="47" t="n"/>
      <c r="F253" s="47" t="n"/>
      <c r="G253" s="62" t="n"/>
      <c r="H253" s="47" t="n"/>
      <c r="I253" s="47" t="n"/>
      <c r="J253" s="47" t="n"/>
      <c r="K253" s="47" t="n"/>
      <c r="L253" s="50">
        <f>IF(G253="","",IF(L252="",G253,L252+G253))</f>
        <v/>
      </c>
      <c r="M253" s="47" t="n"/>
    </row>
    <row r="254" ht="15.75" customHeight="1" s="99">
      <c r="A254" s="43" t="n">
        <v>260</v>
      </c>
      <c r="B254" s="53" t="n"/>
      <c r="C254" s="55" t="n"/>
      <c r="D254" s="55" t="n"/>
      <c r="E254" s="55" t="n"/>
      <c r="F254" s="55" t="n"/>
      <c r="G254" s="63" t="n"/>
      <c r="H254" s="55" t="n"/>
      <c r="I254" s="55" t="n"/>
      <c r="J254" s="55" t="n"/>
      <c r="K254" s="55" t="n"/>
      <c r="L254" s="58">
        <f>IF(G254="","",IF(L253="",G254,L253+G254))</f>
        <v/>
      </c>
      <c r="M254" s="55" t="n"/>
    </row>
    <row r="255" ht="15.75" customHeight="1" s="99">
      <c r="A255" s="41" t="n">
        <v>261</v>
      </c>
      <c r="B255" s="45" t="n"/>
      <c r="C255" s="47" t="n"/>
      <c r="D255" s="47" t="n"/>
      <c r="E255" s="47" t="n"/>
      <c r="F255" s="47" t="n"/>
      <c r="G255" s="62" t="n"/>
      <c r="H255" s="47" t="n"/>
      <c r="I255" s="47" t="n"/>
      <c r="J255" s="47" t="n"/>
      <c r="K255" s="47" t="n"/>
      <c r="L255" s="50">
        <f>IF(G255="","",IF(L254="",G255,L254+G255))</f>
        <v/>
      </c>
      <c r="M255" s="47" t="n"/>
    </row>
    <row r="256" ht="15.75" customHeight="1" s="99">
      <c r="A256" s="43" t="n">
        <v>262</v>
      </c>
      <c r="B256" s="53" t="n"/>
      <c r="C256" s="55" t="n"/>
      <c r="D256" s="55" t="n"/>
      <c r="E256" s="55" t="n"/>
      <c r="F256" s="55" t="n"/>
      <c r="G256" s="63" t="n"/>
      <c r="H256" s="55" t="n"/>
      <c r="I256" s="55" t="n"/>
      <c r="J256" s="55" t="n"/>
      <c r="K256" s="55" t="n"/>
      <c r="L256" s="58">
        <f>IF(G256="","",IF(L255="",G256,L255+G256))</f>
        <v/>
      </c>
      <c r="M256" s="55" t="n"/>
    </row>
    <row r="257" ht="15.75" customHeight="1" s="99">
      <c r="A257" s="41" t="n">
        <v>263</v>
      </c>
      <c r="B257" s="45" t="n"/>
      <c r="C257" s="47" t="n"/>
      <c r="D257" s="47" t="n"/>
      <c r="E257" s="47" t="n"/>
      <c r="F257" s="47" t="n"/>
      <c r="G257" s="62" t="n"/>
      <c r="H257" s="47" t="n"/>
      <c r="I257" s="47" t="n"/>
      <c r="J257" s="47" t="n"/>
      <c r="K257" s="47" t="n"/>
      <c r="L257" s="50">
        <f>IF(G257="","",IF(L256="",G257,L256+G257))</f>
        <v/>
      </c>
      <c r="M257" s="47" t="n"/>
    </row>
    <row r="258" ht="15.75" customHeight="1" s="99">
      <c r="A258" s="43" t="n">
        <v>264</v>
      </c>
      <c r="B258" s="53" t="n"/>
      <c r="C258" s="55" t="n"/>
      <c r="D258" s="55" t="n"/>
      <c r="E258" s="55" t="n"/>
      <c r="F258" s="55" t="n"/>
      <c r="G258" s="63" t="n"/>
      <c r="H258" s="55" t="n"/>
      <c r="I258" s="55" t="n"/>
      <c r="J258" s="55" t="n"/>
      <c r="K258" s="55" t="n"/>
      <c r="L258" s="58">
        <f>IF(G258="","",IF(L257="",G258,L257+G258))</f>
        <v/>
      </c>
      <c r="M258" s="55" t="n"/>
    </row>
    <row r="259" ht="15.75" customHeight="1" s="99">
      <c r="A259" s="41" t="n">
        <v>265</v>
      </c>
      <c r="B259" s="45" t="n"/>
      <c r="C259" s="47" t="n"/>
      <c r="D259" s="47" t="n"/>
      <c r="E259" s="47" t="n"/>
      <c r="F259" s="47" t="n"/>
      <c r="G259" s="62" t="n"/>
      <c r="H259" s="47" t="n"/>
      <c r="I259" s="47" t="n"/>
      <c r="J259" s="47" t="n"/>
      <c r="K259" s="47" t="n"/>
      <c r="L259" s="50">
        <f>IF(G259="","",IF(L258="",G259,L258+G259))</f>
        <v/>
      </c>
      <c r="M259" s="47" t="n"/>
    </row>
    <row r="260" ht="15.75" customHeight="1" s="99">
      <c r="A260" s="43" t="n">
        <v>266</v>
      </c>
      <c r="B260" s="53" t="n"/>
      <c r="C260" s="55" t="n"/>
      <c r="D260" s="55" t="n"/>
      <c r="E260" s="55" t="n"/>
      <c r="F260" s="55" t="n"/>
      <c r="G260" s="63" t="n"/>
      <c r="H260" s="55" t="n"/>
      <c r="I260" s="55" t="n"/>
      <c r="J260" s="55" t="n"/>
      <c r="K260" s="55" t="n"/>
      <c r="L260" s="58">
        <f>IF(G260="","",IF(L259="",G260,L259+G260))</f>
        <v/>
      </c>
      <c r="M260" s="55" t="n"/>
    </row>
    <row r="261" ht="15.75" customHeight="1" s="99">
      <c r="A261" s="41" t="n">
        <v>267</v>
      </c>
      <c r="B261" s="45" t="n"/>
      <c r="C261" s="47" t="n"/>
      <c r="D261" s="47" t="n"/>
      <c r="E261" s="47" t="n"/>
      <c r="F261" s="47" t="n"/>
      <c r="G261" s="62" t="n"/>
      <c r="H261" s="47" t="n"/>
      <c r="I261" s="47" t="n"/>
      <c r="J261" s="47" t="n"/>
      <c r="K261" s="47" t="n"/>
      <c r="L261" s="50">
        <f>IF(G261="","",IF(L260="",G261,L260+G261))</f>
        <v/>
      </c>
      <c r="M261" s="47" t="n"/>
    </row>
    <row r="262" ht="15.75" customHeight="1" s="99">
      <c r="A262" s="43" t="n">
        <v>268</v>
      </c>
      <c r="B262" s="53" t="n"/>
      <c r="C262" s="55" t="n"/>
      <c r="D262" s="55" t="n"/>
      <c r="E262" s="55" t="n"/>
      <c r="F262" s="55" t="n"/>
      <c r="G262" s="63" t="n"/>
      <c r="H262" s="55" t="n"/>
      <c r="I262" s="55" t="n"/>
      <c r="J262" s="55" t="n"/>
      <c r="K262" s="55" t="n"/>
      <c r="L262" s="58">
        <f>IF(G262="","",IF(L261="",G262,L261+G262))</f>
        <v/>
      </c>
      <c r="M262" s="55" t="n"/>
    </row>
    <row r="263" ht="15.75" customHeight="1" s="99">
      <c r="A263" s="41" t="n">
        <v>269</v>
      </c>
      <c r="B263" s="45" t="n"/>
      <c r="C263" s="47" t="n"/>
      <c r="D263" s="47" t="n"/>
      <c r="E263" s="47" t="n"/>
      <c r="F263" s="47" t="n"/>
      <c r="G263" s="62" t="n"/>
      <c r="H263" s="47" t="n"/>
      <c r="I263" s="47" t="n"/>
      <c r="J263" s="47" t="n"/>
      <c r="K263" s="47" t="n"/>
      <c r="L263" s="50">
        <f>IF(G263="","",IF(L262="",G263,L262+G263))</f>
        <v/>
      </c>
      <c r="M263" s="47" t="n"/>
    </row>
    <row r="264" ht="15.75" customHeight="1" s="99">
      <c r="A264" s="43" t="n">
        <v>270</v>
      </c>
      <c r="B264" s="53" t="n"/>
      <c r="C264" s="55" t="n"/>
      <c r="D264" s="55" t="n"/>
      <c r="E264" s="55" t="n"/>
      <c r="F264" s="55" t="n"/>
      <c r="G264" s="63" t="n"/>
      <c r="H264" s="55" t="n"/>
      <c r="I264" s="55" t="n"/>
      <c r="J264" s="55" t="n"/>
      <c r="K264" s="55" t="n"/>
      <c r="L264" s="58">
        <f>IF(G264="","",IF(L263="",G264,L263+G264))</f>
        <v/>
      </c>
      <c r="M264" s="55" t="n"/>
    </row>
    <row r="265" ht="15.75" customHeight="1" s="99">
      <c r="A265" s="41" t="n">
        <v>271</v>
      </c>
      <c r="B265" s="45" t="n"/>
      <c r="C265" s="47" t="n"/>
      <c r="D265" s="47" t="n"/>
      <c r="E265" s="47" t="n"/>
      <c r="F265" s="47" t="n"/>
      <c r="G265" s="62" t="n"/>
      <c r="H265" s="47" t="n"/>
      <c r="I265" s="47" t="n"/>
      <c r="J265" s="47" t="n"/>
      <c r="K265" s="47" t="n"/>
      <c r="L265" s="50">
        <f>IF(G265="","",IF(L264="",G265,L264+G265))</f>
        <v/>
      </c>
      <c r="M265" s="47" t="n"/>
    </row>
    <row r="266" ht="15.75" customHeight="1" s="99">
      <c r="A266" s="43" t="n">
        <v>272</v>
      </c>
      <c r="B266" s="53" t="n"/>
      <c r="C266" s="55" t="n"/>
      <c r="D266" s="55" t="n"/>
      <c r="E266" s="55" t="n"/>
      <c r="F266" s="55" t="n"/>
      <c r="G266" s="63" t="n"/>
      <c r="H266" s="55" t="n"/>
      <c r="I266" s="55" t="n"/>
      <c r="J266" s="55" t="n"/>
      <c r="K266" s="55" t="n"/>
      <c r="L266" s="58">
        <f>IF(G266="","",IF(L265="",G266,L265+G266))</f>
        <v/>
      </c>
      <c r="M266" s="55" t="n"/>
    </row>
    <row r="267" ht="15.75" customHeight="1" s="99">
      <c r="A267" s="41" t="n">
        <v>273</v>
      </c>
      <c r="B267" s="45" t="n"/>
      <c r="C267" s="47" t="n"/>
      <c r="D267" s="47" t="n"/>
      <c r="E267" s="47" t="n"/>
      <c r="F267" s="47" t="n"/>
      <c r="G267" s="62" t="n"/>
      <c r="H267" s="47" t="n"/>
      <c r="I267" s="47" t="n"/>
      <c r="J267" s="47" t="n"/>
      <c r="K267" s="47" t="n"/>
      <c r="L267" s="50">
        <f>IF(G267="","",IF(L266="",G267,L266+G267))</f>
        <v/>
      </c>
      <c r="M267" s="47" t="n"/>
    </row>
    <row r="268" ht="15.75" customHeight="1" s="99">
      <c r="A268" s="43" t="n">
        <v>274</v>
      </c>
      <c r="B268" s="53" t="n"/>
      <c r="C268" s="55" t="n"/>
      <c r="D268" s="55" t="n"/>
      <c r="E268" s="55" t="n"/>
      <c r="F268" s="55" t="n"/>
      <c r="G268" s="63" t="n"/>
      <c r="H268" s="55" t="n"/>
      <c r="I268" s="55" t="n"/>
      <c r="J268" s="55" t="n"/>
      <c r="K268" s="55" t="n"/>
      <c r="L268" s="58">
        <f>IF(G268="","",IF(L267="",G268,L267+G268))</f>
        <v/>
      </c>
      <c r="M268" s="55" t="n"/>
    </row>
    <row r="269" ht="15.75" customHeight="1" s="99">
      <c r="A269" s="41" t="n">
        <v>275</v>
      </c>
      <c r="B269" s="45" t="n"/>
      <c r="C269" s="47" t="n"/>
      <c r="D269" s="47" t="n"/>
      <c r="E269" s="47" t="n"/>
      <c r="F269" s="47" t="n"/>
      <c r="G269" s="62" t="n"/>
      <c r="H269" s="47" t="n"/>
      <c r="I269" s="47" t="n"/>
      <c r="J269" s="47" t="n"/>
      <c r="K269" s="47" t="n"/>
      <c r="L269" s="50">
        <f>IF(G269="","",IF(L268="",G269,L268+G269))</f>
        <v/>
      </c>
      <c r="M269" s="47" t="n"/>
    </row>
    <row r="270" ht="15.75" customHeight="1" s="99">
      <c r="A270" s="43" t="n">
        <v>276</v>
      </c>
      <c r="B270" s="53" t="n"/>
      <c r="C270" s="55" t="n"/>
      <c r="D270" s="55" t="n"/>
      <c r="E270" s="55" t="n"/>
      <c r="F270" s="55" t="n"/>
      <c r="G270" s="63" t="n"/>
      <c r="H270" s="55" t="n"/>
      <c r="I270" s="55" t="n"/>
      <c r="J270" s="55" t="n"/>
      <c r="K270" s="55" t="n"/>
      <c r="L270" s="58">
        <f>IF(G270="","",IF(L269="",G270,L269+G270))</f>
        <v/>
      </c>
      <c r="M270" s="55" t="n"/>
    </row>
    <row r="271" ht="15.75" customHeight="1" s="99">
      <c r="A271" s="41" t="n">
        <v>277</v>
      </c>
      <c r="B271" s="45" t="n"/>
      <c r="C271" s="47" t="n"/>
      <c r="D271" s="47" t="n"/>
      <c r="E271" s="47" t="n"/>
      <c r="F271" s="47" t="n"/>
      <c r="G271" s="62" t="n"/>
      <c r="H271" s="47" t="n"/>
      <c r="I271" s="47" t="n"/>
      <c r="J271" s="47" t="n"/>
      <c r="K271" s="47" t="n"/>
      <c r="L271" s="50">
        <f>IF(G271="","",IF(L270="",G271,L270+G271))</f>
        <v/>
      </c>
      <c r="M271" s="47" t="n"/>
    </row>
    <row r="272" ht="15.75" customHeight="1" s="99">
      <c r="A272" s="43" t="n">
        <v>278</v>
      </c>
      <c r="B272" s="53" t="n"/>
      <c r="C272" s="55" t="n"/>
      <c r="D272" s="55" t="n"/>
      <c r="E272" s="55" t="n"/>
      <c r="F272" s="55" t="n"/>
      <c r="G272" s="63" t="n"/>
      <c r="H272" s="55" t="n"/>
      <c r="I272" s="55" t="n"/>
      <c r="J272" s="55" t="n"/>
      <c r="K272" s="55" t="n"/>
      <c r="L272" s="58">
        <f>IF(G272="","",IF(L271="",G272,L271+G272))</f>
        <v/>
      </c>
      <c r="M272" s="55" t="n"/>
    </row>
    <row r="273" ht="15.75" customHeight="1" s="99">
      <c r="A273" s="41" t="n">
        <v>279</v>
      </c>
      <c r="B273" s="45" t="n"/>
      <c r="C273" s="47" t="n"/>
      <c r="D273" s="47" t="n"/>
      <c r="E273" s="47" t="n"/>
      <c r="F273" s="47" t="n"/>
      <c r="G273" s="62" t="n"/>
      <c r="H273" s="47" t="n"/>
      <c r="I273" s="47" t="n"/>
      <c r="J273" s="47" t="n"/>
      <c r="K273" s="47" t="n"/>
      <c r="L273" s="50">
        <f>IF(G273="","",IF(L272="",G273,L272+G273))</f>
        <v/>
      </c>
      <c r="M273" s="47" t="n"/>
    </row>
    <row r="274" ht="15.75" customHeight="1" s="99">
      <c r="A274" s="43" t="n">
        <v>280</v>
      </c>
      <c r="B274" s="53" t="n"/>
      <c r="C274" s="55" t="n"/>
      <c r="D274" s="55" t="n"/>
      <c r="E274" s="55" t="n"/>
      <c r="F274" s="55" t="n"/>
      <c r="G274" s="63" t="n"/>
      <c r="H274" s="55" t="n"/>
      <c r="I274" s="55" t="n"/>
      <c r="J274" s="55" t="n"/>
      <c r="K274" s="55" t="n"/>
      <c r="L274" s="58">
        <f>IF(G274="","",IF(L273="",G274,L273+G274))</f>
        <v/>
      </c>
      <c r="M274" s="55" t="n"/>
    </row>
    <row r="275" ht="15.75" customHeight="1" s="99">
      <c r="A275" s="41" t="n">
        <v>281</v>
      </c>
      <c r="B275" s="45" t="n"/>
      <c r="C275" s="47" t="n"/>
      <c r="D275" s="47" t="n"/>
      <c r="E275" s="47" t="n"/>
      <c r="F275" s="47" t="n"/>
      <c r="G275" s="62" t="n"/>
      <c r="H275" s="47" t="n"/>
      <c r="I275" s="47" t="n"/>
      <c r="J275" s="47" t="n"/>
      <c r="K275" s="47" t="n"/>
      <c r="L275" s="50">
        <f>IF(G275="","",IF(L274="",G275,L274+G275))</f>
        <v/>
      </c>
      <c r="M275" s="47" t="n"/>
    </row>
    <row r="276" ht="15.75" customHeight="1" s="99">
      <c r="A276" s="43" t="n">
        <v>282</v>
      </c>
      <c r="B276" s="53" t="n"/>
      <c r="C276" s="55" t="n"/>
      <c r="D276" s="55" t="n"/>
      <c r="E276" s="55" t="n"/>
      <c r="F276" s="55" t="n"/>
      <c r="G276" s="63" t="n"/>
      <c r="H276" s="55" t="n"/>
      <c r="I276" s="55" t="n"/>
      <c r="J276" s="55" t="n"/>
      <c r="K276" s="55" t="n"/>
      <c r="L276" s="58">
        <f>IF(G276="","",IF(L275="",G276,L275+G276))</f>
        <v/>
      </c>
      <c r="M276" s="55" t="n"/>
    </row>
    <row r="277" ht="15.75" customHeight="1" s="99">
      <c r="A277" s="41" t="n">
        <v>283</v>
      </c>
      <c r="B277" s="45" t="n"/>
      <c r="C277" s="47" t="n"/>
      <c r="D277" s="47" t="n"/>
      <c r="E277" s="47" t="n"/>
      <c r="F277" s="47" t="n"/>
      <c r="G277" s="62" t="n"/>
      <c r="H277" s="47" t="n"/>
      <c r="I277" s="47" t="n"/>
      <c r="J277" s="47" t="n"/>
      <c r="K277" s="47" t="n"/>
      <c r="L277" s="50">
        <f>IF(G277="","",IF(L276="",G277,L276+G277))</f>
        <v/>
      </c>
      <c r="M277" s="47" t="n"/>
    </row>
    <row r="278" ht="15.75" customHeight="1" s="99">
      <c r="A278" s="43" t="n">
        <v>284</v>
      </c>
      <c r="B278" s="53" t="n"/>
      <c r="C278" s="55" t="n"/>
      <c r="D278" s="55" t="n"/>
      <c r="E278" s="55" t="n"/>
      <c r="F278" s="55" t="n"/>
      <c r="G278" s="63" t="n"/>
      <c r="H278" s="55" t="n"/>
      <c r="I278" s="55" t="n"/>
      <c r="J278" s="55" t="n"/>
      <c r="K278" s="55" t="n"/>
      <c r="L278" s="58">
        <f>IF(G278="","",IF(L277="",G278,L277+G278))</f>
        <v/>
      </c>
      <c r="M278" s="55" t="n"/>
    </row>
    <row r="279" ht="15.75" customHeight="1" s="99">
      <c r="A279" s="41" t="n">
        <v>285</v>
      </c>
      <c r="B279" s="45" t="n"/>
      <c r="C279" s="47" t="n"/>
      <c r="D279" s="47" t="n"/>
      <c r="E279" s="47" t="n"/>
      <c r="F279" s="47" t="n"/>
      <c r="G279" s="62" t="n"/>
      <c r="H279" s="47" t="n"/>
      <c r="I279" s="47" t="n"/>
      <c r="J279" s="47" t="n"/>
      <c r="K279" s="47" t="n"/>
      <c r="L279" s="50">
        <f>IF(G279="","",IF(L278="",G279,L278+G279))</f>
        <v/>
      </c>
      <c r="M279" s="47" t="n"/>
    </row>
    <row r="280" ht="15.75" customHeight="1" s="99">
      <c r="A280" s="43" t="n">
        <v>286</v>
      </c>
      <c r="B280" s="53" t="n"/>
      <c r="C280" s="55" t="n"/>
      <c r="D280" s="55" t="n"/>
      <c r="E280" s="55" t="n"/>
      <c r="F280" s="55" t="n"/>
      <c r="G280" s="63" t="n"/>
      <c r="H280" s="55" t="n"/>
      <c r="I280" s="55" t="n"/>
      <c r="J280" s="55" t="n"/>
      <c r="K280" s="55" t="n"/>
      <c r="L280" s="58">
        <f>IF(G280="","",IF(L279="",G280,L279+G280))</f>
        <v/>
      </c>
      <c r="M280" s="55" t="n"/>
    </row>
    <row r="281" ht="15.75" customHeight="1" s="99">
      <c r="A281" s="41" t="n">
        <v>287</v>
      </c>
      <c r="B281" s="45" t="n"/>
      <c r="C281" s="47" t="n"/>
      <c r="D281" s="47" t="n"/>
      <c r="E281" s="47" t="n"/>
      <c r="F281" s="47" t="n"/>
      <c r="G281" s="62" t="n"/>
      <c r="H281" s="47" t="n"/>
      <c r="I281" s="47" t="n"/>
      <c r="J281" s="47" t="n"/>
      <c r="K281" s="47" t="n"/>
      <c r="L281" s="50">
        <f>IF(G281="","",IF(L280="",G281,L280+G281))</f>
        <v/>
      </c>
      <c r="M281" s="47" t="n"/>
    </row>
    <row r="282" ht="15.75" customHeight="1" s="99">
      <c r="A282" s="43" t="n">
        <v>288</v>
      </c>
      <c r="B282" s="53" t="n"/>
      <c r="C282" s="55" t="n"/>
      <c r="D282" s="55" t="n"/>
      <c r="E282" s="55" t="n"/>
      <c r="F282" s="55" t="n"/>
      <c r="G282" s="63" t="n"/>
      <c r="H282" s="55" t="n"/>
      <c r="I282" s="55" t="n"/>
      <c r="J282" s="55" t="n"/>
      <c r="K282" s="55" t="n"/>
      <c r="L282" s="58">
        <f>IF(G282="","",IF(L281="",G282,L281+G282))</f>
        <v/>
      </c>
      <c r="M282" s="55" t="n"/>
    </row>
    <row r="283" ht="15.75" customHeight="1" s="99">
      <c r="A283" s="41" t="n">
        <v>289</v>
      </c>
      <c r="B283" s="45" t="n"/>
      <c r="C283" s="47" t="n"/>
      <c r="D283" s="47" t="n"/>
      <c r="E283" s="47" t="n"/>
      <c r="F283" s="47" t="n"/>
      <c r="G283" s="62" t="n"/>
      <c r="H283" s="47" t="n"/>
      <c r="I283" s="47" t="n"/>
      <c r="J283" s="47" t="n"/>
      <c r="K283" s="47" t="n"/>
      <c r="L283" s="50">
        <f>IF(G283="","",IF(L282="",G283,L282+G283))</f>
        <v/>
      </c>
      <c r="M283" s="47" t="n"/>
    </row>
    <row r="284" ht="15.75" customHeight="1" s="99">
      <c r="A284" s="43" t="n">
        <v>290</v>
      </c>
      <c r="B284" s="53" t="n"/>
      <c r="C284" s="55" t="n"/>
      <c r="D284" s="55" t="n"/>
      <c r="E284" s="55" t="n"/>
      <c r="F284" s="55" t="n"/>
      <c r="G284" s="63" t="n"/>
      <c r="H284" s="55" t="n"/>
      <c r="I284" s="55" t="n"/>
      <c r="J284" s="55" t="n"/>
      <c r="K284" s="55" t="n"/>
      <c r="L284" s="58">
        <f>IF(G284="","",IF(L283="",G284,L283+G284))</f>
        <v/>
      </c>
      <c r="M284" s="55" t="n"/>
    </row>
    <row r="285" ht="15.75" customHeight="1" s="99">
      <c r="A285" s="41" t="n">
        <v>291</v>
      </c>
      <c r="B285" s="45" t="n"/>
      <c r="C285" s="47" t="n"/>
      <c r="D285" s="47" t="n"/>
      <c r="E285" s="47" t="n"/>
      <c r="F285" s="47" t="n"/>
      <c r="G285" s="62" t="n"/>
      <c r="H285" s="47" t="n"/>
      <c r="I285" s="47" t="n"/>
      <c r="J285" s="47" t="n"/>
      <c r="K285" s="47" t="n"/>
      <c r="L285" s="50">
        <f>IF(G285="","",IF(L284="",G285,L284+G285))</f>
        <v/>
      </c>
      <c r="M285" s="47" t="n"/>
    </row>
    <row r="286" ht="15.75" customHeight="1" s="99">
      <c r="A286" s="43" t="n">
        <v>292</v>
      </c>
      <c r="B286" s="53" t="n"/>
      <c r="C286" s="55" t="n"/>
      <c r="D286" s="55" t="n"/>
      <c r="E286" s="55" t="n"/>
      <c r="F286" s="55" t="n"/>
      <c r="G286" s="63" t="n"/>
      <c r="H286" s="55" t="n"/>
      <c r="I286" s="55" t="n"/>
      <c r="J286" s="55" t="n"/>
      <c r="K286" s="55" t="n"/>
      <c r="L286" s="58">
        <f>IF(G286="","",IF(L285="",G286,L285+G286))</f>
        <v/>
      </c>
      <c r="M286" s="55" t="n"/>
    </row>
    <row r="287" ht="15.75" customHeight="1" s="99">
      <c r="A287" s="41" t="n">
        <v>293</v>
      </c>
      <c r="B287" s="45" t="n"/>
      <c r="C287" s="47" t="n"/>
      <c r="D287" s="47" t="n"/>
      <c r="E287" s="47" t="n"/>
      <c r="F287" s="47" t="n"/>
      <c r="G287" s="62" t="n"/>
      <c r="H287" s="47" t="n"/>
      <c r="I287" s="47" t="n"/>
      <c r="J287" s="47" t="n"/>
      <c r="K287" s="47" t="n"/>
      <c r="L287" s="50">
        <f>IF(G287="","",IF(L286="",G287,L286+G287))</f>
        <v/>
      </c>
      <c r="M287" s="47" t="n"/>
    </row>
    <row r="288" ht="15.75" customHeight="1" s="99">
      <c r="A288" s="43" t="n">
        <v>294</v>
      </c>
      <c r="B288" s="53" t="n"/>
      <c r="C288" s="55" t="n"/>
      <c r="D288" s="55" t="n"/>
      <c r="E288" s="55" t="n"/>
      <c r="F288" s="55" t="n"/>
      <c r="G288" s="63" t="n"/>
      <c r="H288" s="55" t="n"/>
      <c r="I288" s="55" t="n"/>
      <c r="J288" s="55" t="n"/>
      <c r="K288" s="55" t="n"/>
      <c r="L288" s="58">
        <f>IF(G288="","",IF(L287="",G288,L287+G288))</f>
        <v/>
      </c>
      <c r="M288" s="55" t="n"/>
    </row>
    <row r="289" ht="15.75" customHeight="1" s="99">
      <c r="A289" s="41" t="n">
        <v>295</v>
      </c>
      <c r="B289" s="45" t="n"/>
      <c r="C289" s="47" t="n"/>
      <c r="D289" s="47" t="n"/>
      <c r="E289" s="47" t="n"/>
      <c r="F289" s="47" t="n"/>
      <c r="G289" s="62" t="n"/>
      <c r="H289" s="47" t="n"/>
      <c r="I289" s="47" t="n"/>
      <c r="J289" s="47" t="n"/>
      <c r="K289" s="47" t="n"/>
      <c r="L289" s="50">
        <f>IF(G289="","",IF(L288="",G289,L288+G289))</f>
        <v/>
      </c>
      <c r="M289" s="47" t="n"/>
    </row>
    <row r="290" ht="15.75" customHeight="1" s="99">
      <c r="A290" s="43" t="n">
        <v>296</v>
      </c>
      <c r="B290" s="53" t="n"/>
      <c r="C290" s="55" t="n"/>
      <c r="D290" s="55" t="n"/>
      <c r="E290" s="55" t="n"/>
      <c r="F290" s="55" t="n"/>
      <c r="G290" s="63" t="n"/>
      <c r="H290" s="55" t="n"/>
      <c r="I290" s="55" t="n"/>
      <c r="J290" s="55" t="n"/>
      <c r="K290" s="55" t="n"/>
      <c r="L290" s="58">
        <f>IF(G290="","",IF(L289="",G290,L289+G290))</f>
        <v/>
      </c>
      <c r="M290" s="55" t="n"/>
    </row>
    <row r="291" ht="15.75" customHeight="1" s="99">
      <c r="A291" s="41" t="n">
        <v>297</v>
      </c>
      <c r="B291" s="45" t="n"/>
      <c r="C291" s="47" t="n"/>
      <c r="D291" s="47" t="n"/>
      <c r="E291" s="47" t="n"/>
      <c r="F291" s="47" t="n"/>
      <c r="G291" s="62" t="n"/>
      <c r="H291" s="47" t="n"/>
      <c r="I291" s="47" t="n"/>
      <c r="J291" s="47" t="n"/>
      <c r="K291" s="47" t="n"/>
      <c r="L291" s="50">
        <f>IF(G291="","",IF(L290="",G291,L290+G291))</f>
        <v/>
      </c>
      <c r="M291" s="47" t="n"/>
    </row>
    <row r="292" ht="15.75" customHeight="1" s="99">
      <c r="A292" s="43" t="n">
        <v>298</v>
      </c>
      <c r="B292" s="53" t="n"/>
      <c r="C292" s="55" t="n"/>
      <c r="D292" s="55" t="n"/>
      <c r="E292" s="55" t="n"/>
      <c r="F292" s="55" t="n"/>
      <c r="G292" s="63" t="n"/>
      <c r="H292" s="55" t="n"/>
      <c r="I292" s="55" t="n"/>
      <c r="J292" s="55" t="n"/>
      <c r="K292" s="55" t="n"/>
      <c r="L292" s="58">
        <f>IF(G292="","",IF(L291="",G292,L291+G292))</f>
        <v/>
      </c>
      <c r="M292" s="55" t="n"/>
    </row>
    <row r="293" ht="15.75" customHeight="1" s="99">
      <c r="A293" s="41" t="n">
        <v>299</v>
      </c>
      <c r="B293" s="45" t="n"/>
      <c r="C293" s="47" t="n"/>
      <c r="D293" s="47" t="n"/>
      <c r="E293" s="47" t="n"/>
      <c r="F293" s="47" t="n"/>
      <c r="G293" s="62" t="n"/>
      <c r="H293" s="47" t="n"/>
      <c r="I293" s="47" t="n"/>
      <c r="J293" s="47" t="n"/>
      <c r="K293" s="47" t="n"/>
      <c r="L293" s="50">
        <f>IF(G293="","",IF(L292="",G293,L292+G293))</f>
        <v/>
      </c>
      <c r="M293" s="47" t="n"/>
    </row>
    <row r="294" ht="15.75" customHeight="1" s="99">
      <c r="A294" s="43" t="n">
        <v>300</v>
      </c>
      <c r="B294" s="53" t="n"/>
      <c r="C294" s="55" t="n"/>
      <c r="D294" s="55" t="n"/>
      <c r="E294" s="55" t="n"/>
      <c r="F294" s="55" t="n"/>
      <c r="G294" s="63" t="n"/>
      <c r="H294" s="55" t="n"/>
      <c r="I294" s="55" t="n"/>
      <c r="J294" s="55" t="n"/>
      <c r="K294" s="55" t="n"/>
      <c r="L294" s="58">
        <f>IF(G294="","",IF(L293="",G294,L293+G294))</f>
        <v/>
      </c>
      <c r="M294" s="55" t="n"/>
    </row>
    <row r="295" ht="15.75" customHeight="1" s="99">
      <c r="A295" s="41" t="n">
        <v>301</v>
      </c>
      <c r="B295" s="45" t="n"/>
      <c r="C295" s="47" t="n"/>
      <c r="D295" s="47" t="n"/>
      <c r="E295" s="47" t="n"/>
      <c r="F295" s="47" t="n"/>
      <c r="G295" s="62" t="n"/>
      <c r="H295" s="47" t="n"/>
      <c r="I295" s="47" t="n"/>
      <c r="J295" s="47" t="n"/>
      <c r="K295" s="47" t="n"/>
      <c r="L295" s="50">
        <f>IF(G295="","",IF(L294="",G295,L294+G295))</f>
        <v/>
      </c>
      <c r="M295" s="47" t="n"/>
    </row>
    <row r="296" ht="15.75" customHeight="1" s="99">
      <c r="A296" s="43" t="n">
        <v>302</v>
      </c>
      <c r="B296" s="53" t="n"/>
      <c r="C296" s="55" t="n"/>
      <c r="D296" s="55" t="n"/>
      <c r="E296" s="55" t="n"/>
      <c r="F296" s="55" t="n"/>
      <c r="G296" s="63" t="n"/>
      <c r="H296" s="55" t="n"/>
      <c r="I296" s="55" t="n"/>
      <c r="J296" s="55" t="n"/>
      <c r="K296" s="55" t="n"/>
      <c r="L296" s="58">
        <f>IF(G296="","",IF(L295="",G296,L295+G296))</f>
        <v/>
      </c>
      <c r="M296" s="55" t="n"/>
    </row>
    <row r="297" ht="15.75" customHeight="1" s="99">
      <c r="A297" s="41" t="n">
        <v>303</v>
      </c>
      <c r="B297" s="45" t="n"/>
      <c r="C297" s="47" t="n"/>
      <c r="D297" s="47" t="n"/>
      <c r="E297" s="47" t="n"/>
      <c r="F297" s="47" t="n"/>
      <c r="G297" s="62" t="n"/>
      <c r="H297" s="47" t="n"/>
      <c r="I297" s="47" t="n"/>
      <c r="J297" s="47" t="n"/>
      <c r="K297" s="47" t="n"/>
      <c r="L297" s="50">
        <f>IF(G297="","",IF(L296="",G297,L296+G297))</f>
        <v/>
      </c>
      <c r="M297" s="47" t="n"/>
    </row>
    <row r="298" ht="15.75" customHeight="1" s="99">
      <c r="A298" s="43" t="n">
        <v>304</v>
      </c>
      <c r="B298" s="53" t="n"/>
      <c r="C298" s="55" t="n"/>
      <c r="D298" s="55" t="n"/>
      <c r="E298" s="55" t="n"/>
      <c r="F298" s="55" t="n"/>
      <c r="G298" s="63" t="n"/>
      <c r="H298" s="55" t="n"/>
      <c r="I298" s="55" t="n"/>
      <c r="J298" s="55" t="n"/>
      <c r="K298" s="55" t="n"/>
      <c r="L298" s="58">
        <f>IF(G298="","",IF(L297="",G298,L297+G298))</f>
        <v/>
      </c>
      <c r="M298" s="55" t="n"/>
    </row>
    <row r="299" ht="15.75" customHeight="1" s="99">
      <c r="A299" s="41" t="n">
        <v>305</v>
      </c>
      <c r="B299" s="45" t="n"/>
      <c r="C299" s="47" t="n"/>
      <c r="D299" s="47" t="n"/>
      <c r="E299" s="47" t="n"/>
      <c r="F299" s="47" t="n"/>
      <c r="G299" s="62" t="n"/>
      <c r="H299" s="47" t="n"/>
      <c r="I299" s="47" t="n"/>
      <c r="J299" s="47" t="n"/>
      <c r="K299" s="47" t="n"/>
      <c r="L299" s="50">
        <f>IF(G299="","",IF(L298="",G299,L298+G299))</f>
        <v/>
      </c>
      <c r="M299" s="47" t="n"/>
    </row>
    <row r="300" ht="15.75" customHeight="1" s="99">
      <c r="A300" s="43" t="n">
        <v>306</v>
      </c>
      <c r="B300" s="53" t="n"/>
      <c r="C300" s="55" t="n"/>
      <c r="D300" s="55" t="n"/>
      <c r="E300" s="55" t="n"/>
      <c r="F300" s="55" t="n"/>
      <c r="G300" s="63" t="n"/>
      <c r="H300" s="55" t="n"/>
      <c r="I300" s="55" t="n"/>
      <c r="J300" s="55" t="n"/>
      <c r="K300" s="55" t="n"/>
      <c r="L300" s="58">
        <f>IF(G300="","",IF(L299="",G300,L299+G300))</f>
        <v/>
      </c>
      <c r="M300" s="55" t="n"/>
    </row>
    <row r="301" ht="15.75" customHeight="1" s="99">
      <c r="A301" s="41" t="n">
        <v>307</v>
      </c>
      <c r="B301" s="45" t="n"/>
      <c r="C301" s="47" t="n"/>
      <c r="D301" s="47" t="n"/>
      <c r="E301" s="47" t="n"/>
      <c r="F301" s="47" t="n"/>
      <c r="G301" s="62" t="n"/>
      <c r="H301" s="47" t="n"/>
      <c r="I301" s="47" t="n"/>
      <c r="J301" s="47" t="n"/>
      <c r="K301" s="47" t="n"/>
      <c r="L301" s="50">
        <f>IF(G301="","",IF(L300="",G301,L300+G301))</f>
        <v/>
      </c>
      <c r="M301" s="47" t="n"/>
    </row>
    <row r="302" ht="15.75" customHeight="1" s="99">
      <c r="A302" s="43" t="n">
        <v>308</v>
      </c>
      <c r="B302" s="53" t="n"/>
      <c r="C302" s="55" t="n"/>
      <c r="D302" s="55" t="n"/>
      <c r="E302" s="55" t="n"/>
      <c r="F302" s="55" t="n"/>
      <c r="G302" s="63" t="n"/>
      <c r="H302" s="55" t="n"/>
      <c r="I302" s="55" t="n"/>
      <c r="J302" s="55" t="n"/>
      <c r="K302" s="55" t="n"/>
      <c r="L302" s="58">
        <f>IF(G302="","",IF(L301="",G302,L301+G302))</f>
        <v/>
      </c>
      <c r="M302" s="55" t="n"/>
    </row>
    <row r="303" ht="15.75" customHeight="1" s="99">
      <c r="A303" s="41" t="n">
        <v>309</v>
      </c>
      <c r="B303" s="45" t="n"/>
      <c r="C303" s="47" t="n"/>
      <c r="D303" s="47" t="n"/>
      <c r="E303" s="47" t="n"/>
      <c r="F303" s="47" t="n"/>
      <c r="G303" s="62" t="n"/>
      <c r="H303" s="47" t="n"/>
      <c r="I303" s="47" t="n"/>
      <c r="J303" s="47" t="n"/>
      <c r="K303" s="47" t="n"/>
      <c r="L303" s="50">
        <f>IF(G303="","",IF(L302="",G303,L302+G303))</f>
        <v/>
      </c>
      <c r="M303" s="47" t="n"/>
    </row>
    <row r="304" ht="15.75" customHeight="1" s="99">
      <c r="A304" s="43" t="n">
        <v>310</v>
      </c>
      <c r="B304" s="53" t="n"/>
      <c r="C304" s="55" t="n"/>
      <c r="D304" s="55" t="n"/>
      <c r="E304" s="55" t="n"/>
      <c r="F304" s="55" t="n"/>
      <c r="G304" s="63" t="n"/>
      <c r="H304" s="55" t="n"/>
      <c r="I304" s="55" t="n"/>
      <c r="J304" s="55" t="n"/>
      <c r="K304" s="55" t="n"/>
      <c r="L304" s="58">
        <f>IF(G304="","",IF(L303="",G304,L303+G304))</f>
        <v/>
      </c>
      <c r="M304" s="55" t="n"/>
    </row>
    <row r="305" ht="15.75" customHeight="1" s="99">
      <c r="A305" s="41" t="n">
        <v>311</v>
      </c>
      <c r="B305" s="45" t="n"/>
      <c r="C305" s="47" t="n"/>
      <c r="D305" s="47" t="n"/>
      <c r="E305" s="47" t="n"/>
      <c r="F305" s="47" t="n"/>
      <c r="G305" s="62" t="n"/>
      <c r="H305" s="47" t="n"/>
      <c r="I305" s="47" t="n"/>
      <c r="J305" s="47" t="n"/>
      <c r="K305" s="47" t="n"/>
      <c r="L305" s="50">
        <f>IF(G305="","",IF(L304="",G305,L304+G305))</f>
        <v/>
      </c>
      <c r="M305" s="47" t="n"/>
    </row>
    <row r="306" ht="15.75" customHeight="1" s="99">
      <c r="A306" s="43" t="n">
        <v>312</v>
      </c>
      <c r="B306" s="53" t="n"/>
      <c r="C306" s="55" t="n"/>
      <c r="D306" s="55" t="n"/>
      <c r="E306" s="55" t="n"/>
      <c r="F306" s="55" t="n"/>
      <c r="G306" s="63" t="n"/>
      <c r="H306" s="55" t="n"/>
      <c r="I306" s="55" t="n"/>
      <c r="J306" s="55" t="n"/>
      <c r="K306" s="55" t="n"/>
      <c r="L306" s="58">
        <f>IF(G306="","",IF(L305="",G306,L305+G306))</f>
        <v/>
      </c>
      <c r="M306" s="55" t="n"/>
    </row>
    <row r="307" ht="15.75" customHeight="1" s="99">
      <c r="A307" s="41" t="n">
        <v>313</v>
      </c>
      <c r="B307" s="45" t="n"/>
      <c r="C307" s="47" t="n"/>
      <c r="D307" s="47" t="n"/>
      <c r="E307" s="47" t="n"/>
      <c r="F307" s="47" t="n"/>
      <c r="G307" s="62" t="n"/>
      <c r="H307" s="47" t="n"/>
      <c r="I307" s="47" t="n"/>
      <c r="J307" s="47" t="n"/>
      <c r="K307" s="47" t="n"/>
      <c r="L307" s="50">
        <f>IF(G307="","",IF(L306="",G307,L306+G307))</f>
        <v/>
      </c>
      <c r="M307" s="47" t="n"/>
    </row>
    <row r="308" ht="15.75" customHeight="1" s="99">
      <c r="A308" s="43" t="n">
        <v>314</v>
      </c>
      <c r="B308" s="53" t="n"/>
      <c r="C308" s="55" t="n"/>
      <c r="D308" s="55" t="n"/>
      <c r="E308" s="55" t="n"/>
      <c r="F308" s="55" t="n"/>
      <c r="G308" s="63" t="n"/>
      <c r="H308" s="55" t="n"/>
      <c r="I308" s="55" t="n"/>
      <c r="J308" s="55" t="n"/>
      <c r="K308" s="55" t="n"/>
      <c r="L308" s="58">
        <f>IF(G308="","",IF(L307="",G308,L307+G308))</f>
        <v/>
      </c>
      <c r="M308" s="55" t="n"/>
    </row>
    <row r="309" ht="15.75" customHeight="1" s="99">
      <c r="A309" s="41" t="n">
        <v>315</v>
      </c>
      <c r="B309" s="45" t="n"/>
      <c r="C309" s="47" t="n"/>
      <c r="D309" s="47" t="n"/>
      <c r="E309" s="47" t="n"/>
      <c r="F309" s="47" t="n"/>
      <c r="G309" s="62" t="n"/>
      <c r="H309" s="47" t="n"/>
      <c r="I309" s="47" t="n"/>
      <c r="J309" s="47" t="n"/>
      <c r="K309" s="47" t="n"/>
      <c r="L309" s="50">
        <f>IF(G309="","",IF(L308="",G309,L308+G309))</f>
        <v/>
      </c>
      <c r="M309" s="47" t="n"/>
    </row>
    <row r="310" ht="15.75" customHeight="1" s="99">
      <c r="A310" s="43" t="n">
        <v>316</v>
      </c>
      <c r="B310" s="53" t="n"/>
      <c r="C310" s="55" t="n"/>
      <c r="D310" s="55" t="n"/>
      <c r="E310" s="55" t="n"/>
      <c r="F310" s="55" t="n"/>
      <c r="G310" s="63" t="n"/>
      <c r="H310" s="55" t="n"/>
      <c r="I310" s="55" t="n"/>
      <c r="J310" s="55" t="n"/>
      <c r="K310" s="55" t="n"/>
      <c r="L310" s="58">
        <f>IF(G310="","",IF(L309="",G310,L309+G310))</f>
        <v/>
      </c>
      <c r="M310" s="55" t="n"/>
    </row>
    <row r="311" ht="15.75" customHeight="1" s="99">
      <c r="A311" s="41" t="n">
        <v>317</v>
      </c>
      <c r="B311" s="45" t="n"/>
      <c r="C311" s="47" t="n"/>
      <c r="D311" s="47" t="n"/>
      <c r="E311" s="47" t="n"/>
      <c r="F311" s="47" t="n"/>
      <c r="G311" s="62" t="n"/>
      <c r="H311" s="47" t="n"/>
      <c r="I311" s="47" t="n"/>
      <c r="J311" s="47" t="n"/>
      <c r="K311" s="47" t="n"/>
      <c r="L311" s="50">
        <f>IF(G311="","",IF(L310="",G311,L310+G311))</f>
        <v/>
      </c>
      <c r="M311" s="47" t="n"/>
    </row>
    <row r="312" ht="15.75" customHeight="1" s="99">
      <c r="A312" s="43" t="n">
        <v>318</v>
      </c>
      <c r="B312" s="53" t="n"/>
      <c r="C312" s="55" t="n"/>
      <c r="D312" s="55" t="n"/>
      <c r="E312" s="55" t="n"/>
      <c r="F312" s="55" t="n"/>
      <c r="G312" s="63" t="n"/>
      <c r="H312" s="55" t="n"/>
      <c r="I312" s="55" t="n"/>
      <c r="J312" s="55" t="n"/>
      <c r="K312" s="55" t="n"/>
      <c r="L312" s="58">
        <f>IF(G312="","",IF(L311="",G312,L311+G312))</f>
        <v/>
      </c>
      <c r="M312" s="55" t="n"/>
    </row>
    <row r="313" ht="15.75" customHeight="1" s="99">
      <c r="A313" s="41" t="n">
        <v>319</v>
      </c>
      <c r="B313" s="45" t="n"/>
      <c r="C313" s="47" t="n"/>
      <c r="D313" s="47" t="n"/>
      <c r="E313" s="47" t="n"/>
      <c r="F313" s="47" t="n"/>
      <c r="G313" s="62" t="n"/>
      <c r="H313" s="47" t="n"/>
      <c r="I313" s="47" t="n"/>
      <c r="J313" s="47" t="n"/>
      <c r="K313" s="47" t="n"/>
      <c r="L313" s="50">
        <f>IF(G313="","",IF(L312="",G313,L312+G313))</f>
        <v/>
      </c>
      <c r="M313" s="47" t="n"/>
    </row>
    <row r="314" ht="15.75" customHeight="1" s="99">
      <c r="A314" s="43" t="n">
        <v>320</v>
      </c>
      <c r="B314" s="53" t="n"/>
      <c r="C314" s="55" t="n"/>
      <c r="D314" s="55" t="n"/>
      <c r="E314" s="55" t="n"/>
      <c r="F314" s="55" t="n"/>
      <c r="G314" s="63" t="n"/>
      <c r="H314" s="55" t="n"/>
      <c r="I314" s="55" t="n"/>
      <c r="J314" s="55" t="n"/>
      <c r="K314" s="55" t="n"/>
      <c r="L314" s="58">
        <f>IF(G314="","",IF(L313="",G314,L313+G314))</f>
        <v/>
      </c>
      <c r="M314" s="55" t="n"/>
    </row>
    <row r="315" ht="15.75" customHeight="1" s="99">
      <c r="A315" s="41" t="n">
        <v>321</v>
      </c>
      <c r="B315" s="45" t="n"/>
      <c r="C315" s="47" t="n"/>
      <c r="D315" s="47" t="n"/>
      <c r="E315" s="47" t="n"/>
      <c r="F315" s="47" t="n"/>
      <c r="G315" s="62" t="n"/>
      <c r="H315" s="47" t="n"/>
      <c r="I315" s="47" t="n"/>
      <c r="J315" s="47" t="n"/>
      <c r="K315" s="47" t="n"/>
      <c r="L315" s="50">
        <f>IF(G315="","",IF(L314="",G315,L314+G315))</f>
        <v/>
      </c>
      <c r="M315" s="47" t="n"/>
    </row>
    <row r="316" ht="15.75" customHeight="1" s="99">
      <c r="A316" s="43" t="n">
        <v>322</v>
      </c>
      <c r="B316" s="53" t="n"/>
      <c r="C316" s="55" t="n"/>
      <c r="D316" s="55" t="n"/>
      <c r="E316" s="55" t="n"/>
      <c r="F316" s="55" t="n"/>
      <c r="G316" s="63" t="n"/>
      <c r="H316" s="55" t="n"/>
      <c r="I316" s="55" t="n"/>
      <c r="J316" s="55" t="n"/>
      <c r="K316" s="55" t="n"/>
      <c r="L316" s="58">
        <f>IF(G316="","",IF(L315="",G316,L315+G316))</f>
        <v/>
      </c>
      <c r="M316" s="55" t="n"/>
    </row>
    <row r="317" ht="15.75" customHeight="1" s="99">
      <c r="A317" s="41" t="n">
        <v>323</v>
      </c>
      <c r="B317" s="45" t="n"/>
      <c r="C317" s="47" t="n"/>
      <c r="D317" s="47" t="n"/>
      <c r="E317" s="47" t="n"/>
      <c r="F317" s="47" t="n"/>
      <c r="G317" s="62" t="n"/>
      <c r="H317" s="47" t="n"/>
      <c r="I317" s="47" t="n"/>
      <c r="J317" s="47" t="n"/>
      <c r="K317" s="47" t="n"/>
      <c r="L317" s="50">
        <f>IF(G317="","",IF(L316="",G317,L316+G317))</f>
        <v/>
      </c>
      <c r="M317" s="47" t="n"/>
    </row>
    <row r="318" ht="15.75" customHeight="1" s="99">
      <c r="A318" s="43" t="n">
        <v>324</v>
      </c>
      <c r="B318" s="53" t="n"/>
      <c r="C318" s="55" t="n"/>
      <c r="D318" s="55" t="n"/>
      <c r="E318" s="55" t="n"/>
      <c r="F318" s="55" t="n"/>
      <c r="G318" s="63" t="n"/>
      <c r="H318" s="55" t="n"/>
      <c r="I318" s="55" t="n"/>
      <c r="J318" s="55" t="n"/>
      <c r="K318" s="55" t="n"/>
      <c r="L318" s="58">
        <f>IF(G318="","",IF(L317="",G318,L317+G318))</f>
        <v/>
      </c>
      <c r="M318" s="55" t="n"/>
    </row>
    <row r="319" ht="15.75" customHeight="1" s="99">
      <c r="A319" s="41" t="n">
        <v>325</v>
      </c>
      <c r="B319" s="45" t="n"/>
      <c r="C319" s="47" t="n"/>
      <c r="D319" s="47" t="n"/>
      <c r="E319" s="47" t="n"/>
      <c r="F319" s="47" t="n"/>
      <c r="G319" s="62" t="n"/>
      <c r="H319" s="47" t="n"/>
      <c r="I319" s="47" t="n"/>
      <c r="J319" s="47" t="n"/>
      <c r="K319" s="47" t="n"/>
      <c r="L319" s="50">
        <f>IF(G319="","",IF(L318="",G319,L318+G319))</f>
        <v/>
      </c>
      <c r="M319" s="47" t="n"/>
    </row>
    <row r="320" ht="15.75" customHeight="1" s="99">
      <c r="A320" s="43" t="n">
        <v>326</v>
      </c>
      <c r="B320" s="53" t="n"/>
      <c r="C320" s="55" t="n"/>
      <c r="D320" s="55" t="n"/>
      <c r="E320" s="55" t="n"/>
      <c r="F320" s="55" t="n"/>
      <c r="G320" s="63" t="n"/>
      <c r="H320" s="55" t="n"/>
      <c r="I320" s="55" t="n"/>
      <c r="J320" s="55" t="n"/>
      <c r="K320" s="55" t="n"/>
      <c r="L320" s="58">
        <f>IF(G320="","",IF(L319="",G320,L319+G320))</f>
        <v/>
      </c>
      <c r="M320" s="55" t="n"/>
    </row>
    <row r="321" ht="15.75" customHeight="1" s="99">
      <c r="A321" s="41" t="n">
        <v>327</v>
      </c>
      <c r="B321" s="45" t="n"/>
      <c r="C321" s="47" t="n"/>
      <c r="D321" s="47" t="n"/>
      <c r="E321" s="47" t="n"/>
      <c r="F321" s="47" t="n"/>
      <c r="G321" s="62" t="n"/>
      <c r="H321" s="47" t="n"/>
      <c r="I321" s="47" t="n"/>
      <c r="J321" s="47" t="n"/>
      <c r="K321" s="47" t="n"/>
      <c r="L321" s="50">
        <f>IF(G321="","",IF(L320="",G321,L320+G321))</f>
        <v/>
      </c>
      <c r="M321" s="47" t="n"/>
    </row>
    <row r="322" ht="15.75" customHeight="1" s="99">
      <c r="A322" s="43" t="n">
        <v>328</v>
      </c>
      <c r="B322" s="53" t="n"/>
      <c r="C322" s="55" t="n"/>
      <c r="D322" s="55" t="n"/>
      <c r="E322" s="55" t="n"/>
      <c r="F322" s="55" t="n"/>
      <c r="G322" s="63" t="n"/>
      <c r="H322" s="55" t="n"/>
      <c r="I322" s="55" t="n"/>
      <c r="J322" s="55" t="n"/>
      <c r="K322" s="55" t="n"/>
      <c r="L322" s="58">
        <f>IF(G322="","",IF(L321="",G322,L321+G322))</f>
        <v/>
      </c>
      <c r="M322" s="55" t="n"/>
    </row>
    <row r="323" ht="15.75" customHeight="1" s="99">
      <c r="A323" s="41" t="n">
        <v>329</v>
      </c>
      <c r="B323" s="45" t="n"/>
      <c r="C323" s="47" t="n"/>
      <c r="D323" s="47" t="n"/>
      <c r="E323" s="47" t="n"/>
      <c r="F323" s="47" t="n"/>
      <c r="G323" s="62" t="n"/>
      <c r="H323" s="47" t="n"/>
      <c r="I323" s="47" t="n"/>
      <c r="J323" s="47" t="n"/>
      <c r="K323" s="47" t="n"/>
      <c r="L323" s="50">
        <f>IF(G323="","",IF(L322="",G323,L322+G323))</f>
        <v/>
      </c>
      <c r="M323" s="47" t="n"/>
    </row>
    <row r="324" ht="15.75" customHeight="1" s="99">
      <c r="A324" s="43" t="n">
        <v>330</v>
      </c>
      <c r="B324" s="53" t="n"/>
      <c r="C324" s="55" t="n"/>
      <c r="D324" s="55" t="n"/>
      <c r="E324" s="55" t="n"/>
      <c r="F324" s="55" t="n"/>
      <c r="G324" s="63" t="n"/>
      <c r="H324" s="55" t="n"/>
      <c r="I324" s="55" t="n"/>
      <c r="J324" s="55" t="n"/>
      <c r="K324" s="55" t="n"/>
      <c r="L324" s="58">
        <f>IF(G324="","",IF(L323="",G324,L323+G324))</f>
        <v/>
      </c>
      <c r="M324" s="55" t="n"/>
    </row>
    <row r="325" ht="15.75" customHeight="1" s="99">
      <c r="A325" s="41" t="n">
        <v>331</v>
      </c>
      <c r="B325" s="45" t="n"/>
      <c r="C325" s="47" t="n"/>
      <c r="D325" s="47" t="n"/>
      <c r="E325" s="47" t="n"/>
      <c r="F325" s="47" t="n"/>
      <c r="G325" s="62" t="n"/>
      <c r="H325" s="47" t="n"/>
      <c r="I325" s="47" t="n"/>
      <c r="J325" s="47" t="n"/>
      <c r="K325" s="47" t="n"/>
      <c r="L325" s="50">
        <f>IF(G325="","",IF(L324="",G325,L324+G325))</f>
        <v/>
      </c>
      <c r="M325" s="47" t="n"/>
    </row>
    <row r="326" ht="15.75" customHeight="1" s="99">
      <c r="A326" s="43" t="n">
        <v>332</v>
      </c>
      <c r="B326" s="53" t="n"/>
      <c r="C326" s="55" t="n"/>
      <c r="D326" s="55" t="n"/>
      <c r="E326" s="55" t="n"/>
      <c r="F326" s="55" t="n"/>
      <c r="G326" s="63" t="n"/>
      <c r="H326" s="55" t="n"/>
      <c r="I326" s="55" t="n"/>
      <c r="J326" s="55" t="n"/>
      <c r="K326" s="55" t="n"/>
      <c r="L326" s="58">
        <f>IF(G326="","",IF(L325="",G326,L325+G326))</f>
        <v/>
      </c>
      <c r="M326" s="55" t="n"/>
    </row>
    <row r="327" ht="15.75" customHeight="1" s="99">
      <c r="A327" s="41" t="n">
        <v>333</v>
      </c>
      <c r="B327" s="45" t="n"/>
      <c r="C327" s="47" t="n"/>
      <c r="D327" s="47" t="n"/>
      <c r="E327" s="47" t="n"/>
      <c r="F327" s="47" t="n"/>
      <c r="G327" s="62" t="n"/>
      <c r="H327" s="47" t="n"/>
      <c r="I327" s="47" t="n"/>
      <c r="J327" s="47" t="n"/>
      <c r="K327" s="47" t="n"/>
      <c r="L327" s="50">
        <f>IF(G327="","",IF(L326="",G327,L326+G327))</f>
        <v/>
      </c>
      <c r="M327" s="47" t="n"/>
    </row>
    <row r="328" ht="15.75" customHeight="1" s="99">
      <c r="A328" s="43" t="n">
        <v>334</v>
      </c>
      <c r="B328" s="53" t="n"/>
      <c r="C328" s="55" t="n"/>
      <c r="D328" s="55" t="n"/>
      <c r="E328" s="55" t="n"/>
      <c r="F328" s="55" t="n"/>
      <c r="G328" s="63" t="n"/>
      <c r="H328" s="55" t="n"/>
      <c r="I328" s="55" t="n"/>
      <c r="J328" s="55" t="n"/>
      <c r="K328" s="55" t="n"/>
      <c r="L328" s="58">
        <f>IF(G328="","",IF(L327="",G328,L327+G328))</f>
        <v/>
      </c>
      <c r="M328" s="55" t="n"/>
    </row>
    <row r="329" ht="15.75" customHeight="1" s="99">
      <c r="A329" s="41" t="n">
        <v>335</v>
      </c>
      <c r="B329" s="45" t="n"/>
      <c r="C329" s="47" t="n"/>
      <c r="D329" s="47" t="n"/>
      <c r="E329" s="47" t="n"/>
      <c r="F329" s="47" t="n"/>
      <c r="G329" s="62" t="n"/>
      <c r="H329" s="47" t="n"/>
      <c r="I329" s="47" t="n"/>
      <c r="J329" s="47" t="n"/>
      <c r="K329" s="47" t="n"/>
      <c r="L329" s="50">
        <f>IF(G329="","",IF(L328="",G329,L328+G329))</f>
        <v/>
      </c>
      <c r="M329" s="47" t="n"/>
    </row>
    <row r="330" ht="15.75" customHeight="1" s="99">
      <c r="A330" s="43" t="n">
        <v>336</v>
      </c>
      <c r="B330" s="53" t="n"/>
      <c r="C330" s="55" t="n"/>
      <c r="D330" s="55" t="n"/>
      <c r="E330" s="55" t="n"/>
      <c r="F330" s="55" t="n"/>
      <c r="G330" s="63" t="n"/>
      <c r="H330" s="55" t="n"/>
      <c r="I330" s="55" t="n"/>
      <c r="J330" s="55" t="n"/>
      <c r="K330" s="55" t="n"/>
      <c r="L330" s="58">
        <f>IF(G330="","",IF(L329="",G330,L329+G330))</f>
        <v/>
      </c>
      <c r="M330" s="55" t="n"/>
    </row>
    <row r="331" ht="15.75" customHeight="1" s="99">
      <c r="A331" s="41" t="n">
        <v>337</v>
      </c>
      <c r="B331" s="45" t="n"/>
      <c r="C331" s="47" t="n"/>
      <c r="D331" s="47" t="n"/>
      <c r="E331" s="47" t="n"/>
      <c r="F331" s="47" t="n"/>
      <c r="G331" s="62" t="n"/>
      <c r="H331" s="47" t="n"/>
      <c r="I331" s="47" t="n"/>
      <c r="J331" s="47" t="n"/>
      <c r="K331" s="47" t="n"/>
      <c r="L331" s="50">
        <f>IF(G331="","",IF(L330="",G331,L330+G331))</f>
        <v/>
      </c>
      <c r="M331" s="47" t="n"/>
    </row>
    <row r="332" ht="15.75" customHeight="1" s="99">
      <c r="A332" s="43" t="n">
        <v>338</v>
      </c>
      <c r="B332" s="53" t="n"/>
      <c r="C332" s="55" t="n"/>
      <c r="D332" s="55" t="n"/>
      <c r="E332" s="55" t="n"/>
      <c r="F332" s="55" t="n"/>
      <c r="G332" s="63" t="n"/>
      <c r="H332" s="55" t="n"/>
      <c r="I332" s="55" t="n"/>
      <c r="J332" s="55" t="n"/>
      <c r="K332" s="55" t="n"/>
      <c r="L332" s="58">
        <f>IF(G332="","",IF(L331="",G332,L331+G332))</f>
        <v/>
      </c>
      <c r="M332" s="55" t="n"/>
    </row>
    <row r="333" ht="15.75" customHeight="1" s="99">
      <c r="A333" s="41" t="n">
        <v>339</v>
      </c>
      <c r="B333" s="45" t="n"/>
      <c r="C333" s="47" t="n"/>
      <c r="D333" s="47" t="n"/>
      <c r="E333" s="47" t="n"/>
      <c r="F333" s="47" t="n"/>
      <c r="G333" s="62" t="n"/>
      <c r="H333" s="47" t="n"/>
      <c r="I333" s="47" t="n"/>
      <c r="J333" s="47" t="n"/>
      <c r="K333" s="47" t="n"/>
      <c r="L333" s="50">
        <f>IF(G333="","",IF(L332="",G333,L332+G333))</f>
        <v/>
      </c>
      <c r="M333" s="47" t="n"/>
    </row>
    <row r="334" ht="15.75" customHeight="1" s="99">
      <c r="A334" s="43" t="n">
        <v>340</v>
      </c>
      <c r="B334" s="53" t="n"/>
      <c r="C334" s="55" t="n"/>
      <c r="D334" s="55" t="n"/>
      <c r="E334" s="55" t="n"/>
      <c r="F334" s="55" t="n"/>
      <c r="G334" s="63" t="n"/>
      <c r="H334" s="55" t="n"/>
      <c r="I334" s="55" t="n"/>
      <c r="J334" s="55" t="n"/>
      <c r="K334" s="55" t="n"/>
      <c r="L334" s="58">
        <f>IF(G334="","",IF(L333="",G334,L333+G334))</f>
        <v/>
      </c>
      <c r="M334" s="55" t="n"/>
    </row>
    <row r="335" ht="15.75" customHeight="1" s="99">
      <c r="A335" s="41" t="n">
        <v>341</v>
      </c>
      <c r="B335" s="45" t="n"/>
      <c r="C335" s="47" t="n"/>
      <c r="D335" s="47" t="n"/>
      <c r="E335" s="47" t="n"/>
      <c r="F335" s="47" t="n"/>
      <c r="G335" s="62" t="n"/>
      <c r="H335" s="47" t="n"/>
      <c r="I335" s="47" t="n"/>
      <c r="J335" s="47" t="n"/>
      <c r="K335" s="47" t="n"/>
      <c r="L335" s="50">
        <f>IF(G335="","",IF(L334="",G335,L334+G335))</f>
        <v/>
      </c>
      <c r="M335" s="47" t="n"/>
    </row>
    <row r="336" ht="15.75" customHeight="1" s="99">
      <c r="A336" s="43" t="n">
        <v>342</v>
      </c>
      <c r="B336" s="53" t="n"/>
      <c r="C336" s="55" t="n"/>
      <c r="D336" s="55" t="n"/>
      <c r="E336" s="55" t="n"/>
      <c r="F336" s="55" t="n"/>
      <c r="G336" s="63" t="n"/>
      <c r="H336" s="55" t="n"/>
      <c r="I336" s="55" t="n"/>
      <c r="J336" s="55" t="n"/>
      <c r="K336" s="55" t="n"/>
      <c r="L336" s="58">
        <f>IF(G336="","",IF(L335="",G336,L335+G336))</f>
        <v/>
      </c>
      <c r="M336" s="55" t="n"/>
    </row>
    <row r="337" ht="15.75" customHeight="1" s="99">
      <c r="A337" s="41" t="n">
        <v>343</v>
      </c>
      <c r="B337" s="45" t="n"/>
      <c r="C337" s="47" t="n"/>
      <c r="D337" s="47" t="n"/>
      <c r="E337" s="47" t="n"/>
      <c r="F337" s="47" t="n"/>
      <c r="G337" s="62" t="n"/>
      <c r="H337" s="47" t="n"/>
      <c r="I337" s="47" t="n"/>
      <c r="J337" s="47" t="n"/>
      <c r="K337" s="47" t="n"/>
      <c r="L337" s="50">
        <f>IF(G337="","",IF(L336="",G337,L336+G337))</f>
        <v/>
      </c>
      <c r="M337" s="47" t="n"/>
    </row>
    <row r="338" ht="15.75" customHeight="1" s="99">
      <c r="A338" s="43" t="n">
        <v>344</v>
      </c>
      <c r="B338" s="53" t="n"/>
      <c r="C338" s="55" t="n"/>
      <c r="D338" s="55" t="n"/>
      <c r="E338" s="55" t="n"/>
      <c r="F338" s="55" t="n"/>
      <c r="G338" s="63" t="n"/>
      <c r="H338" s="55" t="n"/>
      <c r="I338" s="55" t="n"/>
      <c r="J338" s="55" t="n"/>
      <c r="K338" s="55" t="n"/>
      <c r="L338" s="58">
        <f>IF(G338="","",IF(L337="",G338,L337+G338))</f>
        <v/>
      </c>
      <c r="M338" s="55" t="n"/>
    </row>
    <row r="339" ht="15.75" customHeight="1" s="99">
      <c r="A339" s="41" t="n">
        <v>345</v>
      </c>
      <c r="B339" s="45" t="n"/>
      <c r="C339" s="47" t="n"/>
      <c r="D339" s="47" t="n"/>
      <c r="E339" s="47" t="n"/>
      <c r="F339" s="47" t="n"/>
      <c r="G339" s="62" t="n"/>
      <c r="H339" s="47" t="n"/>
      <c r="I339" s="47" t="n"/>
      <c r="J339" s="47" t="n"/>
      <c r="K339" s="47" t="n"/>
      <c r="L339" s="50">
        <f>IF(G339="","",IF(L338="",G339,L338+G339))</f>
        <v/>
      </c>
      <c r="M339" s="47" t="n"/>
    </row>
    <row r="340" ht="15.75" customHeight="1" s="99">
      <c r="A340" s="43" t="n">
        <v>346</v>
      </c>
      <c r="B340" s="53" t="n"/>
      <c r="C340" s="55" t="n"/>
      <c r="D340" s="55" t="n"/>
      <c r="E340" s="55" t="n"/>
      <c r="F340" s="55" t="n"/>
      <c r="G340" s="63" t="n"/>
      <c r="H340" s="55" t="n"/>
      <c r="I340" s="55" t="n"/>
      <c r="J340" s="55" t="n"/>
      <c r="K340" s="55" t="n"/>
      <c r="L340" s="58">
        <f>IF(G340="","",IF(L339="",G340,L339+G340))</f>
        <v/>
      </c>
      <c r="M340" s="55" t="n"/>
    </row>
    <row r="341" ht="15.75" customHeight="1" s="99">
      <c r="A341" s="41" t="n">
        <v>347</v>
      </c>
      <c r="B341" s="45" t="n"/>
      <c r="C341" s="47" t="n"/>
      <c r="D341" s="47" t="n"/>
      <c r="E341" s="47" t="n"/>
      <c r="F341" s="47" t="n"/>
      <c r="G341" s="62" t="n"/>
      <c r="H341" s="47" t="n"/>
      <c r="I341" s="47" t="n"/>
      <c r="J341" s="47" t="n"/>
      <c r="K341" s="47" t="n"/>
      <c r="L341" s="50">
        <f>IF(G341="","",IF(L340="",G341,L340+G341))</f>
        <v/>
      </c>
      <c r="M341" s="47" t="n"/>
    </row>
    <row r="342" ht="15.75" customHeight="1" s="99">
      <c r="A342" s="43" t="n">
        <v>348</v>
      </c>
      <c r="B342" s="53" t="n"/>
      <c r="C342" s="55" t="n"/>
      <c r="D342" s="55" t="n"/>
      <c r="E342" s="55" t="n"/>
      <c r="F342" s="55" t="n"/>
      <c r="G342" s="63" t="n"/>
      <c r="H342" s="55" t="n"/>
      <c r="I342" s="55" t="n"/>
      <c r="J342" s="55" t="n"/>
      <c r="K342" s="55" t="n"/>
      <c r="L342" s="58">
        <f>IF(G342="","",IF(L341="",G342,L341+G342))</f>
        <v/>
      </c>
      <c r="M342" s="55" t="n"/>
    </row>
    <row r="343" ht="15.75" customHeight="1" s="99">
      <c r="A343" s="41" t="n">
        <v>349</v>
      </c>
      <c r="B343" s="45" t="n"/>
      <c r="C343" s="47" t="n"/>
      <c r="D343" s="47" t="n"/>
      <c r="E343" s="47" t="n"/>
      <c r="F343" s="47" t="n"/>
      <c r="G343" s="62" t="n"/>
      <c r="H343" s="47" t="n"/>
      <c r="I343" s="47" t="n"/>
      <c r="J343" s="47" t="n"/>
      <c r="K343" s="47" t="n"/>
      <c r="L343" s="50">
        <f>IF(G343="","",IF(L342="",G343,L342+G343))</f>
        <v/>
      </c>
      <c r="M343" s="47" t="n"/>
    </row>
    <row r="344" ht="15.75" customHeight="1" s="99">
      <c r="A344" s="43" t="n">
        <v>350</v>
      </c>
      <c r="B344" s="53" t="n"/>
      <c r="C344" s="55" t="n"/>
      <c r="D344" s="55" t="n"/>
      <c r="E344" s="55" t="n"/>
      <c r="F344" s="55" t="n"/>
      <c r="G344" s="63" t="n"/>
      <c r="H344" s="55" t="n"/>
      <c r="I344" s="55" t="n"/>
      <c r="J344" s="55" t="n"/>
      <c r="K344" s="55" t="n"/>
      <c r="L344" s="58">
        <f>IF(G344="","",IF(L343="",G344,L343+G344))</f>
        <v/>
      </c>
      <c r="M344" s="55" t="n"/>
    </row>
    <row r="345" ht="15.75" customHeight="1" s="99">
      <c r="A345" s="41" t="n">
        <v>351</v>
      </c>
      <c r="B345" s="45" t="n"/>
      <c r="C345" s="47" t="n"/>
      <c r="D345" s="47" t="n"/>
      <c r="E345" s="47" t="n"/>
      <c r="F345" s="47" t="n"/>
      <c r="G345" s="62" t="n"/>
      <c r="H345" s="47" t="n"/>
      <c r="I345" s="47" t="n"/>
      <c r="J345" s="47" t="n"/>
      <c r="K345" s="47" t="n"/>
      <c r="L345" s="50">
        <f>IF(G345="","",IF(L344="",G345,L344+G345))</f>
        <v/>
      </c>
      <c r="M345" s="47" t="n"/>
    </row>
    <row r="346" ht="15.75" customHeight="1" s="99">
      <c r="A346" s="43" t="n">
        <v>352</v>
      </c>
      <c r="B346" s="53" t="n"/>
      <c r="C346" s="55" t="n"/>
      <c r="D346" s="55" t="n"/>
      <c r="E346" s="55" t="n"/>
      <c r="F346" s="55" t="n"/>
      <c r="G346" s="63" t="n"/>
      <c r="H346" s="55" t="n"/>
      <c r="I346" s="55" t="n"/>
      <c r="J346" s="55" t="n"/>
      <c r="K346" s="55" t="n"/>
      <c r="L346" s="58">
        <f>IF(G346="","",IF(L345="",G346,L345+G346))</f>
        <v/>
      </c>
      <c r="M346" s="55" t="n"/>
    </row>
    <row r="347" ht="15.75" customHeight="1" s="99">
      <c r="A347" s="41" t="n">
        <v>353</v>
      </c>
      <c r="B347" s="45" t="n"/>
      <c r="C347" s="47" t="n"/>
      <c r="D347" s="47" t="n"/>
      <c r="E347" s="47" t="n"/>
      <c r="F347" s="47" t="n"/>
      <c r="G347" s="62" t="n"/>
      <c r="H347" s="47" t="n"/>
      <c r="I347" s="47" t="n"/>
      <c r="J347" s="47" t="n"/>
      <c r="K347" s="47" t="n"/>
      <c r="L347" s="50">
        <f>IF(G347="","",IF(L346="",G347,L346+G347))</f>
        <v/>
      </c>
      <c r="M347" s="47" t="n"/>
    </row>
    <row r="348" ht="15.75" customHeight="1" s="99">
      <c r="A348" s="43" t="n">
        <v>354</v>
      </c>
      <c r="B348" s="53" t="n"/>
      <c r="C348" s="55" t="n"/>
      <c r="D348" s="55" t="n"/>
      <c r="E348" s="55" t="n"/>
      <c r="F348" s="55" t="n"/>
      <c r="G348" s="63" t="n"/>
      <c r="H348" s="55" t="n"/>
      <c r="I348" s="55" t="n"/>
      <c r="J348" s="55" t="n"/>
      <c r="K348" s="55" t="n"/>
      <c r="L348" s="58">
        <f>IF(G348="","",IF(L347="",G348,L347+G348))</f>
        <v/>
      </c>
      <c r="M348" s="55" t="n"/>
    </row>
    <row r="349" ht="15.75" customHeight="1" s="99">
      <c r="A349" s="41" t="n">
        <v>355</v>
      </c>
      <c r="B349" s="45" t="n"/>
      <c r="C349" s="47" t="n"/>
      <c r="D349" s="47" t="n"/>
      <c r="E349" s="47" t="n"/>
      <c r="F349" s="47" t="n"/>
      <c r="G349" s="62" t="n"/>
      <c r="H349" s="47" t="n"/>
      <c r="I349" s="47" t="n"/>
      <c r="J349" s="47" t="n"/>
      <c r="K349" s="47" t="n"/>
      <c r="L349" s="50">
        <f>IF(G349="","",IF(L348="",G349,L348+G349))</f>
        <v/>
      </c>
      <c r="M349" s="47" t="n"/>
    </row>
    <row r="350" ht="15.75" customHeight="1" s="99">
      <c r="A350" s="43" t="n">
        <v>356</v>
      </c>
      <c r="B350" s="53" t="n"/>
      <c r="C350" s="55" t="n"/>
      <c r="D350" s="55" t="n"/>
      <c r="E350" s="55" t="n"/>
      <c r="F350" s="55" t="n"/>
      <c r="G350" s="63" t="n"/>
      <c r="H350" s="55" t="n"/>
      <c r="I350" s="55" t="n"/>
      <c r="J350" s="55" t="n"/>
      <c r="K350" s="55" t="n"/>
      <c r="L350" s="58">
        <f>IF(G350="","",IF(L349="",G350,L349+G350))</f>
        <v/>
      </c>
      <c r="M350" s="55" t="n"/>
    </row>
    <row r="351" ht="15.75" customHeight="1" s="99">
      <c r="A351" s="41" t="n">
        <v>357</v>
      </c>
      <c r="B351" s="45" t="n"/>
      <c r="C351" s="47" t="n"/>
      <c r="D351" s="47" t="n"/>
      <c r="E351" s="47" t="n"/>
      <c r="F351" s="47" t="n"/>
      <c r="G351" s="62" t="n"/>
      <c r="H351" s="47" t="n"/>
      <c r="I351" s="47" t="n"/>
      <c r="J351" s="47" t="n"/>
      <c r="K351" s="47" t="n"/>
      <c r="L351" s="50">
        <f>IF(G351="","",IF(L350="",G351,L350+G351))</f>
        <v/>
      </c>
      <c r="M351" s="47" t="n"/>
    </row>
    <row r="352" ht="15.75" customHeight="1" s="99">
      <c r="A352" s="43" t="n">
        <v>358</v>
      </c>
      <c r="B352" s="53" t="n"/>
      <c r="C352" s="55" t="n"/>
      <c r="D352" s="55" t="n"/>
      <c r="E352" s="55" t="n"/>
      <c r="F352" s="55" t="n"/>
      <c r="G352" s="63" t="n"/>
      <c r="H352" s="55" t="n"/>
      <c r="I352" s="55" t="n"/>
      <c r="J352" s="55" t="n"/>
      <c r="K352" s="55" t="n"/>
      <c r="L352" s="58">
        <f>IF(G352="","",IF(L351="",G352,L351+G352))</f>
        <v/>
      </c>
      <c r="M352" s="55" t="n"/>
    </row>
    <row r="353" ht="15.75" customHeight="1" s="99">
      <c r="A353" s="41" t="n">
        <v>359</v>
      </c>
      <c r="B353" s="45" t="n"/>
      <c r="C353" s="47" t="n"/>
      <c r="D353" s="47" t="n"/>
      <c r="E353" s="47" t="n"/>
      <c r="F353" s="47" t="n"/>
      <c r="G353" s="62" t="n"/>
      <c r="H353" s="47" t="n"/>
      <c r="I353" s="47" t="n"/>
      <c r="J353" s="47" t="n"/>
      <c r="K353" s="47" t="n"/>
      <c r="L353" s="50">
        <f>IF(G353="","",IF(L352="",G353,L352+G353))</f>
        <v/>
      </c>
      <c r="M353" s="47" t="n"/>
    </row>
    <row r="354" ht="15.75" customHeight="1" s="99">
      <c r="A354" s="43" t="n">
        <v>360</v>
      </c>
      <c r="B354" s="53" t="n"/>
      <c r="C354" s="55" t="n"/>
      <c r="D354" s="55" t="n"/>
      <c r="E354" s="55" t="n"/>
      <c r="F354" s="55" t="n"/>
      <c r="G354" s="63" t="n"/>
      <c r="H354" s="55" t="n"/>
      <c r="I354" s="55" t="n"/>
      <c r="J354" s="55" t="n"/>
      <c r="K354" s="55" t="n"/>
      <c r="L354" s="58">
        <f>IF(G354="","",IF(L353="",G354,L353+G354))</f>
        <v/>
      </c>
      <c r="M354" s="55" t="n"/>
    </row>
    <row r="355" ht="15.75" customHeight="1" s="99">
      <c r="A355" s="41" t="n">
        <v>361</v>
      </c>
      <c r="B355" s="45" t="n"/>
      <c r="C355" s="47" t="n"/>
      <c r="D355" s="47" t="n"/>
      <c r="E355" s="47" t="n"/>
      <c r="F355" s="47" t="n"/>
      <c r="G355" s="62" t="n"/>
      <c r="H355" s="47" t="n"/>
      <c r="I355" s="47" t="n"/>
      <c r="J355" s="47" t="n"/>
      <c r="K355" s="47" t="n"/>
      <c r="L355" s="50">
        <f>IF(G355="","",IF(L354="",G355,L354+G355))</f>
        <v/>
      </c>
      <c r="M355" s="47" t="n"/>
    </row>
    <row r="356" ht="15.75" customHeight="1" s="99">
      <c r="A356" s="43" t="n">
        <v>362</v>
      </c>
      <c r="B356" s="53" t="n"/>
      <c r="C356" s="55" t="n"/>
      <c r="D356" s="55" t="n"/>
      <c r="E356" s="55" t="n"/>
      <c r="F356" s="55" t="n"/>
      <c r="G356" s="63" t="n"/>
      <c r="H356" s="55" t="n"/>
      <c r="I356" s="55" t="n"/>
      <c r="J356" s="55" t="n"/>
      <c r="K356" s="55" t="n"/>
      <c r="L356" s="58">
        <f>IF(G356="","",IF(L355="",G356,L355+G356))</f>
        <v/>
      </c>
      <c r="M356" s="55" t="n"/>
    </row>
    <row r="357" ht="15.75" customHeight="1" s="99">
      <c r="A357" s="41" t="n">
        <v>363</v>
      </c>
      <c r="B357" s="45" t="n"/>
      <c r="C357" s="47" t="n"/>
      <c r="D357" s="47" t="n"/>
      <c r="E357" s="47" t="n"/>
      <c r="F357" s="47" t="n"/>
      <c r="G357" s="62" t="n"/>
      <c r="H357" s="47" t="n"/>
      <c r="I357" s="47" t="n"/>
      <c r="J357" s="47" t="n"/>
      <c r="K357" s="47" t="n"/>
      <c r="L357" s="50">
        <f>IF(G357="","",IF(L356="",G357,L356+G357))</f>
        <v/>
      </c>
      <c r="M357" s="47" t="n"/>
    </row>
    <row r="358" ht="15.75" customHeight="1" s="99">
      <c r="A358" s="43" t="n">
        <v>364</v>
      </c>
      <c r="B358" s="53" t="n"/>
      <c r="C358" s="55" t="n"/>
      <c r="D358" s="55" t="n"/>
      <c r="E358" s="55" t="n"/>
      <c r="F358" s="55" t="n"/>
      <c r="G358" s="63" t="n"/>
      <c r="H358" s="55" t="n"/>
      <c r="I358" s="55" t="n"/>
      <c r="J358" s="55" t="n"/>
      <c r="K358" s="55" t="n"/>
      <c r="L358" s="58">
        <f>IF(G358="","",IF(L357="",G358,L357+G358))</f>
        <v/>
      </c>
      <c r="M358" s="55" t="n"/>
    </row>
    <row r="359" ht="15.75" customHeight="1" s="99">
      <c r="A359" s="41" t="n">
        <v>365</v>
      </c>
      <c r="B359" s="45" t="n"/>
      <c r="C359" s="47" t="n"/>
      <c r="D359" s="47" t="n"/>
      <c r="E359" s="47" t="n"/>
      <c r="F359" s="47" t="n"/>
      <c r="G359" s="62" t="n"/>
      <c r="H359" s="47" t="n"/>
      <c r="I359" s="47" t="n"/>
      <c r="J359" s="47" t="n"/>
      <c r="K359" s="47" t="n"/>
      <c r="L359" s="50">
        <f>IF(G359="","",IF(L358="",G359,L358+G359))</f>
        <v/>
      </c>
      <c r="M359" s="47" t="n"/>
    </row>
    <row r="360" ht="15.75" customHeight="1" s="99">
      <c r="A360" s="43" t="n">
        <v>366</v>
      </c>
      <c r="B360" s="53" t="n"/>
      <c r="C360" s="55" t="n"/>
      <c r="D360" s="55" t="n"/>
      <c r="E360" s="55" t="n"/>
      <c r="F360" s="55" t="n"/>
      <c r="G360" s="63" t="n"/>
      <c r="H360" s="55" t="n"/>
      <c r="I360" s="55" t="n"/>
      <c r="J360" s="55" t="n"/>
      <c r="K360" s="55" t="n"/>
      <c r="L360" s="58">
        <f>IF(G360="","",IF(L359="",G360,L359+G360))</f>
        <v/>
      </c>
      <c r="M360" s="55" t="n"/>
    </row>
    <row r="361" ht="15.75" customHeight="1" s="99">
      <c r="A361" s="41" t="n">
        <v>367</v>
      </c>
      <c r="B361" s="45" t="n"/>
      <c r="C361" s="47" t="n"/>
      <c r="D361" s="47" t="n"/>
      <c r="E361" s="47" t="n"/>
      <c r="F361" s="47" t="n"/>
      <c r="G361" s="62" t="n"/>
      <c r="H361" s="47" t="n"/>
      <c r="I361" s="47" t="n"/>
      <c r="J361" s="47" t="n"/>
      <c r="K361" s="47" t="n"/>
      <c r="L361" s="50">
        <f>IF(G361="","",IF(L360="",G361,L360+G361))</f>
        <v/>
      </c>
      <c r="M361" s="47" t="n"/>
    </row>
    <row r="362" ht="15.75" customHeight="1" s="99">
      <c r="A362" s="43" t="n">
        <v>368</v>
      </c>
      <c r="B362" s="53" t="n"/>
      <c r="C362" s="55" t="n"/>
      <c r="D362" s="55" t="n"/>
      <c r="E362" s="55" t="n"/>
      <c r="F362" s="55" t="n"/>
      <c r="G362" s="63" t="n"/>
      <c r="H362" s="55" t="n"/>
      <c r="I362" s="55" t="n"/>
      <c r="J362" s="55" t="n"/>
      <c r="K362" s="55" t="n"/>
      <c r="L362" s="58">
        <f>IF(G362="","",IF(L361="",G362,L361+G362))</f>
        <v/>
      </c>
      <c r="M362" s="55" t="n"/>
    </row>
    <row r="363" ht="15.75" customHeight="1" s="99">
      <c r="A363" s="41" t="n">
        <v>369</v>
      </c>
      <c r="B363" s="45" t="n"/>
      <c r="C363" s="47" t="n"/>
      <c r="D363" s="47" t="n"/>
      <c r="E363" s="47" t="n"/>
      <c r="F363" s="47" t="n"/>
      <c r="G363" s="62" t="n"/>
      <c r="H363" s="47" t="n"/>
      <c r="I363" s="47" t="n"/>
      <c r="J363" s="47" t="n"/>
      <c r="K363" s="47" t="n"/>
      <c r="L363" s="50">
        <f>IF(G363="","",IF(L362="",G363,L362+G363))</f>
        <v/>
      </c>
      <c r="M363" s="47" t="n"/>
    </row>
    <row r="364" ht="15.75" customHeight="1" s="99">
      <c r="A364" s="43" t="n">
        <v>370</v>
      </c>
      <c r="B364" s="53" t="n"/>
      <c r="C364" s="55" t="n"/>
      <c r="D364" s="55" t="n"/>
      <c r="E364" s="55" t="n"/>
      <c r="F364" s="55" t="n"/>
      <c r="G364" s="63" t="n"/>
      <c r="H364" s="55" t="n"/>
      <c r="I364" s="55" t="n"/>
      <c r="J364" s="55" t="n"/>
      <c r="K364" s="55" t="n"/>
      <c r="L364" s="58">
        <f>IF(G364="","",IF(L363="",G364,L363+G364))</f>
        <v/>
      </c>
      <c r="M364" s="55" t="n"/>
    </row>
    <row r="365" ht="15.75" customHeight="1" s="99">
      <c r="A365" s="41" t="n">
        <v>371</v>
      </c>
      <c r="B365" s="45" t="n"/>
      <c r="C365" s="47" t="n"/>
      <c r="D365" s="47" t="n"/>
      <c r="E365" s="47" t="n"/>
      <c r="F365" s="47" t="n"/>
      <c r="G365" s="62" t="n"/>
      <c r="H365" s="47" t="n"/>
      <c r="I365" s="47" t="n"/>
      <c r="J365" s="47" t="n"/>
      <c r="K365" s="47" t="n"/>
      <c r="L365" s="50">
        <f>IF(G365="","",IF(L364="",G365,L364+G365))</f>
        <v/>
      </c>
      <c r="M365" s="47" t="n"/>
    </row>
    <row r="366" ht="15.75" customHeight="1" s="99">
      <c r="A366" s="43" t="n">
        <v>372</v>
      </c>
      <c r="B366" s="53" t="n"/>
      <c r="C366" s="55" t="n"/>
      <c r="D366" s="55" t="n"/>
      <c r="E366" s="55" t="n"/>
      <c r="F366" s="55" t="n"/>
      <c r="G366" s="63" t="n"/>
      <c r="H366" s="55" t="n"/>
      <c r="I366" s="55" t="n"/>
      <c r="J366" s="55" t="n"/>
      <c r="K366" s="55" t="n"/>
      <c r="L366" s="58">
        <f>IF(G366="","",IF(L365="",G366,L365+G366))</f>
        <v/>
      </c>
      <c r="M366" s="55" t="n"/>
    </row>
    <row r="367" ht="15.75" customHeight="1" s="99">
      <c r="A367" s="41" t="n">
        <v>373</v>
      </c>
      <c r="B367" s="45" t="n"/>
      <c r="C367" s="47" t="n"/>
      <c r="D367" s="47" t="n"/>
      <c r="E367" s="47" t="n"/>
      <c r="F367" s="47" t="n"/>
      <c r="G367" s="62" t="n"/>
      <c r="H367" s="47" t="n"/>
      <c r="I367" s="47" t="n"/>
      <c r="J367" s="47" t="n"/>
      <c r="K367" s="47" t="n"/>
      <c r="L367" s="50">
        <f>IF(G367="","",IF(L366="",G367,L366+G367))</f>
        <v/>
      </c>
      <c r="M367" s="47" t="n"/>
    </row>
    <row r="368" ht="15.75" customHeight="1" s="99">
      <c r="A368" s="43" t="n">
        <v>374</v>
      </c>
      <c r="B368" s="53" t="n"/>
      <c r="C368" s="55" t="n"/>
      <c r="D368" s="55" t="n"/>
      <c r="E368" s="55" t="n"/>
      <c r="F368" s="55" t="n"/>
      <c r="G368" s="63" t="n"/>
      <c r="H368" s="55" t="n"/>
      <c r="I368" s="55" t="n"/>
      <c r="J368" s="55" t="n"/>
      <c r="K368" s="55" t="n"/>
      <c r="L368" s="58">
        <f>IF(G368="","",IF(L367="",G368,L367+G368))</f>
        <v/>
      </c>
      <c r="M368" s="55" t="n"/>
    </row>
    <row r="369" ht="15.75" customHeight="1" s="99">
      <c r="A369" s="41" t="n">
        <v>375</v>
      </c>
      <c r="B369" s="45" t="n"/>
      <c r="C369" s="47" t="n"/>
      <c r="D369" s="47" t="n"/>
      <c r="E369" s="47" t="n"/>
      <c r="F369" s="47" t="n"/>
      <c r="G369" s="62" t="n"/>
      <c r="H369" s="47" t="n"/>
      <c r="I369" s="47" t="n"/>
      <c r="J369" s="47" t="n"/>
      <c r="K369" s="47" t="n"/>
      <c r="L369" s="50">
        <f>IF(G369="","",IF(L368="",G369,L368+G369))</f>
        <v/>
      </c>
      <c r="M369" s="47" t="n"/>
    </row>
    <row r="370" ht="15.75" customHeight="1" s="99">
      <c r="A370" s="43" t="n">
        <v>376</v>
      </c>
      <c r="B370" s="53" t="n"/>
      <c r="C370" s="55" t="n"/>
      <c r="D370" s="55" t="n"/>
      <c r="E370" s="55" t="n"/>
      <c r="F370" s="55" t="n"/>
      <c r="G370" s="63" t="n"/>
      <c r="H370" s="55" t="n"/>
      <c r="I370" s="55" t="n"/>
      <c r="J370" s="55" t="n"/>
      <c r="K370" s="55" t="n"/>
      <c r="L370" s="58">
        <f>IF(G370="","",IF(L369="",G370,L369+G370))</f>
        <v/>
      </c>
      <c r="M370" s="55" t="n"/>
    </row>
    <row r="371" ht="15.75" customHeight="1" s="99">
      <c r="A371" s="41" t="n">
        <v>377</v>
      </c>
      <c r="B371" s="45" t="n"/>
      <c r="C371" s="47" t="n"/>
      <c r="D371" s="47" t="n"/>
      <c r="E371" s="47" t="n"/>
      <c r="F371" s="47" t="n"/>
      <c r="G371" s="62" t="n"/>
      <c r="H371" s="47" t="n"/>
      <c r="I371" s="47" t="n"/>
      <c r="J371" s="47" t="n"/>
      <c r="K371" s="47" t="n"/>
      <c r="L371" s="50">
        <f>IF(G371="","",IF(L370="",G371,L370+G371))</f>
        <v/>
      </c>
      <c r="M371" s="47" t="n"/>
    </row>
    <row r="372" ht="15.75" customHeight="1" s="99">
      <c r="A372" s="43" t="n">
        <v>378</v>
      </c>
      <c r="B372" s="53" t="n"/>
      <c r="C372" s="55" t="n"/>
      <c r="D372" s="55" t="n"/>
      <c r="E372" s="55" t="n"/>
      <c r="F372" s="55" t="n"/>
      <c r="G372" s="63" t="n"/>
      <c r="H372" s="55" t="n"/>
      <c r="I372" s="55" t="n"/>
      <c r="J372" s="55" t="n"/>
      <c r="K372" s="55" t="n"/>
      <c r="L372" s="58">
        <f>IF(G372="","",IF(L371="",G372,L371+G372))</f>
        <v/>
      </c>
      <c r="M372" s="55" t="n"/>
    </row>
    <row r="373" ht="15.75" customHeight="1" s="99">
      <c r="A373" s="41" t="n">
        <v>379</v>
      </c>
      <c r="B373" s="45" t="n"/>
      <c r="C373" s="47" t="n"/>
      <c r="D373" s="47" t="n"/>
      <c r="E373" s="47" t="n"/>
      <c r="F373" s="47" t="n"/>
      <c r="G373" s="62" t="n"/>
      <c r="H373" s="47" t="n"/>
      <c r="I373" s="47" t="n"/>
      <c r="J373" s="47" t="n"/>
      <c r="K373" s="47" t="n"/>
      <c r="L373" s="50">
        <f>IF(G373="","",IF(L372="",G373,L372+G373))</f>
        <v/>
      </c>
      <c r="M373" s="47" t="n"/>
    </row>
    <row r="374" ht="15.75" customHeight="1" s="99">
      <c r="A374" s="43" t="n">
        <v>380</v>
      </c>
      <c r="B374" s="53" t="n"/>
      <c r="C374" s="55" t="n"/>
      <c r="D374" s="55" t="n"/>
      <c r="E374" s="55" t="n"/>
      <c r="F374" s="55" t="n"/>
      <c r="G374" s="63" t="n"/>
      <c r="H374" s="55" t="n"/>
      <c r="I374" s="55" t="n"/>
      <c r="J374" s="55" t="n"/>
      <c r="K374" s="55" t="n"/>
      <c r="L374" s="58">
        <f>IF(G374="","",IF(L373="",G374,L373+G374))</f>
        <v/>
      </c>
      <c r="M374" s="55" t="n"/>
    </row>
    <row r="375" ht="15.75" customHeight="1" s="99">
      <c r="A375" s="41" t="n">
        <v>381</v>
      </c>
      <c r="B375" s="45" t="n"/>
      <c r="C375" s="47" t="n"/>
      <c r="D375" s="47" t="n"/>
      <c r="E375" s="47" t="n"/>
      <c r="F375" s="47" t="n"/>
      <c r="G375" s="62" t="n"/>
      <c r="H375" s="47" t="n"/>
      <c r="I375" s="47" t="n"/>
      <c r="J375" s="47" t="n"/>
      <c r="K375" s="47" t="n"/>
      <c r="L375" s="50">
        <f>IF(G375="","",IF(L374="",G375,L374+G375))</f>
        <v/>
      </c>
      <c r="M375" s="47" t="n"/>
    </row>
    <row r="376" ht="15.75" customHeight="1" s="99">
      <c r="A376" s="43" t="n">
        <v>382</v>
      </c>
      <c r="B376" s="53" t="n"/>
      <c r="C376" s="55" t="n"/>
      <c r="D376" s="55" t="n"/>
      <c r="E376" s="55" t="n"/>
      <c r="F376" s="55" t="n"/>
      <c r="G376" s="63" t="n"/>
      <c r="H376" s="55" t="n"/>
      <c r="I376" s="55" t="n"/>
      <c r="J376" s="55" t="n"/>
      <c r="K376" s="55" t="n"/>
      <c r="L376" s="58">
        <f>IF(G376="","",IF(L375="",G376,L375+G376))</f>
        <v/>
      </c>
      <c r="M376" s="55" t="n"/>
    </row>
    <row r="377" ht="15.75" customHeight="1" s="99">
      <c r="A377" s="41" t="n">
        <v>383</v>
      </c>
      <c r="B377" s="45" t="n"/>
      <c r="C377" s="47" t="n"/>
      <c r="D377" s="47" t="n"/>
      <c r="E377" s="47" t="n"/>
      <c r="F377" s="47" t="n"/>
      <c r="G377" s="62" t="n"/>
      <c r="H377" s="47" t="n"/>
      <c r="I377" s="47" t="n"/>
      <c r="J377" s="47" t="n"/>
      <c r="K377" s="47" t="n"/>
      <c r="L377" s="50">
        <f>IF(G377="","",IF(L376="",G377,L376+G377))</f>
        <v/>
      </c>
      <c r="M377" s="47" t="n"/>
    </row>
    <row r="378" ht="15.75" customHeight="1" s="99">
      <c r="A378" s="43" t="n">
        <v>384</v>
      </c>
      <c r="B378" s="53" t="n"/>
      <c r="C378" s="55" t="n"/>
      <c r="D378" s="55" t="n"/>
      <c r="E378" s="55" t="n"/>
      <c r="F378" s="55" t="n"/>
      <c r="G378" s="63" t="n"/>
      <c r="H378" s="55" t="n"/>
      <c r="I378" s="55" t="n"/>
      <c r="J378" s="55" t="n"/>
      <c r="K378" s="55" t="n"/>
      <c r="L378" s="58">
        <f>IF(G378="","",IF(L377="",G378,L377+G378))</f>
        <v/>
      </c>
      <c r="M378" s="55" t="n"/>
    </row>
    <row r="379" ht="15.75" customHeight="1" s="99">
      <c r="A379" s="41" t="n">
        <v>385</v>
      </c>
      <c r="B379" s="45" t="n"/>
      <c r="C379" s="47" t="n"/>
      <c r="D379" s="47" t="n"/>
      <c r="E379" s="47" t="n"/>
      <c r="F379" s="47" t="n"/>
      <c r="G379" s="62" t="n"/>
      <c r="H379" s="47" t="n"/>
      <c r="I379" s="47" t="n"/>
      <c r="J379" s="47" t="n"/>
      <c r="K379" s="47" t="n"/>
      <c r="L379" s="50">
        <f>IF(G379="","",IF(L378="",G379,L378+G379))</f>
        <v/>
      </c>
      <c r="M379" s="47" t="n"/>
    </row>
    <row r="380" ht="15.75" customHeight="1" s="99">
      <c r="A380" s="43" t="n">
        <v>386</v>
      </c>
      <c r="B380" s="53" t="n"/>
      <c r="C380" s="55" t="n"/>
      <c r="D380" s="55" t="n"/>
      <c r="E380" s="55" t="n"/>
      <c r="F380" s="55" t="n"/>
      <c r="G380" s="63" t="n"/>
      <c r="H380" s="55" t="n"/>
      <c r="I380" s="55" t="n"/>
      <c r="J380" s="55" t="n"/>
      <c r="K380" s="55" t="n"/>
      <c r="L380" s="58">
        <f>IF(G380="","",IF(L379="",G380,L379+G380))</f>
        <v/>
      </c>
      <c r="M380" s="55" t="n"/>
    </row>
    <row r="381" ht="15.75" customHeight="1" s="99">
      <c r="A381" s="41" t="n">
        <v>387</v>
      </c>
      <c r="B381" s="45" t="n"/>
      <c r="C381" s="47" t="n"/>
      <c r="D381" s="47" t="n"/>
      <c r="E381" s="47" t="n"/>
      <c r="F381" s="47" t="n"/>
      <c r="G381" s="62" t="n"/>
      <c r="H381" s="47" t="n"/>
      <c r="I381" s="47" t="n"/>
      <c r="J381" s="47" t="n"/>
      <c r="K381" s="47" t="n"/>
      <c r="L381" s="50">
        <f>IF(G381="","",IF(L380="",G381,L380+G381))</f>
        <v/>
      </c>
      <c r="M381" s="47" t="n"/>
    </row>
    <row r="382" ht="15.75" customHeight="1" s="99">
      <c r="A382" s="43" t="n">
        <v>388</v>
      </c>
      <c r="B382" s="53" t="n"/>
      <c r="C382" s="55" t="n"/>
      <c r="D382" s="55" t="n"/>
      <c r="E382" s="55" t="n"/>
      <c r="F382" s="55" t="n"/>
      <c r="G382" s="63" t="n"/>
      <c r="H382" s="55" t="n"/>
      <c r="I382" s="55" t="n"/>
      <c r="J382" s="55" t="n"/>
      <c r="K382" s="55" t="n"/>
      <c r="L382" s="58">
        <f>IF(G382="","",IF(L381="",G382,L381+G382))</f>
        <v/>
      </c>
      <c r="M382" s="55" t="n"/>
    </row>
    <row r="383" ht="15.75" customHeight="1" s="99">
      <c r="A383" s="41" t="n">
        <v>389</v>
      </c>
      <c r="B383" s="45" t="n"/>
      <c r="C383" s="47" t="n"/>
      <c r="D383" s="47" t="n"/>
      <c r="E383" s="47" t="n"/>
      <c r="F383" s="47" t="n"/>
      <c r="G383" s="62" t="n"/>
      <c r="H383" s="47" t="n"/>
      <c r="I383" s="47" t="n"/>
      <c r="J383" s="47" t="n"/>
      <c r="K383" s="47" t="n"/>
      <c r="L383" s="50">
        <f>IF(G383="","",IF(L382="",G383,L382+G383))</f>
        <v/>
      </c>
      <c r="M383" s="47" t="n"/>
    </row>
    <row r="384" ht="15.75" customHeight="1" s="99">
      <c r="A384" s="43" t="n">
        <v>390</v>
      </c>
      <c r="B384" s="53" t="n"/>
      <c r="C384" s="55" t="n"/>
      <c r="D384" s="55" t="n"/>
      <c r="E384" s="55" t="n"/>
      <c r="F384" s="55" t="n"/>
      <c r="G384" s="63" t="n"/>
      <c r="H384" s="55" t="n"/>
      <c r="I384" s="55" t="n"/>
      <c r="J384" s="55" t="n"/>
      <c r="K384" s="55" t="n"/>
      <c r="L384" s="58">
        <f>IF(G384="","",IF(L383="",G384,L383+G384))</f>
        <v/>
      </c>
      <c r="M384" s="55" t="n"/>
    </row>
    <row r="385" ht="15.75" customHeight="1" s="99">
      <c r="A385" s="41" t="n">
        <v>391</v>
      </c>
      <c r="B385" s="45" t="n"/>
      <c r="C385" s="47" t="n"/>
      <c r="D385" s="47" t="n"/>
      <c r="E385" s="47" t="n"/>
      <c r="F385" s="47" t="n"/>
      <c r="G385" s="62" t="n"/>
      <c r="H385" s="47" t="n"/>
      <c r="I385" s="47" t="n"/>
      <c r="J385" s="47" t="n"/>
      <c r="K385" s="47" t="n"/>
      <c r="L385" s="50">
        <f>IF(G385="","",IF(L384="",G385,L384+G385))</f>
        <v/>
      </c>
      <c r="M385" s="47" t="n"/>
    </row>
    <row r="386" ht="15.75" customHeight="1" s="99">
      <c r="A386" s="43" t="n">
        <v>392</v>
      </c>
      <c r="B386" s="53" t="n"/>
      <c r="C386" s="55" t="n"/>
      <c r="D386" s="55" t="n"/>
      <c r="E386" s="55" t="n"/>
      <c r="F386" s="55" t="n"/>
      <c r="G386" s="63" t="n"/>
      <c r="H386" s="55" t="n"/>
      <c r="I386" s="55" t="n"/>
      <c r="J386" s="55" t="n"/>
      <c r="K386" s="55" t="n"/>
      <c r="L386" s="58">
        <f>IF(G386="","",IF(L385="",G386,L385+G386))</f>
        <v/>
      </c>
      <c r="M386" s="55" t="n"/>
    </row>
    <row r="387" ht="15.75" customHeight="1" s="99">
      <c r="A387" s="41" t="n">
        <v>393</v>
      </c>
      <c r="B387" s="45" t="n"/>
      <c r="C387" s="47" t="n"/>
      <c r="D387" s="47" t="n"/>
      <c r="E387" s="47" t="n"/>
      <c r="F387" s="47" t="n"/>
      <c r="G387" s="62" t="n"/>
      <c r="H387" s="47" t="n"/>
      <c r="I387" s="47" t="n"/>
      <c r="J387" s="47" t="n"/>
      <c r="K387" s="47" t="n"/>
      <c r="L387" s="50">
        <f>IF(G387="","",IF(L386="",G387,L386+G387))</f>
        <v/>
      </c>
      <c r="M387" s="47" t="n"/>
    </row>
    <row r="388" ht="15.75" customHeight="1" s="99">
      <c r="A388" s="43" t="n">
        <v>394</v>
      </c>
      <c r="B388" s="53" t="n"/>
      <c r="C388" s="55" t="n"/>
      <c r="D388" s="55" t="n"/>
      <c r="E388" s="55" t="n"/>
      <c r="F388" s="55" t="n"/>
      <c r="G388" s="63" t="n"/>
      <c r="H388" s="55" t="n"/>
      <c r="I388" s="55" t="n"/>
      <c r="J388" s="55" t="n"/>
      <c r="K388" s="55" t="n"/>
      <c r="L388" s="58">
        <f>IF(G388="","",IF(L387="",G388,L387+G388))</f>
        <v/>
      </c>
      <c r="M388" s="55" t="n"/>
    </row>
    <row r="389" ht="15.75" customHeight="1" s="99">
      <c r="A389" s="41" t="n">
        <v>395</v>
      </c>
      <c r="B389" s="45" t="n"/>
      <c r="C389" s="47" t="n"/>
      <c r="D389" s="47" t="n"/>
      <c r="E389" s="47" t="n"/>
      <c r="F389" s="47" t="n"/>
      <c r="G389" s="62" t="n"/>
      <c r="H389" s="47" t="n"/>
      <c r="I389" s="47" t="n"/>
      <c r="J389" s="47" t="n"/>
      <c r="K389" s="47" t="n"/>
      <c r="L389" s="50">
        <f>IF(G389="","",IF(L388="",G389,L388+G389))</f>
        <v/>
      </c>
      <c r="M389" s="47" t="n"/>
    </row>
    <row r="390" ht="15.75" customHeight="1" s="99">
      <c r="A390" s="43" t="n">
        <v>396</v>
      </c>
      <c r="B390" s="53" t="n"/>
      <c r="C390" s="55" t="n"/>
      <c r="D390" s="55" t="n"/>
      <c r="E390" s="55" t="n"/>
      <c r="F390" s="55" t="n"/>
      <c r="G390" s="63" t="n"/>
      <c r="H390" s="55" t="n"/>
      <c r="I390" s="55" t="n"/>
      <c r="J390" s="55" t="n"/>
      <c r="K390" s="55" t="n"/>
      <c r="L390" s="58">
        <f>IF(G390="","",IF(L389="",G390,L389+G390))</f>
        <v/>
      </c>
      <c r="M390" s="55" t="n"/>
    </row>
    <row r="391" ht="15.75" customHeight="1" s="99">
      <c r="A391" s="41" t="n">
        <v>397</v>
      </c>
      <c r="B391" s="45" t="n"/>
      <c r="C391" s="47" t="n"/>
      <c r="D391" s="47" t="n"/>
      <c r="E391" s="47" t="n"/>
      <c r="F391" s="47" t="n"/>
      <c r="G391" s="62" t="n"/>
      <c r="H391" s="47" t="n"/>
      <c r="I391" s="47" t="n"/>
      <c r="J391" s="47" t="n"/>
      <c r="K391" s="47" t="n"/>
      <c r="L391" s="50">
        <f>IF(G391="","",IF(L390="",G391,L390+G391))</f>
        <v/>
      </c>
      <c r="M391" s="47" t="n"/>
    </row>
    <row r="392" ht="15.75" customHeight="1" s="99">
      <c r="A392" s="43" t="n">
        <v>398</v>
      </c>
      <c r="B392" s="53" t="n"/>
      <c r="C392" s="55" t="n"/>
      <c r="D392" s="55" t="n"/>
      <c r="E392" s="55" t="n"/>
      <c r="F392" s="55" t="n"/>
      <c r="G392" s="63" t="n"/>
      <c r="H392" s="55" t="n"/>
      <c r="I392" s="55" t="n"/>
      <c r="J392" s="55" t="n"/>
      <c r="K392" s="55" t="n"/>
      <c r="L392" s="58">
        <f>IF(G392="","",IF(L391="",G392,L391+G392))</f>
        <v/>
      </c>
      <c r="M392" s="55" t="n"/>
    </row>
    <row r="393" ht="15.75" customHeight="1" s="99">
      <c r="A393" s="41" t="n">
        <v>399</v>
      </c>
      <c r="B393" s="45" t="n"/>
      <c r="C393" s="47" t="n"/>
      <c r="D393" s="47" t="n"/>
      <c r="E393" s="47" t="n"/>
      <c r="F393" s="47" t="n"/>
      <c r="G393" s="62" t="n"/>
      <c r="H393" s="47" t="n"/>
      <c r="I393" s="47" t="n"/>
      <c r="J393" s="47" t="n"/>
      <c r="K393" s="47" t="n"/>
      <c r="L393" s="50">
        <f>IF(G393="","",IF(L392="",G393,L392+G393))</f>
        <v/>
      </c>
      <c r="M393" s="47" t="n"/>
    </row>
    <row r="394" ht="15.75" customHeight="1" s="99">
      <c r="A394" s="43" t="n">
        <v>400</v>
      </c>
      <c r="B394" s="53" t="n"/>
      <c r="C394" s="55" t="n"/>
      <c r="D394" s="55" t="n"/>
      <c r="E394" s="55" t="n"/>
      <c r="F394" s="55" t="n"/>
      <c r="G394" s="63" t="n"/>
      <c r="H394" s="55" t="n"/>
      <c r="I394" s="55" t="n"/>
      <c r="J394" s="55" t="n"/>
      <c r="K394" s="55" t="n"/>
      <c r="L394" s="58">
        <f>IF(G394="","",IF(L393="",G394,L393+G394))</f>
        <v/>
      </c>
      <c r="M394" s="55" t="n"/>
    </row>
    <row r="395" ht="15.75" customHeight="1" s="99">
      <c r="A395" s="41" t="n">
        <v>401</v>
      </c>
      <c r="B395" s="45" t="n"/>
      <c r="C395" s="47" t="n"/>
      <c r="D395" s="47" t="n"/>
      <c r="E395" s="47" t="n"/>
      <c r="F395" s="47" t="n"/>
      <c r="G395" s="62" t="n"/>
      <c r="H395" s="47" t="n"/>
      <c r="I395" s="47" t="n"/>
      <c r="J395" s="47" t="n"/>
      <c r="K395" s="47" t="n"/>
      <c r="L395" s="50">
        <f>IF(G395="","",IF(L394="",G395,L394+G395))</f>
        <v/>
      </c>
      <c r="M395" s="47" t="n"/>
    </row>
    <row r="396" ht="15.75" customHeight="1" s="99">
      <c r="A396" s="43" t="n">
        <v>402</v>
      </c>
      <c r="B396" s="53" t="n"/>
      <c r="C396" s="55" t="n"/>
      <c r="D396" s="55" t="n"/>
      <c r="E396" s="55" t="n"/>
      <c r="F396" s="55" t="n"/>
      <c r="G396" s="63" t="n"/>
      <c r="H396" s="55" t="n"/>
      <c r="I396" s="55" t="n"/>
      <c r="J396" s="55" t="n"/>
      <c r="K396" s="55" t="n"/>
      <c r="L396" s="58">
        <f>IF(G396="","",IF(L395="",G396,L395+G396))</f>
        <v/>
      </c>
      <c r="M396" s="55" t="n"/>
    </row>
    <row r="397" ht="15.75" customHeight="1" s="99">
      <c r="A397" s="41" t="n">
        <v>403</v>
      </c>
      <c r="B397" s="45" t="n"/>
      <c r="C397" s="47" t="n"/>
      <c r="D397" s="47" t="n"/>
      <c r="E397" s="47" t="n"/>
      <c r="F397" s="47" t="n"/>
      <c r="G397" s="62" t="n"/>
      <c r="H397" s="47" t="n"/>
      <c r="I397" s="47" t="n"/>
      <c r="J397" s="47" t="n"/>
      <c r="K397" s="47" t="n"/>
      <c r="L397" s="50">
        <f>IF(G397="","",IF(L396="",G397,L396+G397))</f>
        <v/>
      </c>
      <c r="M397" s="47" t="n"/>
    </row>
    <row r="398" ht="15.75" customHeight="1" s="99">
      <c r="A398" s="43" t="n">
        <v>404</v>
      </c>
      <c r="B398" s="53" t="n"/>
      <c r="C398" s="55" t="n"/>
      <c r="D398" s="55" t="n"/>
      <c r="E398" s="55" t="n"/>
      <c r="F398" s="55" t="n"/>
      <c r="G398" s="63" t="n"/>
      <c r="H398" s="55" t="n"/>
      <c r="I398" s="55" t="n"/>
      <c r="J398" s="55" t="n"/>
      <c r="K398" s="55" t="n"/>
      <c r="L398" s="58">
        <f>IF(G398="","",IF(L397="",G398,L397+G398))</f>
        <v/>
      </c>
      <c r="M398" s="55" t="n"/>
    </row>
    <row r="399" ht="15.75" customHeight="1" s="99">
      <c r="A399" s="41" t="n">
        <v>405</v>
      </c>
      <c r="B399" s="45" t="n"/>
      <c r="C399" s="47" t="n"/>
      <c r="D399" s="47" t="n"/>
      <c r="E399" s="47" t="n"/>
      <c r="F399" s="47" t="n"/>
      <c r="G399" s="62" t="n"/>
      <c r="H399" s="47" t="n"/>
      <c r="I399" s="47" t="n"/>
      <c r="J399" s="47" t="n"/>
      <c r="K399" s="47" t="n"/>
      <c r="L399" s="50">
        <f>IF(G399="","",IF(L398="",G399,L398+G399))</f>
        <v/>
      </c>
      <c r="M399" s="47" t="n"/>
    </row>
    <row r="400" ht="15.75" customHeight="1" s="99">
      <c r="A400" s="43" t="n">
        <v>406</v>
      </c>
      <c r="B400" s="53" t="n"/>
      <c r="C400" s="55" t="n"/>
      <c r="D400" s="55" t="n"/>
      <c r="E400" s="55" t="n"/>
      <c r="F400" s="55" t="n"/>
      <c r="G400" s="63" t="n"/>
      <c r="H400" s="55" t="n"/>
      <c r="I400" s="55" t="n"/>
      <c r="J400" s="55" t="n"/>
      <c r="K400" s="55" t="n"/>
      <c r="L400" s="58">
        <f>IF(G400="","",IF(L399="",G400,L399+G400))</f>
        <v/>
      </c>
      <c r="M400" s="55" t="n"/>
    </row>
    <row r="401" ht="15.75" customHeight="1" s="99">
      <c r="A401" s="41" t="n">
        <v>407</v>
      </c>
      <c r="B401" s="45" t="n"/>
      <c r="C401" s="47" t="n"/>
      <c r="D401" s="47" t="n"/>
      <c r="E401" s="47" t="n"/>
      <c r="F401" s="47" t="n"/>
      <c r="G401" s="62" t="n"/>
      <c r="H401" s="47" t="n"/>
      <c r="I401" s="47" t="n"/>
      <c r="J401" s="47" t="n"/>
      <c r="K401" s="47" t="n"/>
      <c r="L401" s="50">
        <f>IF(G401="","",IF(L400="",G401,L400+G401))</f>
        <v/>
      </c>
      <c r="M401" s="47" t="n"/>
    </row>
    <row r="402" ht="15.75" customHeight="1" s="99">
      <c r="A402" s="43" t="n">
        <v>408</v>
      </c>
      <c r="B402" s="53" t="n"/>
      <c r="C402" s="55" t="n"/>
      <c r="D402" s="55" t="n"/>
      <c r="E402" s="55" t="n"/>
      <c r="F402" s="55" t="n"/>
      <c r="G402" s="63" t="n"/>
      <c r="H402" s="55" t="n"/>
      <c r="I402" s="55" t="n"/>
      <c r="J402" s="55" t="n"/>
      <c r="K402" s="55" t="n"/>
      <c r="L402" s="58">
        <f>IF(G402="","",IF(L401="",G402,L401+G402))</f>
        <v/>
      </c>
      <c r="M402" s="55" t="n"/>
    </row>
    <row r="403" ht="15.75" customHeight="1" s="99">
      <c r="A403" s="41" t="n">
        <v>409</v>
      </c>
      <c r="B403" s="45" t="n"/>
      <c r="C403" s="47" t="n"/>
      <c r="D403" s="47" t="n"/>
      <c r="E403" s="47" t="n"/>
      <c r="F403" s="47" t="n"/>
      <c r="G403" s="62" t="n"/>
      <c r="H403" s="47" t="n"/>
      <c r="I403" s="47" t="n"/>
      <c r="J403" s="47" t="n"/>
      <c r="K403" s="47" t="n"/>
      <c r="L403" s="50">
        <f>IF(G403="","",IF(L402="",G403,L402+G403))</f>
        <v/>
      </c>
      <c r="M403" s="47" t="n"/>
    </row>
    <row r="404" ht="15.75" customHeight="1" s="99">
      <c r="A404" s="43" t="n">
        <v>410</v>
      </c>
      <c r="B404" s="53" t="n"/>
      <c r="C404" s="55" t="n"/>
      <c r="D404" s="55" t="n"/>
      <c r="E404" s="55" t="n"/>
      <c r="F404" s="55" t="n"/>
      <c r="G404" s="63" t="n"/>
      <c r="H404" s="55" t="n"/>
      <c r="I404" s="55" t="n"/>
      <c r="J404" s="55" t="n"/>
      <c r="K404" s="55" t="n"/>
      <c r="L404" s="58">
        <f>IF(G404="","",IF(L403="",G404,L403+G404))</f>
        <v/>
      </c>
      <c r="M404" s="55" t="n"/>
    </row>
    <row r="405" ht="15.75" customHeight="1" s="99">
      <c r="A405" s="41" t="n">
        <v>411</v>
      </c>
      <c r="B405" s="45" t="n"/>
      <c r="C405" s="47" t="n"/>
      <c r="D405" s="47" t="n"/>
      <c r="E405" s="47" t="n"/>
      <c r="F405" s="47" t="n"/>
      <c r="G405" s="62" t="n"/>
      <c r="H405" s="47" t="n"/>
      <c r="I405" s="47" t="n"/>
      <c r="J405" s="47" t="n"/>
      <c r="K405" s="47" t="n"/>
      <c r="L405" s="50">
        <f>IF(G405="","",IF(L404="",G405,L404+G405))</f>
        <v/>
      </c>
      <c r="M405" s="47" t="n"/>
    </row>
    <row r="406" ht="15.75" customHeight="1" s="99">
      <c r="A406" s="43" t="n">
        <v>412</v>
      </c>
      <c r="B406" s="53" t="n"/>
      <c r="C406" s="55" t="n"/>
      <c r="D406" s="55" t="n"/>
      <c r="E406" s="55" t="n"/>
      <c r="F406" s="55" t="n"/>
      <c r="G406" s="63" t="n"/>
      <c r="H406" s="55" t="n"/>
      <c r="I406" s="55" t="n"/>
      <c r="J406" s="55" t="n"/>
      <c r="K406" s="55" t="n"/>
      <c r="L406" s="58">
        <f>IF(G406="","",IF(L405="",G406,L405+G406))</f>
        <v/>
      </c>
      <c r="M406" s="55" t="n"/>
    </row>
    <row r="407" ht="15.75" customHeight="1" s="99">
      <c r="A407" s="41" t="n">
        <v>413</v>
      </c>
      <c r="B407" s="45" t="n"/>
      <c r="C407" s="47" t="n"/>
      <c r="D407" s="47" t="n"/>
      <c r="E407" s="47" t="n"/>
      <c r="F407" s="47" t="n"/>
      <c r="G407" s="62" t="n"/>
      <c r="H407" s="47" t="n"/>
      <c r="I407" s="47" t="n"/>
      <c r="J407" s="47" t="n"/>
      <c r="K407" s="47" t="n"/>
      <c r="L407" s="50">
        <f>IF(G407="","",IF(L406="",G407,L406+G407))</f>
        <v/>
      </c>
      <c r="M407" s="47" t="n"/>
    </row>
    <row r="408" ht="15.75" customHeight="1" s="99">
      <c r="A408" s="43" t="n">
        <v>414</v>
      </c>
      <c r="B408" s="53" t="n"/>
      <c r="C408" s="55" t="n"/>
      <c r="D408" s="55" t="n"/>
      <c r="E408" s="55" t="n"/>
      <c r="F408" s="55" t="n"/>
      <c r="G408" s="63" t="n"/>
      <c r="H408" s="55" t="n"/>
      <c r="I408" s="55" t="n"/>
      <c r="J408" s="55" t="n"/>
      <c r="K408" s="55" t="n"/>
      <c r="L408" s="58">
        <f>IF(G408="","",IF(L407="",G408,L407+G408))</f>
        <v/>
      </c>
      <c r="M408" s="55" t="n"/>
    </row>
    <row r="409" ht="15.75" customHeight="1" s="99">
      <c r="A409" s="41" t="n">
        <v>415</v>
      </c>
      <c r="B409" s="45" t="n"/>
      <c r="C409" s="47" t="n"/>
      <c r="D409" s="47" t="n"/>
      <c r="E409" s="47" t="n"/>
      <c r="F409" s="47" t="n"/>
      <c r="G409" s="62" t="n"/>
      <c r="H409" s="47" t="n"/>
      <c r="I409" s="47" t="n"/>
      <c r="J409" s="47" t="n"/>
      <c r="K409" s="47" t="n"/>
      <c r="L409" s="50">
        <f>IF(G409="","",IF(L408="",G409,L408+G409))</f>
        <v/>
      </c>
      <c r="M409" s="47" t="n"/>
    </row>
    <row r="410" ht="15.75" customHeight="1" s="99">
      <c r="A410" s="43" t="n">
        <v>416</v>
      </c>
      <c r="B410" s="53" t="n"/>
      <c r="C410" s="55" t="n"/>
      <c r="D410" s="55" t="n"/>
      <c r="E410" s="55" t="n"/>
      <c r="F410" s="55" t="n"/>
      <c r="G410" s="63" t="n"/>
      <c r="H410" s="55" t="n"/>
      <c r="I410" s="55" t="n"/>
      <c r="J410" s="55" t="n"/>
      <c r="K410" s="55" t="n"/>
      <c r="L410" s="58">
        <f>IF(G410="","",IF(L409="",G410,L409+G410))</f>
        <v/>
      </c>
      <c r="M410" s="55" t="n"/>
    </row>
    <row r="411" ht="15.75" customHeight="1" s="99">
      <c r="A411" s="41" t="n">
        <v>417</v>
      </c>
      <c r="B411" s="45" t="n"/>
      <c r="C411" s="47" t="n"/>
      <c r="D411" s="47" t="n"/>
      <c r="E411" s="47" t="n"/>
      <c r="F411" s="47" t="n"/>
      <c r="G411" s="62" t="n"/>
      <c r="H411" s="47" t="n"/>
      <c r="I411" s="47" t="n"/>
      <c r="J411" s="47" t="n"/>
      <c r="K411" s="47" t="n"/>
      <c r="L411" s="50">
        <f>IF(G411="","",IF(L410="",G411,L410+G411))</f>
        <v/>
      </c>
      <c r="M411" s="47" t="n"/>
    </row>
    <row r="412" ht="15.75" customHeight="1" s="99">
      <c r="A412" s="43" t="n">
        <v>418</v>
      </c>
      <c r="B412" s="53" t="n"/>
      <c r="C412" s="55" t="n"/>
      <c r="D412" s="55" t="n"/>
      <c r="E412" s="55" t="n"/>
      <c r="F412" s="55" t="n"/>
      <c r="G412" s="63" t="n"/>
      <c r="H412" s="55" t="n"/>
      <c r="I412" s="55" t="n"/>
      <c r="J412" s="55" t="n"/>
      <c r="K412" s="55" t="n"/>
      <c r="L412" s="58">
        <f>IF(G412="","",IF(L411="",G412,L411+G412))</f>
        <v/>
      </c>
      <c r="M412" s="55" t="n"/>
    </row>
    <row r="413" ht="15.75" customHeight="1" s="99">
      <c r="A413" s="41" t="n">
        <v>419</v>
      </c>
      <c r="B413" s="45" t="n"/>
      <c r="C413" s="47" t="n"/>
      <c r="D413" s="47" t="n"/>
      <c r="E413" s="47" t="n"/>
      <c r="F413" s="47" t="n"/>
      <c r="G413" s="62" t="n"/>
      <c r="H413" s="47" t="n"/>
      <c r="I413" s="47" t="n"/>
      <c r="J413" s="47" t="n"/>
      <c r="K413" s="47" t="n"/>
      <c r="L413" s="50">
        <f>IF(G413="","",IF(L412="",G413,L412+G413))</f>
        <v/>
      </c>
      <c r="M413" s="47" t="n"/>
    </row>
    <row r="414" ht="15.75" customHeight="1" s="99">
      <c r="A414" s="43" t="n">
        <v>420</v>
      </c>
      <c r="B414" s="53" t="n"/>
      <c r="C414" s="55" t="n"/>
      <c r="D414" s="55" t="n"/>
      <c r="E414" s="55" t="n"/>
      <c r="F414" s="55" t="n"/>
      <c r="G414" s="63" t="n"/>
      <c r="H414" s="55" t="n"/>
      <c r="I414" s="55" t="n"/>
      <c r="J414" s="55" t="n"/>
      <c r="K414" s="55" t="n"/>
      <c r="L414" s="58">
        <f>IF(G414="","",IF(L413="",G414,L413+G414))</f>
        <v/>
      </c>
      <c r="M414" s="55" t="n"/>
    </row>
    <row r="415" ht="15.75" customHeight="1" s="99">
      <c r="A415" s="41" t="n">
        <v>421</v>
      </c>
      <c r="B415" s="45" t="n"/>
      <c r="C415" s="47" t="n"/>
      <c r="D415" s="47" t="n"/>
      <c r="E415" s="47" t="n"/>
      <c r="F415" s="47" t="n"/>
      <c r="G415" s="62" t="n"/>
      <c r="H415" s="47" t="n"/>
      <c r="I415" s="47" t="n"/>
      <c r="J415" s="47" t="n"/>
      <c r="K415" s="47" t="n"/>
      <c r="L415" s="50">
        <f>IF(G415="","",IF(L414="",G415,L414+G415))</f>
        <v/>
      </c>
      <c r="M415" s="47" t="n"/>
    </row>
    <row r="416" ht="15.75" customHeight="1" s="99">
      <c r="A416" s="43" t="n">
        <v>422</v>
      </c>
      <c r="B416" s="53" t="n"/>
      <c r="C416" s="55" t="n"/>
      <c r="D416" s="55" t="n"/>
      <c r="E416" s="55" t="n"/>
      <c r="F416" s="55" t="n"/>
      <c r="G416" s="63" t="n"/>
      <c r="H416" s="55" t="n"/>
      <c r="I416" s="55" t="n"/>
      <c r="J416" s="55" t="n"/>
      <c r="K416" s="55" t="n"/>
      <c r="L416" s="58">
        <f>IF(G416="","",IF(L415="",G416,L415+G416))</f>
        <v/>
      </c>
      <c r="M416" s="55" t="n"/>
    </row>
    <row r="417" ht="15.75" customHeight="1" s="99">
      <c r="A417" s="41" t="n">
        <v>423</v>
      </c>
      <c r="B417" s="45" t="n"/>
      <c r="C417" s="47" t="n"/>
      <c r="D417" s="47" t="n"/>
      <c r="E417" s="47" t="n"/>
      <c r="F417" s="47" t="n"/>
      <c r="G417" s="62" t="n"/>
      <c r="H417" s="47" t="n"/>
      <c r="I417" s="47" t="n"/>
      <c r="J417" s="47" t="n"/>
      <c r="K417" s="47" t="n"/>
      <c r="L417" s="50">
        <f>IF(G417="","",IF(L416="",G417,L416+G417))</f>
        <v/>
      </c>
      <c r="M417" s="47" t="n"/>
    </row>
    <row r="418" ht="15.75" customHeight="1" s="99">
      <c r="A418" s="43" t="n">
        <v>424</v>
      </c>
      <c r="B418" s="53" t="n"/>
      <c r="C418" s="55" t="n"/>
      <c r="D418" s="55" t="n"/>
      <c r="E418" s="55" t="n"/>
      <c r="F418" s="55" t="n"/>
      <c r="G418" s="63" t="n"/>
      <c r="H418" s="55" t="n"/>
      <c r="I418" s="55" t="n"/>
      <c r="J418" s="55" t="n"/>
      <c r="K418" s="55" t="n"/>
      <c r="L418" s="58">
        <f>IF(G418="","",IF(L417="",G418,L417+G418))</f>
        <v/>
      </c>
      <c r="M418" s="55" t="n"/>
    </row>
    <row r="419" ht="15.75" customHeight="1" s="99">
      <c r="A419" s="41" t="n">
        <v>425</v>
      </c>
      <c r="B419" s="45" t="n"/>
      <c r="C419" s="47" t="n"/>
      <c r="D419" s="47" t="n"/>
      <c r="E419" s="47" t="n"/>
      <c r="F419" s="47" t="n"/>
      <c r="G419" s="62" t="n"/>
      <c r="H419" s="47" t="n"/>
      <c r="I419" s="47" t="n"/>
      <c r="J419" s="47" t="n"/>
      <c r="K419" s="47" t="n"/>
      <c r="L419" s="50">
        <f>IF(G419="","",IF(L418="",G419,L418+G419))</f>
        <v/>
      </c>
      <c r="M419" s="47" t="n"/>
    </row>
    <row r="420" ht="15.75" customHeight="1" s="99">
      <c r="A420" s="43" t="n">
        <v>426</v>
      </c>
      <c r="B420" s="53" t="n"/>
      <c r="C420" s="55" t="n"/>
      <c r="D420" s="55" t="n"/>
      <c r="E420" s="55" t="n"/>
      <c r="F420" s="55" t="n"/>
      <c r="G420" s="63" t="n"/>
      <c r="H420" s="55" t="n"/>
      <c r="I420" s="55" t="n"/>
      <c r="J420" s="55" t="n"/>
      <c r="K420" s="55" t="n"/>
      <c r="L420" s="58">
        <f>IF(G420="","",IF(L419="",G420,L419+G420))</f>
        <v/>
      </c>
      <c r="M420" s="55" t="n"/>
    </row>
    <row r="421" ht="15.75" customHeight="1" s="99">
      <c r="A421" s="41" t="n">
        <v>427</v>
      </c>
      <c r="B421" s="45" t="n"/>
      <c r="C421" s="47" t="n"/>
      <c r="D421" s="47" t="n"/>
      <c r="E421" s="47" t="n"/>
      <c r="F421" s="47" t="n"/>
      <c r="G421" s="62" t="n"/>
      <c r="H421" s="47" t="n"/>
      <c r="I421" s="47" t="n"/>
      <c r="J421" s="47" t="n"/>
      <c r="K421" s="47" t="n"/>
      <c r="L421" s="50">
        <f>IF(G421="","",IF(L420="",G421,L420+G421))</f>
        <v/>
      </c>
      <c r="M421" s="47" t="n"/>
    </row>
    <row r="422" ht="15.75" customHeight="1" s="99">
      <c r="A422" s="43" t="n">
        <v>428</v>
      </c>
      <c r="B422" s="53" t="n"/>
      <c r="C422" s="55" t="n"/>
      <c r="D422" s="55" t="n"/>
      <c r="E422" s="55" t="n"/>
      <c r="F422" s="55" t="n"/>
      <c r="G422" s="63" t="n"/>
      <c r="H422" s="55" t="n"/>
      <c r="I422" s="55" t="n"/>
      <c r="J422" s="55" t="n"/>
      <c r="K422" s="55" t="n"/>
      <c r="L422" s="58">
        <f>IF(G422="","",IF(L421="",G422,L421+G422))</f>
        <v/>
      </c>
      <c r="M422" s="55" t="n"/>
    </row>
    <row r="423" ht="15.75" customHeight="1" s="99">
      <c r="A423" s="41" t="n">
        <v>429</v>
      </c>
      <c r="B423" s="45" t="n"/>
      <c r="C423" s="47" t="n"/>
      <c r="D423" s="47" t="n"/>
      <c r="E423" s="47" t="n"/>
      <c r="F423" s="47" t="n"/>
      <c r="G423" s="62" t="n"/>
      <c r="H423" s="47" t="n"/>
      <c r="I423" s="47" t="n"/>
      <c r="J423" s="47" t="n"/>
      <c r="K423" s="47" t="n"/>
      <c r="L423" s="50">
        <f>IF(G423="","",IF(L422="",G423,L422+G423))</f>
        <v/>
      </c>
      <c r="M423" s="47" t="n"/>
    </row>
    <row r="424" ht="15.75" customHeight="1" s="99">
      <c r="A424" s="43" t="n">
        <v>430</v>
      </c>
      <c r="B424" s="53" t="n"/>
      <c r="C424" s="55" t="n"/>
      <c r="D424" s="55" t="n"/>
      <c r="E424" s="55" t="n"/>
      <c r="F424" s="55" t="n"/>
      <c r="G424" s="63" t="n"/>
      <c r="H424" s="55" t="n"/>
      <c r="I424" s="55" t="n"/>
      <c r="J424" s="55" t="n"/>
      <c r="K424" s="55" t="n"/>
      <c r="L424" s="58">
        <f>IF(G424="","",IF(L423="",G424,L423+G424))</f>
        <v/>
      </c>
      <c r="M424" s="55" t="n"/>
    </row>
    <row r="425" ht="15.75" customHeight="1" s="99">
      <c r="A425" s="41" t="n">
        <v>431</v>
      </c>
      <c r="B425" s="45" t="n"/>
      <c r="C425" s="47" t="n"/>
      <c r="D425" s="47" t="n"/>
      <c r="E425" s="47" t="n"/>
      <c r="F425" s="47" t="n"/>
      <c r="G425" s="62" t="n"/>
      <c r="H425" s="47" t="n"/>
      <c r="I425" s="47" t="n"/>
      <c r="J425" s="47" t="n"/>
      <c r="K425" s="47" t="n"/>
      <c r="L425" s="50">
        <f>IF(G425="","",IF(L424="",G425,L424+G425))</f>
        <v/>
      </c>
      <c r="M425" s="47" t="n"/>
    </row>
    <row r="426" ht="15.75" customHeight="1" s="99">
      <c r="A426" s="43" t="n">
        <v>432</v>
      </c>
      <c r="B426" s="53" t="n"/>
      <c r="C426" s="55" t="n"/>
      <c r="D426" s="55" t="n"/>
      <c r="E426" s="55" t="n"/>
      <c r="F426" s="55" t="n"/>
      <c r="G426" s="63" t="n"/>
      <c r="H426" s="55" t="n"/>
      <c r="I426" s="55" t="n"/>
      <c r="J426" s="55" t="n"/>
      <c r="K426" s="55" t="n"/>
      <c r="L426" s="58">
        <f>IF(G426="","",IF(L425="",G426,L425+G426))</f>
        <v/>
      </c>
      <c r="M426" s="55" t="n"/>
    </row>
    <row r="427" ht="15.75" customHeight="1" s="99">
      <c r="A427" s="41" t="n">
        <v>433</v>
      </c>
      <c r="B427" s="45" t="n"/>
      <c r="C427" s="47" t="n"/>
      <c r="D427" s="47" t="n"/>
      <c r="E427" s="47" t="n"/>
      <c r="F427" s="47" t="n"/>
      <c r="G427" s="62" t="n"/>
      <c r="H427" s="47" t="n"/>
      <c r="I427" s="47" t="n"/>
      <c r="J427" s="47" t="n"/>
      <c r="K427" s="47" t="n"/>
      <c r="L427" s="50">
        <f>IF(G427="","",IF(L426="",G427,L426+G427))</f>
        <v/>
      </c>
      <c r="M427" s="47" t="n"/>
    </row>
    <row r="428" ht="15.75" customHeight="1" s="99">
      <c r="A428" s="43" t="n">
        <v>434</v>
      </c>
      <c r="B428" s="53" t="n"/>
      <c r="C428" s="55" t="n"/>
      <c r="D428" s="55" t="n"/>
      <c r="E428" s="55" t="n"/>
      <c r="F428" s="55" t="n"/>
      <c r="G428" s="63" t="n"/>
      <c r="H428" s="55" t="n"/>
      <c r="I428" s="55" t="n"/>
      <c r="J428" s="55" t="n"/>
      <c r="K428" s="55" t="n"/>
      <c r="L428" s="58">
        <f>IF(G428="","",IF(L427="",G428,L427+G428))</f>
        <v/>
      </c>
      <c r="M428" s="55" t="n"/>
    </row>
    <row r="429" ht="15.75" customHeight="1" s="99">
      <c r="A429" s="41" t="n">
        <v>435</v>
      </c>
      <c r="B429" s="45" t="n"/>
      <c r="C429" s="47" t="n"/>
      <c r="D429" s="47" t="n"/>
      <c r="E429" s="47" t="n"/>
      <c r="F429" s="47" t="n"/>
      <c r="G429" s="62" t="n"/>
      <c r="H429" s="47" t="n"/>
      <c r="I429" s="47" t="n"/>
      <c r="J429" s="47" t="n"/>
      <c r="K429" s="47" t="n"/>
      <c r="L429" s="50">
        <f>IF(G429="","",IF(L428="",G429,L428+G429))</f>
        <v/>
      </c>
      <c r="M429" s="47" t="n"/>
    </row>
    <row r="430" ht="15.75" customHeight="1" s="99">
      <c r="A430" s="43" t="n">
        <v>436</v>
      </c>
      <c r="B430" s="53" t="n"/>
      <c r="C430" s="55" t="n"/>
      <c r="D430" s="55" t="n"/>
      <c r="E430" s="55" t="n"/>
      <c r="F430" s="55" t="n"/>
      <c r="G430" s="63" t="n"/>
      <c r="H430" s="55" t="n"/>
      <c r="I430" s="55" t="n"/>
      <c r="J430" s="55" t="n"/>
      <c r="K430" s="55" t="n"/>
      <c r="L430" s="58">
        <f>IF(G430="","",IF(L429="",G430,L429+G430))</f>
        <v/>
      </c>
      <c r="M430" s="55" t="n"/>
    </row>
    <row r="431" ht="15.75" customHeight="1" s="99">
      <c r="A431" s="41" t="n">
        <v>437</v>
      </c>
      <c r="B431" s="45" t="n"/>
      <c r="C431" s="47" t="n"/>
      <c r="D431" s="47" t="n"/>
      <c r="E431" s="47" t="n"/>
      <c r="F431" s="47" t="n"/>
      <c r="G431" s="62" t="n"/>
      <c r="H431" s="47" t="n"/>
      <c r="I431" s="47" t="n"/>
      <c r="J431" s="47" t="n"/>
      <c r="K431" s="47" t="n"/>
      <c r="L431" s="50">
        <f>IF(G431="","",IF(L430="",G431,L430+G431))</f>
        <v/>
      </c>
      <c r="M431" s="47" t="n"/>
    </row>
    <row r="432" ht="15.75" customHeight="1" s="99">
      <c r="A432" s="43" t="n">
        <v>438</v>
      </c>
      <c r="B432" s="53" t="n"/>
      <c r="C432" s="55" t="n"/>
      <c r="D432" s="55" t="n"/>
      <c r="E432" s="55" t="n"/>
      <c r="F432" s="55" t="n"/>
      <c r="G432" s="63" t="n"/>
      <c r="H432" s="55" t="n"/>
      <c r="I432" s="55" t="n"/>
      <c r="J432" s="55" t="n"/>
      <c r="K432" s="55" t="n"/>
      <c r="L432" s="58">
        <f>IF(G432="","",IF(L431="",G432,L431+G432))</f>
        <v/>
      </c>
      <c r="M432" s="55" t="n"/>
    </row>
    <row r="433" ht="15.75" customHeight="1" s="99">
      <c r="A433" s="41" t="n">
        <v>439</v>
      </c>
      <c r="B433" s="45" t="n"/>
      <c r="C433" s="47" t="n"/>
      <c r="D433" s="47" t="n"/>
      <c r="E433" s="47" t="n"/>
      <c r="F433" s="47" t="n"/>
      <c r="G433" s="62" t="n"/>
      <c r="H433" s="47" t="n"/>
      <c r="I433" s="47" t="n"/>
      <c r="J433" s="47" t="n"/>
      <c r="K433" s="47" t="n"/>
      <c r="L433" s="50">
        <f>IF(G433="","",IF(L432="",G433,L432+G433))</f>
        <v/>
      </c>
      <c r="M433" s="47" t="n"/>
    </row>
    <row r="434" ht="15.75" customHeight="1" s="99">
      <c r="A434" s="43" t="n">
        <v>440</v>
      </c>
      <c r="B434" s="53" t="n"/>
      <c r="C434" s="55" t="n"/>
      <c r="D434" s="55" t="n"/>
      <c r="E434" s="55" t="n"/>
      <c r="F434" s="55" t="n"/>
      <c r="G434" s="63" t="n"/>
      <c r="H434" s="55" t="n"/>
      <c r="I434" s="55" t="n"/>
      <c r="J434" s="55" t="n"/>
      <c r="K434" s="55" t="n"/>
      <c r="L434" s="58">
        <f>IF(G434="","",IF(L433="",G434,L433+G434))</f>
        <v/>
      </c>
      <c r="M434" s="55" t="n"/>
    </row>
    <row r="435" ht="15.75" customHeight="1" s="99">
      <c r="A435" s="41" t="n">
        <v>441</v>
      </c>
      <c r="B435" s="45" t="n"/>
      <c r="C435" s="47" t="n"/>
      <c r="D435" s="47" t="n"/>
      <c r="E435" s="47" t="n"/>
      <c r="F435" s="47" t="n"/>
      <c r="G435" s="62" t="n"/>
      <c r="H435" s="47" t="n"/>
      <c r="I435" s="47" t="n"/>
      <c r="J435" s="47" t="n"/>
      <c r="K435" s="47" t="n"/>
      <c r="L435" s="50">
        <f>IF(G435="","",IF(L434="",G435,L434+G435))</f>
        <v/>
      </c>
      <c r="M435" s="47" t="n"/>
    </row>
    <row r="436" ht="15.75" customHeight="1" s="99">
      <c r="A436" s="43" t="n">
        <v>442</v>
      </c>
      <c r="B436" s="53" t="n"/>
      <c r="C436" s="55" t="n"/>
      <c r="D436" s="55" t="n"/>
      <c r="E436" s="55" t="n"/>
      <c r="F436" s="55" t="n"/>
      <c r="G436" s="63" t="n"/>
      <c r="H436" s="55" t="n"/>
      <c r="I436" s="55" t="n"/>
      <c r="J436" s="55" t="n"/>
      <c r="K436" s="55" t="n"/>
      <c r="L436" s="58">
        <f>IF(G436="","",IF(L435="",G436,L435+G436))</f>
        <v/>
      </c>
      <c r="M436" s="55" t="n"/>
    </row>
    <row r="437" ht="15.75" customHeight="1" s="99">
      <c r="A437" s="41" t="n">
        <v>443</v>
      </c>
      <c r="B437" s="45" t="n"/>
      <c r="C437" s="47" t="n"/>
      <c r="D437" s="47" t="n"/>
      <c r="E437" s="47" t="n"/>
      <c r="F437" s="47" t="n"/>
      <c r="G437" s="62" t="n"/>
      <c r="H437" s="47" t="n"/>
      <c r="I437" s="47" t="n"/>
      <c r="J437" s="47" t="n"/>
      <c r="K437" s="47" t="n"/>
      <c r="L437" s="50">
        <f>IF(G437="","",IF(L436="",G437,L436+G437))</f>
        <v/>
      </c>
      <c r="M437" s="47" t="n"/>
    </row>
    <row r="438" ht="15.75" customHeight="1" s="99">
      <c r="A438" s="43" t="n">
        <v>444</v>
      </c>
      <c r="B438" s="53" t="n"/>
      <c r="C438" s="55" t="n"/>
      <c r="D438" s="55" t="n"/>
      <c r="E438" s="55" t="n"/>
      <c r="F438" s="55" t="n"/>
      <c r="G438" s="63" t="n"/>
      <c r="H438" s="55" t="n"/>
      <c r="I438" s="55" t="n"/>
      <c r="J438" s="55" t="n"/>
      <c r="K438" s="55" t="n"/>
      <c r="L438" s="58">
        <f>IF(G438="","",IF(L437="",G438,L437+G438))</f>
        <v/>
      </c>
      <c r="M438" s="55" t="n"/>
    </row>
    <row r="439" ht="15.75" customHeight="1" s="99">
      <c r="A439" s="41" t="n">
        <v>445</v>
      </c>
      <c r="B439" s="45" t="n"/>
      <c r="C439" s="47" t="n"/>
      <c r="D439" s="47" t="n"/>
      <c r="E439" s="47" t="n"/>
      <c r="F439" s="47" t="n"/>
      <c r="G439" s="62" t="n"/>
      <c r="H439" s="47" t="n"/>
      <c r="I439" s="47" t="n"/>
      <c r="J439" s="47" t="n"/>
      <c r="K439" s="47" t="n"/>
      <c r="L439" s="50">
        <f>IF(G439="","",IF(L438="",G439,L438+G439))</f>
        <v/>
      </c>
      <c r="M439" s="47" t="n"/>
    </row>
    <row r="440" ht="15.75" customHeight="1" s="99">
      <c r="A440" s="43" t="n">
        <v>446</v>
      </c>
      <c r="B440" s="53" t="n"/>
      <c r="C440" s="55" t="n"/>
      <c r="D440" s="55" t="n"/>
      <c r="E440" s="55" t="n"/>
      <c r="F440" s="55" t="n"/>
      <c r="G440" s="63" t="n"/>
      <c r="H440" s="55" t="n"/>
      <c r="I440" s="55" t="n"/>
      <c r="J440" s="55" t="n"/>
      <c r="K440" s="55" t="n"/>
      <c r="L440" s="58">
        <f>IF(G440="","",IF(L439="",G440,L439+G440))</f>
        <v/>
      </c>
      <c r="M440" s="55" t="n"/>
    </row>
    <row r="441" ht="15.75" customHeight="1" s="99">
      <c r="A441" s="41" t="n">
        <v>447</v>
      </c>
      <c r="B441" s="45" t="n"/>
      <c r="C441" s="47" t="n"/>
      <c r="D441" s="47" t="n"/>
      <c r="E441" s="47" t="n"/>
      <c r="F441" s="47" t="n"/>
      <c r="G441" s="62" t="n"/>
      <c r="H441" s="47" t="n"/>
      <c r="I441" s="47" t="n"/>
      <c r="J441" s="47" t="n"/>
      <c r="K441" s="47" t="n"/>
      <c r="L441" s="50">
        <f>IF(G441="","",IF(L440="",G441,L440+G441))</f>
        <v/>
      </c>
      <c r="M441" s="47" t="n"/>
    </row>
    <row r="442" ht="15.75" customHeight="1" s="99">
      <c r="A442" s="43" t="n">
        <v>448</v>
      </c>
      <c r="B442" s="53" t="n"/>
      <c r="C442" s="55" t="n"/>
      <c r="D442" s="55" t="n"/>
      <c r="E442" s="55" t="n"/>
      <c r="F442" s="55" t="n"/>
      <c r="G442" s="63" t="n"/>
      <c r="H442" s="55" t="n"/>
      <c r="I442" s="55" t="n"/>
      <c r="J442" s="55" t="n"/>
      <c r="K442" s="55" t="n"/>
      <c r="L442" s="58">
        <f>IF(G442="","",IF(L441="",G442,L441+G442))</f>
        <v/>
      </c>
      <c r="M442" s="55" t="n"/>
    </row>
    <row r="443" ht="15.75" customHeight="1" s="99">
      <c r="A443" s="41" t="n">
        <v>449</v>
      </c>
      <c r="B443" s="45" t="n"/>
      <c r="C443" s="47" t="n"/>
      <c r="D443" s="47" t="n"/>
      <c r="E443" s="47" t="n"/>
      <c r="F443" s="47" t="n"/>
      <c r="G443" s="62" t="n"/>
      <c r="H443" s="47" t="n"/>
      <c r="I443" s="47" t="n"/>
      <c r="J443" s="47" t="n"/>
      <c r="K443" s="47" t="n"/>
      <c r="L443" s="50">
        <f>IF(G443="","",IF(L442="",G443,L442+G443))</f>
        <v/>
      </c>
      <c r="M443" s="47" t="n"/>
    </row>
    <row r="444" ht="15.75" customHeight="1" s="99">
      <c r="A444" s="43" t="n">
        <v>450</v>
      </c>
      <c r="B444" s="53" t="n"/>
      <c r="C444" s="55" t="n"/>
      <c r="D444" s="55" t="n"/>
      <c r="E444" s="55" t="n"/>
      <c r="F444" s="55" t="n"/>
      <c r="G444" s="63" t="n"/>
      <c r="H444" s="55" t="n"/>
      <c r="I444" s="55" t="n"/>
      <c r="J444" s="55" t="n"/>
      <c r="K444" s="55" t="n"/>
      <c r="L444" s="58">
        <f>IF(G444="","",IF(L443="",G444,L443+G444))</f>
        <v/>
      </c>
      <c r="M444" s="55" t="n"/>
    </row>
    <row r="445" ht="15.75" customHeight="1" s="99">
      <c r="A445" s="41" t="n">
        <v>451</v>
      </c>
      <c r="B445" s="45" t="n"/>
      <c r="C445" s="47" t="n"/>
      <c r="D445" s="47" t="n"/>
      <c r="E445" s="47" t="n"/>
      <c r="F445" s="47" t="n"/>
      <c r="G445" s="62" t="n"/>
      <c r="H445" s="47" t="n"/>
      <c r="I445" s="47" t="n"/>
      <c r="J445" s="47" t="n"/>
      <c r="K445" s="47" t="n"/>
      <c r="L445" s="50">
        <f>IF(G445="","",IF(L444="",G445,L444+G445))</f>
        <v/>
      </c>
      <c r="M445" s="47" t="n"/>
    </row>
    <row r="446" ht="15.75" customHeight="1" s="99">
      <c r="A446" s="43" t="n">
        <v>452</v>
      </c>
      <c r="B446" s="53" t="n"/>
      <c r="C446" s="55" t="n"/>
      <c r="D446" s="55" t="n"/>
      <c r="E446" s="55" t="n"/>
      <c r="F446" s="55" t="n"/>
      <c r="G446" s="63" t="n"/>
      <c r="H446" s="55" t="n"/>
      <c r="I446" s="55" t="n"/>
      <c r="J446" s="55" t="n"/>
      <c r="K446" s="55" t="n"/>
      <c r="L446" s="58">
        <f>IF(G446="","",IF(L445="",G446,L445+G446))</f>
        <v/>
      </c>
      <c r="M446" s="55" t="n"/>
    </row>
    <row r="447" ht="15.75" customHeight="1" s="99">
      <c r="A447" s="41" t="n">
        <v>453</v>
      </c>
      <c r="B447" s="45" t="n"/>
      <c r="C447" s="47" t="n"/>
      <c r="D447" s="47" t="n"/>
      <c r="E447" s="47" t="n"/>
      <c r="F447" s="47" t="n"/>
      <c r="G447" s="62" t="n"/>
      <c r="H447" s="47" t="n"/>
      <c r="I447" s="47" t="n"/>
      <c r="J447" s="47" t="n"/>
      <c r="K447" s="47" t="n"/>
      <c r="L447" s="50">
        <f>IF(G447="","",IF(L446="",G447,L446+G447))</f>
        <v/>
      </c>
      <c r="M447" s="47" t="n"/>
    </row>
    <row r="448" ht="15.75" customHeight="1" s="99">
      <c r="A448" s="43" t="n">
        <v>454</v>
      </c>
      <c r="B448" s="53" t="n"/>
      <c r="C448" s="55" t="n"/>
      <c r="D448" s="55" t="n"/>
      <c r="E448" s="55" t="n"/>
      <c r="F448" s="55" t="n"/>
      <c r="G448" s="63" t="n"/>
      <c r="H448" s="55" t="n"/>
      <c r="I448" s="55" t="n"/>
      <c r="J448" s="55" t="n"/>
      <c r="K448" s="55" t="n"/>
      <c r="L448" s="58">
        <f>IF(G448="","",IF(L447="",G448,L447+G448))</f>
        <v/>
      </c>
      <c r="M448" s="55" t="n"/>
    </row>
    <row r="449" ht="15.75" customHeight="1" s="99">
      <c r="A449" s="41" t="n">
        <v>455</v>
      </c>
      <c r="B449" s="45" t="n"/>
      <c r="C449" s="47" t="n"/>
      <c r="D449" s="47" t="n"/>
      <c r="E449" s="47" t="n"/>
      <c r="F449" s="47" t="n"/>
      <c r="G449" s="62" t="n"/>
      <c r="H449" s="47" t="n"/>
      <c r="I449" s="47" t="n"/>
      <c r="J449" s="47" t="n"/>
      <c r="K449" s="47" t="n"/>
      <c r="L449" s="50">
        <f>IF(G449="","",IF(L448="",G449,L448+G449))</f>
        <v/>
      </c>
      <c r="M449" s="47" t="n"/>
    </row>
    <row r="450" ht="15.75" customHeight="1" s="99">
      <c r="A450" s="43" t="n">
        <v>456</v>
      </c>
      <c r="B450" s="53" t="n"/>
      <c r="C450" s="55" t="n"/>
      <c r="D450" s="55" t="n"/>
      <c r="E450" s="55" t="n"/>
      <c r="F450" s="55" t="n"/>
      <c r="G450" s="63" t="n"/>
      <c r="H450" s="55" t="n"/>
      <c r="I450" s="55" t="n"/>
      <c r="J450" s="55" t="n"/>
      <c r="K450" s="55" t="n"/>
      <c r="L450" s="58">
        <f>IF(G450="","",IF(L449="",G450,L449+G450))</f>
        <v/>
      </c>
      <c r="M450" s="55" t="n"/>
    </row>
    <row r="451" ht="15.75" customHeight="1" s="99">
      <c r="A451" s="41" t="n">
        <v>457</v>
      </c>
      <c r="B451" s="45" t="n"/>
      <c r="C451" s="47" t="n"/>
      <c r="D451" s="47" t="n"/>
      <c r="E451" s="47" t="n"/>
      <c r="F451" s="47" t="n"/>
      <c r="G451" s="62" t="n"/>
      <c r="H451" s="47" t="n"/>
      <c r="I451" s="47" t="n"/>
      <c r="J451" s="47" t="n"/>
      <c r="K451" s="47" t="n"/>
      <c r="L451" s="50">
        <f>IF(G451="","",IF(L450="",G451,L450+G451))</f>
        <v/>
      </c>
      <c r="M451" s="47" t="n"/>
    </row>
    <row r="452" ht="15.75" customHeight="1" s="99">
      <c r="A452" s="43" t="n">
        <v>458</v>
      </c>
      <c r="B452" s="53" t="n"/>
      <c r="C452" s="55" t="n"/>
      <c r="D452" s="55" t="n"/>
      <c r="E452" s="55" t="n"/>
      <c r="F452" s="55" t="n"/>
      <c r="G452" s="63" t="n"/>
      <c r="H452" s="55" t="n"/>
      <c r="I452" s="55" t="n"/>
      <c r="J452" s="55" t="n"/>
      <c r="K452" s="55" t="n"/>
      <c r="L452" s="58">
        <f>IF(G452="","",IF(L451="",G452,L451+G452))</f>
        <v/>
      </c>
      <c r="M452" s="55" t="n"/>
    </row>
    <row r="453" ht="15.75" customHeight="1" s="99">
      <c r="A453" s="41" t="n">
        <v>459</v>
      </c>
      <c r="B453" s="45" t="n"/>
      <c r="C453" s="47" t="n"/>
      <c r="D453" s="47" t="n"/>
      <c r="E453" s="47" t="n"/>
      <c r="F453" s="47" t="n"/>
      <c r="G453" s="62" t="n"/>
      <c r="H453" s="47" t="n"/>
      <c r="I453" s="47" t="n"/>
      <c r="J453" s="47" t="n"/>
      <c r="K453" s="47" t="n"/>
      <c r="L453" s="50">
        <f>IF(G453="","",IF(L452="",G453,L452+G453))</f>
        <v/>
      </c>
      <c r="M453" s="47" t="n"/>
    </row>
    <row r="454" ht="15.75" customHeight="1" s="99">
      <c r="A454" s="43" t="n">
        <v>460</v>
      </c>
      <c r="B454" s="53" t="n"/>
      <c r="C454" s="55" t="n"/>
      <c r="D454" s="55" t="n"/>
      <c r="E454" s="55" t="n"/>
      <c r="F454" s="55" t="n"/>
      <c r="G454" s="63" t="n"/>
      <c r="H454" s="55" t="n"/>
      <c r="I454" s="55" t="n"/>
      <c r="J454" s="55" t="n"/>
      <c r="K454" s="55" t="n"/>
      <c r="L454" s="58">
        <f>IF(G454="","",IF(L453="",G454,L453+G454))</f>
        <v/>
      </c>
      <c r="M454" s="55" t="n"/>
    </row>
    <row r="455" ht="15.75" customHeight="1" s="99">
      <c r="A455" s="41" t="n">
        <v>461</v>
      </c>
      <c r="B455" s="45" t="n"/>
      <c r="C455" s="47" t="n"/>
      <c r="D455" s="47" t="n"/>
      <c r="E455" s="47" t="n"/>
      <c r="F455" s="47" t="n"/>
      <c r="G455" s="62" t="n"/>
      <c r="H455" s="47" t="n"/>
      <c r="I455" s="47" t="n"/>
      <c r="J455" s="47" t="n"/>
      <c r="K455" s="47" t="n"/>
      <c r="L455" s="50">
        <f>IF(G455="","",IF(L454="",G455,L454+G455))</f>
        <v/>
      </c>
      <c r="M455" s="47" t="n"/>
    </row>
    <row r="456" ht="15.75" customHeight="1" s="99">
      <c r="A456" s="43" t="n">
        <v>462</v>
      </c>
      <c r="B456" s="53" t="n"/>
      <c r="C456" s="55" t="n"/>
      <c r="D456" s="55" t="n"/>
      <c r="E456" s="55" t="n"/>
      <c r="F456" s="55" t="n"/>
      <c r="G456" s="63" t="n"/>
      <c r="H456" s="55" t="n"/>
      <c r="I456" s="55" t="n"/>
      <c r="J456" s="55" t="n"/>
      <c r="K456" s="55" t="n"/>
      <c r="L456" s="58">
        <f>IF(G456="","",IF(L455="",G456,L455+G456))</f>
        <v/>
      </c>
      <c r="M456" s="55" t="n"/>
    </row>
    <row r="457" ht="15.75" customHeight="1" s="99">
      <c r="A457" s="41" t="n">
        <v>463</v>
      </c>
      <c r="B457" s="45" t="n"/>
      <c r="C457" s="47" t="n"/>
      <c r="D457" s="47" t="n"/>
      <c r="E457" s="47" t="n"/>
      <c r="F457" s="47" t="n"/>
      <c r="G457" s="62" t="n"/>
      <c r="H457" s="47" t="n"/>
      <c r="I457" s="47" t="n"/>
      <c r="J457" s="47" t="n"/>
      <c r="K457" s="47" t="n"/>
      <c r="L457" s="50">
        <f>IF(G457="","",IF(L456="",G457,L456+G457))</f>
        <v/>
      </c>
      <c r="M457" s="47" t="n"/>
    </row>
    <row r="458" ht="15.75" customHeight="1" s="99">
      <c r="A458" s="43" t="n">
        <v>464</v>
      </c>
      <c r="B458" s="53" t="n"/>
      <c r="C458" s="55" t="n"/>
      <c r="D458" s="55" t="n"/>
      <c r="E458" s="55" t="n"/>
      <c r="F458" s="55" t="n"/>
      <c r="G458" s="63" t="n"/>
      <c r="H458" s="55" t="n"/>
      <c r="I458" s="55" t="n"/>
      <c r="J458" s="55" t="n"/>
      <c r="K458" s="55" t="n"/>
      <c r="L458" s="58">
        <f>IF(G458="","",IF(L457="",G458,L457+G458))</f>
        <v/>
      </c>
      <c r="M458" s="55" t="n"/>
    </row>
    <row r="459" ht="15.75" customHeight="1" s="99">
      <c r="A459" s="41" t="n">
        <v>465</v>
      </c>
      <c r="B459" s="45" t="n"/>
      <c r="C459" s="47" t="n"/>
      <c r="D459" s="47" t="n"/>
      <c r="E459" s="47" t="n"/>
      <c r="F459" s="47" t="n"/>
      <c r="G459" s="62" t="n"/>
      <c r="H459" s="47" t="n"/>
      <c r="I459" s="47" t="n"/>
      <c r="J459" s="47" t="n"/>
      <c r="K459" s="47" t="n"/>
      <c r="L459" s="50">
        <f>IF(G459="","",IF(L458="",G459,L458+G459))</f>
        <v/>
      </c>
      <c r="M459" s="47" t="n"/>
    </row>
    <row r="460" ht="15.75" customHeight="1" s="99">
      <c r="A460" s="43" t="n">
        <v>466</v>
      </c>
      <c r="B460" s="53" t="n"/>
      <c r="C460" s="55" t="n"/>
      <c r="D460" s="55" t="n"/>
      <c r="E460" s="55" t="n"/>
      <c r="F460" s="55" t="n"/>
      <c r="G460" s="63" t="n"/>
      <c r="H460" s="55" t="n"/>
      <c r="I460" s="55" t="n"/>
      <c r="J460" s="55" t="n"/>
      <c r="K460" s="55" t="n"/>
      <c r="L460" s="58">
        <f>IF(G460="","",IF(L459="",G460,L459+G460))</f>
        <v/>
      </c>
      <c r="M460" s="55" t="n"/>
    </row>
    <row r="461" ht="15.75" customHeight="1" s="99">
      <c r="A461" s="41" t="n">
        <v>467</v>
      </c>
      <c r="B461" s="45" t="n"/>
      <c r="C461" s="47" t="n"/>
      <c r="D461" s="47" t="n"/>
      <c r="E461" s="47" t="n"/>
      <c r="F461" s="47" t="n"/>
      <c r="G461" s="62" t="n"/>
      <c r="H461" s="47" t="n"/>
      <c r="I461" s="47" t="n"/>
      <c r="J461" s="47" t="n"/>
      <c r="K461" s="47" t="n"/>
      <c r="L461" s="50">
        <f>IF(G461="","",IF(L460="",G461,L460+G461))</f>
        <v/>
      </c>
      <c r="M461" s="47" t="n"/>
    </row>
    <row r="462" ht="15.75" customHeight="1" s="99">
      <c r="A462" s="43" t="n">
        <v>468</v>
      </c>
      <c r="B462" s="53" t="n"/>
      <c r="C462" s="55" t="n"/>
      <c r="D462" s="55" t="n"/>
      <c r="E462" s="55" t="n"/>
      <c r="F462" s="55" t="n"/>
      <c r="G462" s="63" t="n"/>
      <c r="H462" s="55" t="n"/>
      <c r="I462" s="55" t="n"/>
      <c r="J462" s="55" t="n"/>
      <c r="K462" s="55" t="n"/>
      <c r="L462" s="58">
        <f>IF(G462="","",IF(L461="",G462,L461+G462))</f>
        <v/>
      </c>
      <c r="M462" s="55" t="n"/>
    </row>
    <row r="463" ht="15.75" customHeight="1" s="99">
      <c r="A463" s="41" t="n">
        <v>469</v>
      </c>
      <c r="B463" s="45" t="n"/>
      <c r="C463" s="47" t="n"/>
      <c r="D463" s="47" t="n"/>
      <c r="E463" s="47" t="n"/>
      <c r="F463" s="47" t="n"/>
      <c r="G463" s="62" t="n"/>
      <c r="H463" s="47" t="n"/>
      <c r="I463" s="47" t="n"/>
      <c r="J463" s="47" t="n"/>
      <c r="K463" s="47" t="n"/>
      <c r="L463" s="50">
        <f>IF(G463="","",IF(L462="",G463,L462+G463))</f>
        <v/>
      </c>
      <c r="M463" s="47" t="n"/>
    </row>
    <row r="464" ht="15.75" customHeight="1" s="99">
      <c r="A464" s="43" t="n">
        <v>470</v>
      </c>
      <c r="B464" s="53" t="n"/>
      <c r="C464" s="55" t="n"/>
      <c r="D464" s="55" t="n"/>
      <c r="E464" s="55" t="n"/>
      <c r="F464" s="55" t="n"/>
      <c r="G464" s="63" t="n"/>
      <c r="H464" s="55" t="n"/>
      <c r="I464" s="55" t="n"/>
      <c r="J464" s="55" t="n"/>
      <c r="K464" s="55" t="n"/>
      <c r="L464" s="58">
        <f>IF(G464="","",IF(L463="",G464,L463+G464))</f>
        <v/>
      </c>
      <c r="M464" s="55" t="n"/>
    </row>
    <row r="465" ht="15.75" customHeight="1" s="99">
      <c r="A465" s="41" t="n">
        <v>471</v>
      </c>
      <c r="B465" s="45" t="n"/>
      <c r="C465" s="47" t="n"/>
      <c r="D465" s="47" t="n"/>
      <c r="E465" s="47" t="n"/>
      <c r="F465" s="47" t="n"/>
      <c r="G465" s="62" t="n"/>
      <c r="H465" s="47" t="n"/>
      <c r="I465" s="47" t="n"/>
      <c r="J465" s="47" t="n"/>
      <c r="K465" s="47" t="n"/>
      <c r="L465" s="50">
        <f>IF(G465="","",IF(L464="",G465,L464+G465))</f>
        <v/>
      </c>
      <c r="M465" s="47" t="n"/>
    </row>
    <row r="466" ht="15.75" customHeight="1" s="99">
      <c r="A466" s="43" t="n">
        <v>472</v>
      </c>
      <c r="B466" s="53" t="n"/>
      <c r="C466" s="55" t="n"/>
      <c r="D466" s="55" t="n"/>
      <c r="E466" s="55" t="n"/>
      <c r="F466" s="55" t="n"/>
      <c r="G466" s="63" t="n"/>
      <c r="H466" s="55" t="n"/>
      <c r="I466" s="55" t="n"/>
      <c r="J466" s="55" t="n"/>
      <c r="K466" s="55" t="n"/>
      <c r="L466" s="58">
        <f>IF(G466="","",IF(L465="",G466,L465+G466))</f>
        <v/>
      </c>
      <c r="M466" s="55" t="n"/>
    </row>
    <row r="467" ht="15.75" customHeight="1" s="99">
      <c r="A467" s="41" t="n">
        <v>473</v>
      </c>
      <c r="B467" s="45" t="n"/>
      <c r="C467" s="47" t="n"/>
      <c r="D467" s="47" t="n"/>
      <c r="E467" s="47" t="n"/>
      <c r="F467" s="47" t="n"/>
      <c r="G467" s="62" t="n"/>
      <c r="H467" s="47" t="n"/>
      <c r="I467" s="47" t="n"/>
      <c r="J467" s="47" t="n"/>
      <c r="K467" s="47" t="n"/>
      <c r="L467" s="50">
        <f>IF(G467="","",IF(L466="",G467,L466+G467))</f>
        <v/>
      </c>
      <c r="M467" s="47" t="n"/>
    </row>
    <row r="468" ht="15.75" customHeight="1" s="99">
      <c r="A468" s="43" t="n">
        <v>474</v>
      </c>
      <c r="B468" s="53" t="n"/>
      <c r="C468" s="55" t="n"/>
      <c r="D468" s="55" t="n"/>
      <c r="E468" s="55" t="n"/>
      <c r="F468" s="55" t="n"/>
      <c r="G468" s="63" t="n"/>
      <c r="H468" s="55" t="n"/>
      <c r="I468" s="55" t="n"/>
      <c r="J468" s="55" t="n"/>
      <c r="K468" s="55" t="n"/>
      <c r="L468" s="58">
        <f>IF(G468="","",IF(L467="",G468,L467+G468))</f>
        <v/>
      </c>
      <c r="M468" s="55" t="n"/>
    </row>
    <row r="469" ht="15.75" customHeight="1" s="99">
      <c r="A469" s="41" t="n">
        <v>475</v>
      </c>
      <c r="B469" s="45" t="n"/>
      <c r="C469" s="47" t="n"/>
      <c r="D469" s="47" t="n"/>
      <c r="E469" s="47" t="n"/>
      <c r="F469" s="47" t="n"/>
      <c r="G469" s="62" t="n"/>
      <c r="H469" s="47" t="n"/>
      <c r="I469" s="47" t="n"/>
      <c r="J469" s="47" t="n"/>
      <c r="K469" s="47" t="n"/>
      <c r="L469" s="50">
        <f>IF(G469="","",IF(L468="",G469,L468+G469))</f>
        <v/>
      </c>
      <c r="M469" s="47" t="n"/>
    </row>
    <row r="470" ht="15.75" customHeight="1" s="99">
      <c r="A470" s="43" t="n">
        <v>476</v>
      </c>
      <c r="B470" s="53" t="n"/>
      <c r="C470" s="55" t="n"/>
      <c r="D470" s="55" t="n"/>
      <c r="E470" s="55" t="n"/>
      <c r="F470" s="55" t="n"/>
      <c r="G470" s="63" t="n"/>
      <c r="H470" s="55" t="n"/>
      <c r="I470" s="55" t="n"/>
      <c r="J470" s="55" t="n"/>
      <c r="K470" s="55" t="n"/>
      <c r="L470" s="58">
        <f>IF(G470="","",IF(L469="",G470,L469+G470))</f>
        <v/>
      </c>
      <c r="M470" s="55" t="n"/>
    </row>
    <row r="471" ht="15.75" customHeight="1" s="99">
      <c r="A471" s="41" t="n">
        <v>477</v>
      </c>
      <c r="B471" s="45" t="n"/>
      <c r="C471" s="47" t="n"/>
      <c r="D471" s="47" t="n"/>
      <c r="E471" s="47" t="n"/>
      <c r="F471" s="47" t="n"/>
      <c r="G471" s="62" t="n"/>
      <c r="H471" s="47" t="n"/>
      <c r="I471" s="47" t="n"/>
      <c r="J471" s="47" t="n"/>
      <c r="K471" s="47" t="n"/>
      <c r="L471" s="50">
        <f>IF(G471="","",IF(L470="",G471,L470+G471))</f>
        <v/>
      </c>
      <c r="M471" s="47" t="n"/>
    </row>
    <row r="472" ht="15.75" customHeight="1" s="99">
      <c r="A472" s="43" t="n">
        <v>478</v>
      </c>
      <c r="B472" s="53" t="n"/>
      <c r="C472" s="55" t="n"/>
      <c r="D472" s="55" t="n"/>
      <c r="E472" s="55" t="n"/>
      <c r="F472" s="55" t="n"/>
      <c r="G472" s="63" t="n"/>
      <c r="H472" s="55" t="n"/>
      <c r="I472" s="55" t="n"/>
      <c r="J472" s="55" t="n"/>
      <c r="K472" s="55" t="n"/>
      <c r="L472" s="58">
        <f>IF(G472="","",IF(L471="",G472,L471+G472))</f>
        <v/>
      </c>
      <c r="M472" s="55" t="n"/>
    </row>
    <row r="473" ht="15.75" customHeight="1" s="99">
      <c r="A473" s="41" t="n">
        <v>479</v>
      </c>
      <c r="B473" s="45" t="n"/>
      <c r="C473" s="47" t="n"/>
      <c r="D473" s="47" t="n"/>
      <c r="E473" s="47" t="n"/>
      <c r="F473" s="47" t="n"/>
      <c r="G473" s="62" t="n"/>
      <c r="H473" s="47" t="n"/>
      <c r="I473" s="47" t="n"/>
      <c r="J473" s="47" t="n"/>
      <c r="K473" s="47" t="n"/>
      <c r="L473" s="50">
        <f>IF(G473="","",IF(L472="",G473,L472+G473))</f>
        <v/>
      </c>
      <c r="M473" s="47" t="n"/>
    </row>
    <row r="474" ht="15.75" customHeight="1" s="99">
      <c r="A474" s="43" t="n">
        <v>480</v>
      </c>
      <c r="B474" s="53" t="n"/>
      <c r="C474" s="55" t="n"/>
      <c r="D474" s="55" t="n"/>
      <c r="E474" s="55" t="n"/>
      <c r="F474" s="55" t="n"/>
      <c r="G474" s="63" t="n"/>
      <c r="H474" s="55" t="n"/>
      <c r="I474" s="55" t="n"/>
      <c r="J474" s="55" t="n"/>
      <c r="K474" s="55" t="n"/>
      <c r="L474" s="58">
        <f>IF(G474="","",IF(L473="",G474,L473+G474))</f>
        <v/>
      </c>
      <c r="M474" s="55" t="n"/>
    </row>
    <row r="475" ht="15.75" customHeight="1" s="99">
      <c r="A475" s="41" t="n">
        <v>481</v>
      </c>
      <c r="B475" s="45" t="n"/>
      <c r="C475" s="47" t="n"/>
      <c r="D475" s="47" t="n"/>
      <c r="E475" s="47" t="n"/>
      <c r="F475" s="47" t="n"/>
      <c r="G475" s="62" t="n"/>
      <c r="H475" s="47" t="n"/>
      <c r="I475" s="47" t="n"/>
      <c r="J475" s="47" t="n"/>
      <c r="K475" s="47" t="n"/>
      <c r="L475" s="50">
        <f>IF(G475="","",IF(L474="",G475,L474+G475))</f>
        <v/>
      </c>
      <c r="M475" s="47" t="n"/>
    </row>
    <row r="476" ht="15.75" customHeight="1" s="99">
      <c r="A476" s="43" t="n">
        <v>482</v>
      </c>
      <c r="B476" s="53" t="n"/>
      <c r="C476" s="55" t="n"/>
      <c r="D476" s="55" t="n"/>
      <c r="E476" s="55" t="n"/>
      <c r="F476" s="55" t="n"/>
      <c r="G476" s="63" t="n"/>
      <c r="H476" s="55" t="n"/>
      <c r="I476" s="55" t="n"/>
      <c r="J476" s="55" t="n"/>
      <c r="K476" s="55" t="n"/>
      <c r="L476" s="58">
        <f>IF(G476="","",IF(L475="",G476,L475+G476))</f>
        <v/>
      </c>
      <c r="M476" s="55" t="n"/>
    </row>
    <row r="477" ht="15.75" customHeight="1" s="99">
      <c r="A477" s="41" t="n">
        <v>483</v>
      </c>
      <c r="B477" s="45" t="n"/>
      <c r="C477" s="47" t="n"/>
      <c r="D477" s="47" t="n"/>
      <c r="E477" s="47" t="n"/>
      <c r="F477" s="47" t="n"/>
      <c r="G477" s="62" t="n"/>
      <c r="H477" s="47" t="n"/>
      <c r="I477" s="47" t="n"/>
      <c r="J477" s="47" t="n"/>
      <c r="K477" s="47" t="n"/>
      <c r="L477" s="50">
        <f>IF(G477="","",IF(L476="",G477,L476+G477))</f>
        <v/>
      </c>
      <c r="M477" s="47" t="n"/>
    </row>
    <row r="478" ht="15.75" customHeight="1" s="99">
      <c r="A478" s="43" t="n">
        <v>484</v>
      </c>
      <c r="B478" s="53" t="n"/>
      <c r="C478" s="55" t="n"/>
      <c r="D478" s="55" t="n"/>
      <c r="E478" s="55" t="n"/>
      <c r="F478" s="55" t="n"/>
      <c r="G478" s="63" t="n"/>
      <c r="H478" s="55" t="n"/>
      <c r="I478" s="55" t="n"/>
      <c r="J478" s="55" t="n"/>
      <c r="K478" s="55" t="n"/>
      <c r="L478" s="58">
        <f>IF(G478="","",IF(L477="",G478,L477+G478))</f>
        <v/>
      </c>
      <c r="M478" s="55" t="n"/>
    </row>
    <row r="479" ht="15.75" customHeight="1" s="99">
      <c r="A479" s="41" t="n">
        <v>485</v>
      </c>
      <c r="B479" s="45" t="n"/>
      <c r="C479" s="47" t="n"/>
      <c r="D479" s="47" t="n"/>
      <c r="E479" s="47" t="n"/>
      <c r="F479" s="47" t="n"/>
      <c r="G479" s="62" t="n"/>
      <c r="H479" s="47" t="n"/>
      <c r="I479" s="47" t="n"/>
      <c r="J479" s="47" t="n"/>
      <c r="K479" s="47" t="n"/>
      <c r="L479" s="50">
        <f>IF(G479="","",IF(L478="",G479,L478+G479))</f>
        <v/>
      </c>
      <c r="M479" s="47" t="n"/>
    </row>
    <row r="480" ht="15.75" customHeight="1" s="99">
      <c r="A480" s="43" t="n">
        <v>486</v>
      </c>
      <c r="B480" s="53" t="n"/>
      <c r="C480" s="55" t="n"/>
      <c r="D480" s="55" t="n"/>
      <c r="E480" s="55" t="n"/>
      <c r="F480" s="55" t="n"/>
      <c r="G480" s="63" t="n"/>
      <c r="H480" s="55" t="n"/>
      <c r="I480" s="55" t="n"/>
      <c r="J480" s="55" t="n"/>
      <c r="K480" s="55" t="n"/>
      <c r="L480" s="58">
        <f>IF(G480="","",IF(L479="",G480,L479+G480))</f>
        <v/>
      </c>
      <c r="M480" s="55" t="n"/>
    </row>
    <row r="481" ht="15.75" customHeight="1" s="99">
      <c r="A481" s="41" t="n">
        <v>487</v>
      </c>
      <c r="B481" s="45" t="n"/>
      <c r="C481" s="47" t="n"/>
      <c r="D481" s="47" t="n"/>
      <c r="E481" s="47" t="n"/>
      <c r="F481" s="47" t="n"/>
      <c r="G481" s="62" t="n"/>
      <c r="H481" s="47" t="n"/>
      <c r="I481" s="47" t="n"/>
      <c r="J481" s="47" t="n"/>
      <c r="K481" s="47" t="n"/>
      <c r="L481" s="50">
        <f>IF(G481="","",IF(L480="",G481,L480+G481))</f>
        <v/>
      </c>
      <c r="M481" s="47" t="n"/>
    </row>
    <row r="482" ht="15.75" customHeight="1" s="99">
      <c r="A482" s="43" t="n">
        <v>488</v>
      </c>
      <c r="B482" s="53" t="n"/>
      <c r="C482" s="55" t="n"/>
      <c r="D482" s="55" t="n"/>
      <c r="E482" s="55" t="n"/>
      <c r="F482" s="55" t="n"/>
      <c r="G482" s="63" t="n"/>
      <c r="H482" s="55" t="n"/>
      <c r="I482" s="55" t="n"/>
      <c r="J482" s="55" t="n"/>
      <c r="K482" s="55" t="n"/>
      <c r="L482" s="58">
        <f>IF(G482="","",IF(L481="",G482,L481+G482))</f>
        <v/>
      </c>
      <c r="M482" s="55" t="n"/>
    </row>
    <row r="483" ht="15.75" customHeight="1" s="99">
      <c r="A483" s="41" t="n">
        <v>489</v>
      </c>
      <c r="B483" s="45" t="n"/>
      <c r="C483" s="47" t="n"/>
      <c r="D483" s="47" t="n"/>
      <c r="E483" s="47" t="n"/>
      <c r="F483" s="47" t="n"/>
      <c r="G483" s="62" t="n"/>
      <c r="H483" s="47" t="n"/>
      <c r="I483" s="47" t="n"/>
      <c r="J483" s="47" t="n"/>
      <c r="K483" s="47" t="n"/>
      <c r="L483" s="50">
        <f>IF(G483="","",IF(L482="",G483,L482+G483))</f>
        <v/>
      </c>
      <c r="M483" s="47" t="n"/>
    </row>
    <row r="484" ht="15.75" customHeight="1" s="99">
      <c r="A484" s="43" t="n">
        <v>490</v>
      </c>
      <c r="B484" s="53" t="n"/>
      <c r="C484" s="55" t="n"/>
      <c r="D484" s="55" t="n"/>
      <c r="E484" s="55" t="n"/>
      <c r="F484" s="55" t="n"/>
      <c r="G484" s="63" t="n"/>
      <c r="H484" s="55" t="n"/>
      <c r="I484" s="55" t="n"/>
      <c r="J484" s="55" t="n"/>
      <c r="K484" s="55" t="n"/>
      <c r="L484" s="58">
        <f>IF(G484="","",IF(L483="",G484,L483+G484))</f>
        <v/>
      </c>
      <c r="M484" s="55" t="n"/>
    </row>
    <row r="485" ht="15.75" customHeight="1" s="99">
      <c r="A485" s="41" t="n">
        <v>491</v>
      </c>
      <c r="B485" s="45" t="n"/>
      <c r="C485" s="47" t="n"/>
      <c r="D485" s="47" t="n"/>
      <c r="E485" s="47" t="n"/>
      <c r="F485" s="47" t="n"/>
      <c r="G485" s="62" t="n"/>
      <c r="H485" s="47" t="n"/>
      <c r="I485" s="47" t="n"/>
      <c r="J485" s="47" t="n"/>
      <c r="K485" s="47" t="n"/>
      <c r="L485" s="50">
        <f>IF(G485="","",IF(L484="",G485,L484+G485))</f>
        <v/>
      </c>
      <c r="M485" s="47" t="n"/>
    </row>
    <row r="486" ht="15.75" customHeight="1" s="99">
      <c r="A486" s="43" t="n">
        <v>492</v>
      </c>
      <c r="B486" s="53" t="n"/>
      <c r="C486" s="55" t="n"/>
      <c r="D486" s="55" t="n"/>
      <c r="E486" s="55" t="n"/>
      <c r="F486" s="55" t="n"/>
      <c r="G486" s="63" t="n"/>
      <c r="H486" s="55" t="n"/>
      <c r="I486" s="55" t="n"/>
      <c r="J486" s="55" t="n"/>
      <c r="K486" s="55" t="n"/>
      <c r="L486" s="58">
        <f>IF(G486="","",IF(L485="",G486,L485+G486))</f>
        <v/>
      </c>
      <c r="M486" s="55" t="n"/>
    </row>
    <row r="487" ht="15.75" customHeight="1" s="99">
      <c r="A487" s="41" t="n">
        <v>493</v>
      </c>
      <c r="B487" s="45" t="n"/>
      <c r="C487" s="47" t="n"/>
      <c r="D487" s="47" t="n"/>
      <c r="E487" s="47" t="n"/>
      <c r="F487" s="47" t="n"/>
      <c r="G487" s="62" t="n"/>
      <c r="H487" s="47" t="n"/>
      <c r="I487" s="47" t="n"/>
      <c r="J487" s="47" t="n"/>
      <c r="K487" s="47" t="n"/>
      <c r="L487" s="50">
        <f>IF(G487="","",IF(L486="",G487,L486+G487))</f>
        <v/>
      </c>
      <c r="M487" s="47" t="n"/>
    </row>
    <row r="488" ht="15.75" customHeight="1" s="99">
      <c r="A488" s="43" t="n">
        <v>494</v>
      </c>
      <c r="B488" s="53" t="n"/>
      <c r="C488" s="55" t="n"/>
      <c r="D488" s="55" t="n"/>
      <c r="E488" s="55" t="n"/>
      <c r="F488" s="55" t="n"/>
      <c r="G488" s="63" t="n"/>
      <c r="H488" s="55" t="n"/>
      <c r="I488" s="55" t="n"/>
      <c r="J488" s="55" t="n"/>
      <c r="K488" s="55" t="n"/>
      <c r="L488" s="58">
        <f>IF(G488="","",IF(L487="",G488,L487+G488))</f>
        <v/>
      </c>
      <c r="M488" s="55" t="n"/>
    </row>
    <row r="489" ht="15.75" customHeight="1" s="99">
      <c r="A489" s="41" t="n">
        <v>495</v>
      </c>
      <c r="B489" s="45" t="n"/>
      <c r="C489" s="47" t="n"/>
      <c r="D489" s="47" t="n"/>
      <c r="E489" s="47" t="n"/>
      <c r="F489" s="47" t="n"/>
      <c r="G489" s="62" t="n"/>
      <c r="H489" s="47" t="n"/>
      <c r="I489" s="47" t="n"/>
      <c r="J489" s="47" t="n"/>
      <c r="K489" s="47" t="n"/>
      <c r="L489" s="50">
        <f>IF(G489="","",IF(L488="",G489,L488+G489))</f>
        <v/>
      </c>
      <c r="M489" s="47" t="n"/>
    </row>
    <row r="490" ht="15.75" customHeight="1" s="99">
      <c r="A490" s="43" t="n">
        <v>496</v>
      </c>
      <c r="B490" s="53" t="n"/>
      <c r="C490" s="55" t="n"/>
      <c r="D490" s="55" t="n"/>
      <c r="E490" s="55" t="n"/>
      <c r="F490" s="55" t="n"/>
      <c r="G490" s="63" t="n"/>
      <c r="H490" s="55" t="n"/>
      <c r="I490" s="55" t="n"/>
      <c r="J490" s="55" t="n"/>
      <c r="K490" s="55" t="n"/>
      <c r="L490" s="58">
        <f>IF(G490="","",IF(L489="",G490,L489+G490))</f>
        <v/>
      </c>
      <c r="M490" s="55" t="n"/>
    </row>
    <row r="491" ht="15.75" customHeight="1" s="99">
      <c r="A491" s="41" t="n">
        <v>497</v>
      </c>
      <c r="B491" s="45" t="n"/>
      <c r="C491" s="47" t="n"/>
      <c r="D491" s="47" t="n"/>
      <c r="E491" s="47" t="n"/>
      <c r="F491" s="47" t="n"/>
      <c r="G491" s="62" t="n"/>
      <c r="H491" s="47" t="n"/>
      <c r="I491" s="47" t="n"/>
      <c r="J491" s="47" t="n"/>
      <c r="K491" s="47" t="n"/>
      <c r="L491" s="50">
        <f>IF(G491="","",IF(L490="",G491,L490+G491))</f>
        <v/>
      </c>
      <c r="M491" s="47" t="n"/>
    </row>
    <row r="492" ht="15.75" customHeight="1" s="99">
      <c r="A492" s="43" t="n">
        <v>498</v>
      </c>
      <c r="B492" s="53" t="n"/>
      <c r="C492" s="55" t="n"/>
      <c r="D492" s="55" t="n"/>
      <c r="E492" s="55" t="n"/>
      <c r="F492" s="55" t="n"/>
      <c r="G492" s="63" t="n"/>
      <c r="H492" s="55" t="n"/>
      <c r="I492" s="55" t="n"/>
      <c r="J492" s="55" t="n"/>
      <c r="K492" s="55" t="n"/>
      <c r="L492" s="58">
        <f>IF(G492="","",IF(L491="",G492,L491+G492))</f>
        <v/>
      </c>
      <c r="M492" s="55" t="n"/>
    </row>
    <row r="493" ht="15.75" customHeight="1" s="99">
      <c r="A493" s="41" t="n">
        <v>499</v>
      </c>
      <c r="B493" s="45" t="n"/>
      <c r="C493" s="47" t="n"/>
      <c r="D493" s="47" t="n"/>
      <c r="E493" s="47" t="n"/>
      <c r="F493" s="47" t="n"/>
      <c r="G493" s="62" t="n"/>
      <c r="H493" s="47" t="n"/>
      <c r="I493" s="47" t="n"/>
      <c r="J493" s="47" t="n"/>
      <c r="K493" s="47" t="n"/>
      <c r="L493" s="50">
        <f>IF(G493="","",IF(L492="",G493,L492+G493))</f>
        <v/>
      </c>
      <c r="M493" s="47" t="n"/>
    </row>
    <row r="494" ht="15.75" customHeight="1" s="99">
      <c r="A494" s="43" t="n">
        <v>500</v>
      </c>
      <c r="B494" s="53" t="n"/>
      <c r="C494" s="55" t="n"/>
      <c r="D494" s="55" t="n"/>
      <c r="E494" s="55" t="n"/>
      <c r="F494" s="55" t="n"/>
      <c r="G494" s="63" t="n"/>
      <c r="H494" s="55" t="n"/>
      <c r="I494" s="55" t="n"/>
      <c r="J494" s="55" t="n"/>
      <c r="K494" s="55" t="n"/>
      <c r="L494" s="58">
        <f>IF(G494="","",IF(L493="",G494,L493+G494))</f>
        <v/>
      </c>
      <c r="M494" s="55" t="n"/>
    </row>
    <row r="495" ht="15.75" customHeight="1" s="99">
      <c r="B495" s="128" t="n"/>
      <c r="K495" t="inlineStr">
        <is>
          <t>Y</t>
        </is>
      </c>
      <c r="L495">
        <f>IF(G495="","",IF(L494="",G495,L494+G495))</f>
        <v/>
      </c>
    </row>
    <row r="496" ht="15.75" customHeight="1" s="99"/>
    <row r="497" ht="15.75" customHeight="1" s="99"/>
    <row r="498" ht="15.75" customHeight="1" s="99"/>
    <row r="499" ht="15.75" customHeight="1" s="99"/>
    <row r="500" ht="15.75" customHeight="1" s="99"/>
    <row r="501" ht="15.75" customHeight="1" s="99"/>
    <row r="502" ht="15.75" customHeight="1" s="99"/>
    <row r="503" ht="15.75" customHeight="1" s="99"/>
    <row r="504" ht="15.75" customHeight="1" s="99"/>
  </sheetData>
  <autoFilter ref="A4:M504"/>
  <mergeCells count="2">
    <mergeCell ref="A2:M2"/>
    <mergeCell ref="A1:M1"/>
  </mergeCells>
  <dataValidations count="5">
    <dataValidation sqref="E5:E504" showDropDown="0" showInputMessage="0" showErrorMessage="0" allowBlank="1" type="list">
      <formula1>"Building Materials,Electrical,Food/Provisions,Labour,Land Development,Miscellaneous,Professional Fees,Steel/Iron,Transport"</formula1>
      <formula2>0</formula2>
    </dataValidation>
    <dataValidation sqref="D5:D504" showDropDown="0" showInputMessage="0" showErrorMessage="0" allowBlank="1" type="list">
      <formula1>"Pappu Hardware,Brick Company,Sand Truck Wala,Concrete Supplier,Dinesh-Electrician,Mukesh Yadav,Chand Ansari,Ajay Mahto,Mukhiya,Sonbhai-Coordinator,Econ Builder,Rinku Devi A/c"</formula1>
      <formula2>0</formula2>
    </dataValidation>
    <dataValidation sqref="C5:C504" showDropDown="0" showInputMessage="0" showErrorMessage="0" allowBlank="1" type="list">
      <formula1>"Self-GPay,Self-Paytm,Self-Cash,Self-Bank Transfer,Through Sonbhai,Through Engineer,Through Ajay,Papa"</formula1>
      <formula2>0</formula2>
    </dataValidation>
    <dataValidation sqref="H5:H504" showDropDown="0" showInputMessage="0" showErrorMessage="0" allowBlank="1" type="list">
      <formula1>"GPay,Paytm,Cash,Bank Transfer,UPI,Cheque"</formula1>
      <formula2>0</formula2>
    </dataValidation>
    <dataValidation sqref="K5:K504" showDropDown="0" showInputMessage="0" showErrorMessage="0" allowBlank="1" type="list">
      <formula1>"Yes,No,Pending"</formula1>
      <formula2>0</formula2>
    </dataValidation>
  </dataValidations>
  <pageMargins left="0.75" right="0.75" top="1" bottom="1" header="0.511811023622047" footer="0.511811023622047"/>
  <pageSetup orientation="landscape" paperSize="9" horizontalDpi="300" verticalDpi="300"/>
</worksheet>
</file>

<file path=xl/worksheets/sheet7.xml><?xml version="1.0" encoding="utf-8"?>
<worksheet xmlns="http://schemas.openxmlformats.org/spreadsheetml/2006/main">
  <sheetPr>
    <tabColor rgb="FF7C3AED"/>
    <outlinePr summaryBelow="1" summaryRight="1"/>
    <pageSetUpPr/>
  </sheetPr>
  <dimension ref="A1:I35"/>
  <sheetViews>
    <sheetView zoomScaleNormal="100" workbookViewId="0">
      <pane ySplit="4" topLeftCell="A5" activePane="bottomLeft" state="frozen"/>
      <selection pane="bottomLeft" activeCell="A1" sqref="A1:I1"/>
    </sheetView>
  </sheetViews>
  <sheetFormatPr baseColWidth="10" defaultColWidth="8.6640625" defaultRowHeight="15"/>
  <cols>
    <col width="22" customWidth="1" style="99" min="1" max="1"/>
    <col width="28" customWidth="1" style="99" min="2" max="2"/>
    <col width="12" customWidth="1" style="99" min="3" max="3"/>
    <col width="18" customWidth="1" style="99" min="4" max="4"/>
    <col width="14" customWidth="1" style="99" min="5" max="5"/>
    <col width="16" customWidth="1" style="99" min="6" max="8"/>
    <col width="10" customWidth="1" style="99" min="9" max="9"/>
  </cols>
  <sheetData>
    <row r="1" ht="17.25" customHeight="1" s="99">
      <c r="A1" s="100" t="inlineStr">
        <is>
          <t>MATERIAL PURCHASE SUMMARY</t>
        </is>
      </c>
    </row>
    <row r="2" ht="15.75" customHeight="1" s="99">
      <c r="A2" s="98" t="inlineStr">
        <is>
          <t>Auto-calculated from All Transactions using SUMIFS. No manual entry needed.</t>
        </is>
      </c>
    </row>
    <row r="4" ht="26.25" customHeight="1" s="99">
      <c r="A4" s="40" t="inlineStr">
        <is>
          <t>Category</t>
        </is>
      </c>
      <c r="B4" s="40" t="inlineStr">
        <is>
          <t>Sub-Category</t>
        </is>
      </c>
      <c r="C4" s="40" t="inlineStr">
        <is>
          <t>Total Qty</t>
        </is>
      </c>
      <c r="D4" s="40" t="inlineStr">
        <is>
          <t>Unit</t>
        </is>
      </c>
      <c r="E4" s="40" t="inlineStr">
        <is>
          <t>Avg Rate ₹</t>
        </is>
      </c>
      <c r="F4" s="40" t="inlineStr">
        <is>
          <t>Total Gross ₹</t>
        </is>
      </c>
      <c r="G4" s="40" t="inlineStr">
        <is>
          <t>Total Discount ₹</t>
        </is>
      </c>
      <c r="H4" s="40" t="inlineStr">
        <is>
          <t>Total Net ₹</t>
        </is>
      </c>
      <c r="I4" s="40" t="inlineStr">
        <is>
          <t>% of Total</t>
        </is>
      </c>
    </row>
    <row r="5" ht="15.75" customHeight="1" s="99">
      <c r="A5" s="42" t="inlineStr">
        <is>
          <t>Building Materials</t>
        </is>
      </c>
      <c r="B5" s="42" t="inlineStr">
        <is>
          <t>Bricks</t>
        </is>
      </c>
      <c r="C5" s="64">
        <f>SUMIFS('All Transactions'!I:I,'All Transactions'!E:E,A5,'All Transactions'!F:F,B5,'All Transactions'!J:J,"&lt;&gt;Lumpsum",'All Transactions'!J:J,"&lt;&gt;Service",'All Transactions'!J:J,"&lt;&gt;Lot",'All Transactions'!J:J,"&lt;&gt;Advance")</f>
        <v/>
      </c>
      <c r="D5" s="42" t="inlineStr">
        <is>
          <t>pcs</t>
        </is>
      </c>
      <c r="E5" s="65">
        <f>IFERROR(IF(C5=0,"",F5/C5),"")</f>
        <v/>
      </c>
      <c r="F5" s="66">
        <f>SUMIFS('All Transactions'!L:L,'All Transactions'!E:E,A5,'All Transactions'!F:F,B5)</f>
        <v/>
      </c>
      <c r="G5" s="67">
        <f>F5-H5</f>
        <v/>
      </c>
      <c r="H5" s="66">
        <f>SUMIFS('All Transactions'!O:O,'All Transactions'!E:E,A5,'All Transactions'!F:F,B5)</f>
        <v/>
      </c>
      <c r="I5" s="68">
        <f>IFERROR(H5/H$35,"")</f>
        <v/>
      </c>
    </row>
    <row r="6" ht="15.75" customHeight="1" s="99">
      <c r="A6" s="44" t="inlineStr">
        <is>
          <t>Steel / Iron</t>
        </is>
      </c>
      <c r="B6" s="44" t="inlineStr">
        <is>
          <t>Tiscon 10mm</t>
        </is>
      </c>
      <c r="C6" s="69">
        <f>SUMIFS('All Transactions'!I:I,'All Transactions'!E:E,A6,'All Transactions'!F:F,B6,'All Transactions'!J:J,"&lt;&gt;Lumpsum",'All Transactions'!J:J,"&lt;&gt;Service",'All Transactions'!J:J,"&lt;&gt;Lot",'All Transactions'!J:J,"&lt;&gt;Advance")</f>
        <v/>
      </c>
      <c r="D6" s="44" t="inlineStr">
        <is>
          <t>pcs</t>
        </is>
      </c>
      <c r="E6" s="70">
        <f>IFERROR(IF(C6=0,"",F6/C6),"")</f>
        <v/>
      </c>
      <c r="F6" s="71">
        <f>SUMIFS('All Transactions'!L:L,'All Transactions'!E:E,A6,'All Transactions'!F:F,B6)</f>
        <v/>
      </c>
      <c r="G6" s="72">
        <f>F6-H6</f>
        <v/>
      </c>
      <c r="H6" s="71">
        <f>SUMIFS('All Transactions'!O:O,'All Transactions'!E:E,A6,'All Transactions'!F:F,B6)</f>
        <v/>
      </c>
      <c r="I6" s="73">
        <f>IFERROR(H6/H$35,"")</f>
        <v/>
      </c>
    </row>
    <row r="7" ht="15.75" customHeight="1" s="99">
      <c r="A7" s="42" t="inlineStr">
        <is>
          <t>Building Materials</t>
        </is>
      </c>
      <c r="B7" s="42" t="inlineStr">
        <is>
          <t>Concrete/Gitti</t>
        </is>
      </c>
      <c r="C7" s="64">
        <f>SUMIFS('All Transactions'!I:I,'All Transactions'!E:E,A7,'All Transactions'!F:F,B7,'All Transactions'!J:J,"&lt;&gt;Lumpsum",'All Transactions'!J:J,"&lt;&gt;Service",'All Transactions'!J:J,"&lt;&gt;Lot",'All Transactions'!J:J,"&lt;&gt;Advance")</f>
        <v/>
      </c>
      <c r="D7" s="42" t="inlineStr">
        <is>
          <t>mixed</t>
        </is>
      </c>
      <c r="E7" s="65">
        <f>IFERROR(IF(C7=0,"",F7/C7),"")</f>
        <v/>
      </c>
      <c r="F7" s="66">
        <f>SUMIFS('All Transactions'!L:L,'All Transactions'!E:E,A7,'All Transactions'!F:F,B7)</f>
        <v/>
      </c>
      <c r="G7" s="67">
        <f>F7-H7</f>
        <v/>
      </c>
      <c r="H7" s="66">
        <f>SUMIFS('All Transactions'!O:O,'All Transactions'!E:E,A7,'All Transactions'!F:F,B7)</f>
        <v/>
      </c>
      <c r="I7" s="68">
        <f>IFERROR(H7/H$35,"")</f>
        <v/>
      </c>
    </row>
    <row r="8" ht="15.75" customHeight="1" s="99">
      <c r="A8" s="44" t="inlineStr">
        <is>
          <t>Building Materials</t>
        </is>
      </c>
      <c r="B8" s="44" t="inlineStr">
        <is>
          <t>Sand</t>
        </is>
      </c>
      <c r="C8" s="69">
        <f>SUMIFS('All Transactions'!I:I,'All Transactions'!E:E,A8,'All Transactions'!F:F,B8,'All Transactions'!J:J,"&lt;&gt;Lumpsum",'All Transactions'!J:J,"&lt;&gt;Service",'All Transactions'!J:J,"&lt;&gt;Lot",'All Transactions'!J:J,"&lt;&gt;Advance")</f>
        <v/>
      </c>
      <c r="D8" s="44" t="inlineStr">
        <is>
          <t>mixed</t>
        </is>
      </c>
      <c r="E8" s="70">
        <f>IFERROR(IF(C8=0,"",F8/C8),"")</f>
        <v/>
      </c>
      <c r="F8" s="71">
        <f>SUMIFS('All Transactions'!L:L,'All Transactions'!E:E,A8,'All Transactions'!F:F,B8)</f>
        <v/>
      </c>
      <c r="G8" s="72">
        <f>F8-H8</f>
        <v/>
      </c>
      <c r="H8" s="71">
        <f>SUMIFS('All Transactions'!O:O,'All Transactions'!E:E,A8,'All Transactions'!F:F,B8)</f>
        <v/>
      </c>
      <c r="I8" s="73">
        <f>IFERROR(H8/H$35,"")</f>
        <v/>
      </c>
    </row>
    <row r="9" ht="15.75" customHeight="1" s="99">
      <c r="A9" s="42" t="inlineStr">
        <is>
          <t>Building Materials</t>
        </is>
      </c>
      <c r="B9" s="42" t="inlineStr">
        <is>
          <t>Cement</t>
        </is>
      </c>
      <c r="C9" s="64">
        <f>SUMIFS('All Transactions'!I:I,'All Transactions'!E:E,A9,'All Transactions'!F:F,B9,'All Transactions'!J:J,"&lt;&gt;Lumpsum",'All Transactions'!J:J,"&lt;&gt;Service",'All Transactions'!J:J,"&lt;&gt;Lot",'All Transactions'!J:J,"&lt;&gt;Advance")</f>
        <v/>
      </c>
      <c r="D9" s="42" t="inlineStr">
        <is>
          <t>bags</t>
        </is>
      </c>
      <c r="E9" s="65">
        <f>IFERROR(IF(C9=0,"",F9/C9),"")</f>
        <v/>
      </c>
      <c r="F9" s="66">
        <f>SUMIFS('All Transactions'!L:L,'All Transactions'!E:E,A9,'All Transactions'!F:F,B9)</f>
        <v/>
      </c>
      <c r="G9" s="67">
        <f>F9-H9</f>
        <v/>
      </c>
      <c r="H9" s="66">
        <f>SUMIFS('All Transactions'!O:O,'All Transactions'!E:E,A9,'All Transactions'!F:F,B9)</f>
        <v/>
      </c>
      <c r="I9" s="68">
        <f>IFERROR(H9/H$35,"")</f>
        <v/>
      </c>
    </row>
    <row r="10" ht="15.75" customHeight="1" s="99">
      <c r="A10" s="44" t="inlineStr">
        <is>
          <t>Steel / Iron</t>
        </is>
      </c>
      <c r="B10" s="44" t="inlineStr">
        <is>
          <t>Tiscon 12mm</t>
        </is>
      </c>
      <c r="C10" s="69">
        <f>SUMIFS('All Transactions'!I:I,'All Transactions'!E:E,A10,'All Transactions'!F:F,B10,'All Transactions'!J:J,"&lt;&gt;Lumpsum",'All Transactions'!J:J,"&lt;&gt;Service",'All Transactions'!J:J,"&lt;&gt;Lot",'All Transactions'!J:J,"&lt;&gt;Advance")</f>
        <v/>
      </c>
      <c r="D10" s="44" t="inlineStr">
        <is>
          <t>pcs</t>
        </is>
      </c>
      <c r="E10" s="70">
        <f>IFERROR(IF(C10=0,"",F10/C10),"")</f>
        <v/>
      </c>
      <c r="F10" s="71">
        <f>SUMIFS('All Transactions'!L:L,'All Transactions'!E:E,A10,'All Transactions'!F:F,B10)</f>
        <v/>
      </c>
      <c r="G10" s="72">
        <f>F10-H10</f>
        <v/>
      </c>
      <c r="H10" s="71">
        <f>SUMIFS('All Transactions'!O:O,'All Transactions'!E:E,A10,'All Transactions'!F:F,B10)</f>
        <v/>
      </c>
      <c r="I10" s="73">
        <f>IFERROR(H10/H$35,"")</f>
        <v/>
      </c>
    </row>
    <row r="11" ht="15.75" customHeight="1" s="99">
      <c r="A11" s="42" t="inlineStr">
        <is>
          <t>Steel / Iron</t>
        </is>
      </c>
      <c r="B11" s="42" t="inlineStr">
        <is>
          <t>Tiscon 8mm</t>
        </is>
      </c>
      <c r="C11" s="64">
        <f>SUMIFS('All Transactions'!I:I,'All Transactions'!E:E,A11,'All Transactions'!F:F,B11,'All Transactions'!J:J,"&lt;&gt;Lumpsum",'All Transactions'!J:J,"&lt;&gt;Service",'All Transactions'!J:J,"&lt;&gt;Lot",'All Transactions'!J:J,"&lt;&gt;Advance")</f>
        <v/>
      </c>
      <c r="D11" s="42" t="inlineStr">
        <is>
          <t>pcs</t>
        </is>
      </c>
      <c r="E11" s="65">
        <f>IFERROR(IF(C11=0,"",F11/C11),"")</f>
        <v/>
      </c>
      <c r="F11" s="66">
        <f>SUMIFS('All Transactions'!L:L,'All Transactions'!E:E,A11,'All Transactions'!F:F,B11)</f>
        <v/>
      </c>
      <c r="G11" s="67">
        <f>F11-H11</f>
        <v/>
      </c>
      <c r="H11" s="66">
        <f>SUMIFS('All Transactions'!O:O,'All Transactions'!E:E,A11,'All Transactions'!F:F,B11)</f>
        <v/>
      </c>
      <c r="I11" s="68">
        <f>IFERROR(H11/H$35,"")</f>
        <v/>
      </c>
    </row>
    <row r="12" ht="15.75" customHeight="1" s="99">
      <c r="A12" s="44" t="inlineStr">
        <is>
          <t>Steel / Iron</t>
        </is>
      </c>
      <c r="B12" s="44" t="inlineStr">
        <is>
          <t>Tiscon 6mm</t>
        </is>
      </c>
      <c r="C12" s="69">
        <f>SUMIFS('All Transactions'!I:I,'All Transactions'!E:E,A12,'All Transactions'!F:F,B12,'All Transactions'!J:J,"&lt;&gt;Lumpsum",'All Transactions'!J:J,"&lt;&gt;Service",'All Transactions'!J:J,"&lt;&gt;Lot",'All Transactions'!J:J,"&lt;&gt;Advance")</f>
        <v/>
      </c>
      <c r="D12" s="44" t="inlineStr">
        <is>
          <t>pcs</t>
        </is>
      </c>
      <c r="E12" s="70">
        <f>IFERROR(IF(C12=0,"",F12/C12),"")</f>
        <v/>
      </c>
      <c r="F12" s="71">
        <f>SUMIFS('All Transactions'!L:L,'All Transactions'!E:E,A12,'All Transactions'!F:F,B12)</f>
        <v/>
      </c>
      <c r="G12" s="72">
        <f>F12-H12</f>
        <v/>
      </c>
      <c r="H12" s="71">
        <f>SUMIFS('All Transactions'!O:O,'All Transactions'!E:E,A12,'All Transactions'!F:F,B12)</f>
        <v/>
      </c>
      <c r="I12" s="73">
        <f>IFERROR(H12/H$35,"")</f>
        <v/>
      </c>
    </row>
    <row r="13" ht="15.75" customHeight="1" s="99">
      <c r="A13" s="42" t="inlineStr">
        <is>
          <t>Building Materials</t>
        </is>
      </c>
      <c r="B13" s="42" t="inlineStr">
        <is>
          <t>Wood</t>
        </is>
      </c>
      <c r="C13" s="64">
        <f>SUMIFS('All Transactions'!I:I,'All Transactions'!E:E,A13,'All Transactions'!F:F,B13,'All Transactions'!J:J,"&lt;&gt;Lumpsum",'All Transactions'!J:J,"&lt;&gt;Service",'All Transactions'!J:J,"&lt;&gt;Lot",'All Transactions'!J:J,"&lt;&gt;Advance")</f>
        <v/>
      </c>
      <c r="D13" s="42" t="inlineStr">
        <is>
          <t>cft</t>
        </is>
      </c>
      <c r="E13" s="65">
        <f>IFERROR(IF(C13=0,"",F13/C13),"")</f>
        <v/>
      </c>
      <c r="F13" s="66">
        <f>SUMIFS('All Transactions'!L:L,'All Transactions'!E:E,A13,'All Transactions'!F:F,B13)</f>
        <v/>
      </c>
      <c r="G13" s="67">
        <f>F13-H13</f>
        <v/>
      </c>
      <c r="H13" s="66">
        <f>SUMIFS('All Transactions'!O:O,'All Transactions'!E:E,A13,'All Transactions'!F:F,B13)</f>
        <v/>
      </c>
      <c r="I13" s="68">
        <f>IFERROR(H13/H$35,"")</f>
        <v/>
      </c>
    </row>
    <row r="14" ht="15.75" customHeight="1" s="99">
      <c r="A14" s="44" t="inlineStr">
        <is>
          <t>Electrical</t>
        </is>
      </c>
      <c r="B14" s="44" t="inlineStr">
        <is>
          <t>Electrical Items</t>
        </is>
      </c>
      <c r="C14" s="69">
        <f>SUMIFS('All Transactions'!I:I,'All Transactions'!E:E,A14,'All Transactions'!F:F,B14,'All Transactions'!J:J,"&lt;&gt;Lumpsum",'All Transactions'!J:J,"&lt;&gt;Service",'All Transactions'!J:J,"&lt;&gt;Lot",'All Transactions'!J:J,"&lt;&gt;Advance")</f>
        <v/>
      </c>
      <c r="D14" s="44" t="inlineStr">
        <is>
          <t>—</t>
        </is>
      </c>
      <c r="E14" s="70">
        <f>IFERROR(IF(C14=0,"",F14/C14),"")</f>
        <v/>
      </c>
      <c r="F14" s="71">
        <f>SUMIFS('All Transactions'!L:L,'All Transactions'!E:E,A14,'All Transactions'!F:F,B14)</f>
        <v/>
      </c>
      <c r="G14" s="72">
        <f>F14-H14</f>
        <v/>
      </c>
      <c r="H14" s="71">
        <f>SUMIFS('All Transactions'!O:O,'All Transactions'!E:E,A14,'All Transactions'!F:F,B14)</f>
        <v/>
      </c>
      <c r="I14" s="73">
        <f>IFERROR(H14/H$35,"")</f>
        <v/>
      </c>
    </row>
    <row r="15" ht="15.75" customHeight="1" s="99">
      <c r="A15" s="42" t="inlineStr">
        <is>
          <t>Building Materials</t>
        </is>
      </c>
      <c r="B15" s="42" t="inlineStr">
        <is>
          <t>Dr Fixit</t>
        </is>
      </c>
      <c r="C15" s="64">
        <f>SUMIFS('All Transactions'!I:I,'All Transactions'!E:E,A15,'All Transactions'!F:F,B15,'All Transactions'!J:J,"&lt;&gt;Lumpsum",'All Transactions'!J:J,"&lt;&gt;Service",'All Transactions'!J:J,"&lt;&gt;Lot",'All Transactions'!J:J,"&lt;&gt;Advance")</f>
        <v/>
      </c>
      <c r="D15" s="42" t="inlineStr">
        <is>
          <t>litres</t>
        </is>
      </c>
      <c r="E15" s="65">
        <f>IFERROR(IF(C15=0,"",F15/C15),"")</f>
        <v/>
      </c>
      <c r="F15" s="66">
        <f>SUMIFS('All Transactions'!L:L,'All Transactions'!E:E,A15,'All Transactions'!F:F,B15)</f>
        <v/>
      </c>
      <c r="G15" s="67">
        <f>F15-H15</f>
        <v/>
      </c>
      <c r="H15" s="66">
        <f>SUMIFS('All Transactions'!O:O,'All Transactions'!E:E,A15,'All Transactions'!F:F,B15)</f>
        <v/>
      </c>
      <c r="I15" s="68">
        <f>IFERROR(H15/H$35,"")</f>
        <v/>
      </c>
    </row>
    <row r="16" ht="15.75" customHeight="1" s="99">
      <c r="A16" s="44" t="inlineStr">
        <is>
          <t>Steel / Iron</t>
        </is>
      </c>
      <c r="B16" s="44" t="inlineStr">
        <is>
          <t>Tiscon 16mm</t>
        </is>
      </c>
      <c r="C16" s="69">
        <f>SUMIFS('All Transactions'!I:I,'All Transactions'!E:E,A16,'All Transactions'!F:F,B16,'All Transactions'!J:J,"&lt;&gt;Lumpsum",'All Transactions'!J:J,"&lt;&gt;Service",'All Transactions'!J:J,"&lt;&gt;Lot",'All Transactions'!J:J,"&lt;&gt;Advance")</f>
        <v/>
      </c>
      <c r="D16" s="44" t="inlineStr">
        <is>
          <t>pcs</t>
        </is>
      </c>
      <c r="E16" s="70">
        <f>IFERROR(IF(C16=0,"",F16/C16),"")</f>
        <v/>
      </c>
      <c r="F16" s="71">
        <f>SUMIFS('All Transactions'!L:L,'All Transactions'!E:E,A16,'All Transactions'!F:F,B16)</f>
        <v/>
      </c>
      <c r="G16" s="72">
        <f>F16-H16</f>
        <v/>
      </c>
      <c r="H16" s="71">
        <f>SUMIFS('All Transactions'!O:O,'All Transactions'!E:E,A16,'All Transactions'!F:F,B16)</f>
        <v/>
      </c>
      <c r="I16" s="73">
        <f>IFERROR(H16/H$35,"")</f>
        <v/>
      </c>
    </row>
    <row r="17" ht="15.75" customHeight="1" s="99">
      <c r="A17" s="42" t="inlineStr">
        <is>
          <t>Building Materials</t>
        </is>
      </c>
      <c r="B17" s="42" t="inlineStr">
        <is>
          <t>Binding Wire</t>
        </is>
      </c>
      <c r="C17" s="64">
        <f>SUMIFS('All Transactions'!I:I,'All Transactions'!E:E,A17,'All Transactions'!F:F,B17,'All Transactions'!J:J,"&lt;&gt;Lumpsum",'All Transactions'!J:J,"&lt;&gt;Service",'All Transactions'!J:J,"&lt;&gt;Lot",'All Transactions'!J:J,"&lt;&gt;Advance")</f>
        <v/>
      </c>
      <c r="D17" s="42" t="inlineStr">
        <is>
          <t>kg</t>
        </is>
      </c>
      <c r="E17" s="65">
        <f>IFERROR(IF(C17=0,"",F17/C17),"")</f>
        <v/>
      </c>
      <c r="F17" s="66">
        <f>SUMIFS('All Transactions'!L:L,'All Transactions'!E:E,A17,'All Transactions'!F:F,B17)</f>
        <v/>
      </c>
      <c r="G17" s="67">
        <f>F17-H17</f>
        <v/>
      </c>
      <c r="H17" s="66">
        <f>SUMIFS('All Transactions'!O:O,'All Transactions'!E:E,A17,'All Transactions'!F:F,B17)</f>
        <v/>
      </c>
      <c r="I17" s="68">
        <f>IFERROR(H17/H$35,"")</f>
        <v/>
      </c>
    </row>
    <row r="18" ht="15.75" customHeight="1" s="99">
      <c r="A18" s="44" t="inlineStr">
        <is>
          <t>Steel / Iron</t>
        </is>
      </c>
      <c r="B18" s="44" t="inlineStr">
        <is>
          <t>Wire</t>
        </is>
      </c>
      <c r="C18" s="69">
        <f>SUMIFS('All Transactions'!I:I,'All Transactions'!E:E,A18,'All Transactions'!F:F,B18,'All Transactions'!J:J,"&lt;&gt;Lumpsum",'All Transactions'!J:J,"&lt;&gt;Service",'All Transactions'!J:J,"&lt;&gt;Lot",'All Transactions'!J:J,"&lt;&gt;Advance")</f>
        <v/>
      </c>
      <c r="D18" s="44" t="inlineStr">
        <is>
          <t>mixed</t>
        </is>
      </c>
      <c r="E18" s="70">
        <f>IFERROR(IF(C18=0,"",F18/C18),"")</f>
        <v/>
      </c>
      <c r="F18" s="71">
        <f>SUMIFS('All Transactions'!L:L,'All Transactions'!E:E,A18,'All Transactions'!F:F,B18)</f>
        <v/>
      </c>
      <c r="G18" s="72">
        <f>F18-H18</f>
        <v/>
      </c>
      <c r="H18" s="71">
        <f>SUMIFS('All Transactions'!O:O,'All Transactions'!E:E,A18,'All Transactions'!F:F,B18)</f>
        <v/>
      </c>
      <c r="I18" s="73">
        <f>IFERROR(H18/H$35,"")</f>
        <v/>
      </c>
    </row>
    <row r="19" ht="15.75" customHeight="1" s="99">
      <c r="A19" s="42" t="inlineStr">
        <is>
          <t>Steel / Iron</t>
        </is>
      </c>
      <c r="B19" s="42" t="inlineStr">
        <is>
          <t>Rings</t>
        </is>
      </c>
      <c r="C19" s="64">
        <f>SUMIFS('All Transactions'!I:I,'All Transactions'!E:E,A19,'All Transactions'!F:F,B19,'All Transactions'!J:J,"&lt;&gt;Lumpsum",'All Transactions'!J:J,"&lt;&gt;Service",'All Transactions'!J:J,"&lt;&gt;Lot",'All Transactions'!J:J,"&lt;&gt;Advance")</f>
        <v/>
      </c>
      <c r="D19" s="42" t="inlineStr">
        <is>
          <t>—</t>
        </is>
      </c>
      <c r="E19" s="65">
        <f>IFERROR(IF(C19=0,"",F19/C19),"")</f>
        <v/>
      </c>
      <c r="F19" s="66">
        <f>SUMIFS('All Transactions'!L:L,'All Transactions'!E:E,A19,'All Transactions'!F:F,B19)</f>
        <v/>
      </c>
      <c r="G19" s="67">
        <f>F19-H19</f>
        <v/>
      </c>
      <c r="H19" s="66">
        <f>SUMIFS('All Transactions'!O:O,'All Transactions'!E:E,A19,'All Transactions'!F:F,B19)</f>
        <v/>
      </c>
      <c r="I19" s="68">
        <f>IFERROR(H19/H$35,"")</f>
        <v/>
      </c>
    </row>
    <row r="20" ht="15.75" customHeight="1" s="99">
      <c r="A20" s="44" t="inlineStr">
        <is>
          <t>Building Materials</t>
        </is>
      </c>
      <c r="B20" s="44" t="inlineStr">
        <is>
          <t>Cover Block</t>
        </is>
      </c>
      <c r="C20" s="69">
        <f>SUMIFS('All Transactions'!I:I,'All Transactions'!E:E,A20,'All Transactions'!F:F,B20,'All Transactions'!J:J,"&lt;&gt;Lumpsum",'All Transactions'!J:J,"&lt;&gt;Service",'All Transactions'!J:J,"&lt;&gt;Lot",'All Transactions'!J:J,"&lt;&gt;Advance")</f>
        <v/>
      </c>
      <c r="D20" s="44" t="inlineStr">
        <is>
          <t>pcs</t>
        </is>
      </c>
      <c r="E20" s="70">
        <f>IFERROR(IF(C20=0,"",F20/C20),"")</f>
        <v/>
      </c>
      <c r="F20" s="71">
        <f>SUMIFS('All Transactions'!L:L,'All Transactions'!E:E,A20,'All Transactions'!F:F,B20)</f>
        <v/>
      </c>
      <c r="G20" s="72">
        <f>F20-H20</f>
        <v/>
      </c>
      <c r="H20" s="71">
        <f>SUMIFS('All Transactions'!O:O,'All Transactions'!E:E,A20,'All Transactions'!F:F,B20)</f>
        <v/>
      </c>
      <c r="I20" s="73">
        <f>IFERROR(H20/H$35,"")</f>
        <v/>
      </c>
    </row>
    <row r="21" ht="15.75" customHeight="1" s="99">
      <c r="A21" s="42" t="inlineStr">
        <is>
          <t>Building Materials</t>
        </is>
      </c>
      <c r="B21" s="42" t="inlineStr">
        <is>
          <t>Nails</t>
        </is>
      </c>
      <c r="C21" s="64">
        <f>SUMIFS('All Transactions'!I:I,'All Transactions'!E:E,A21,'All Transactions'!F:F,B21,'All Transactions'!J:J,"&lt;&gt;Lumpsum",'All Transactions'!J:J,"&lt;&gt;Service",'All Transactions'!J:J,"&lt;&gt;Lot",'All Transactions'!J:J,"&lt;&gt;Advance")</f>
        <v/>
      </c>
      <c r="D21" s="42" t="inlineStr">
        <is>
          <t>bags</t>
        </is>
      </c>
      <c r="E21" s="65">
        <f>IFERROR(IF(C21=0,"",F21/C21),"")</f>
        <v/>
      </c>
      <c r="F21" s="66">
        <f>SUMIFS('All Transactions'!L:L,'All Transactions'!E:E,A21,'All Transactions'!F:F,B21)</f>
        <v/>
      </c>
      <c r="G21" s="67">
        <f>F21-H21</f>
        <v/>
      </c>
      <c r="H21" s="66">
        <f>SUMIFS('All Transactions'!O:O,'All Transactions'!E:E,A21,'All Transactions'!F:F,B21)</f>
        <v/>
      </c>
      <c r="I21" s="68">
        <f>IFERROR(H21/H$35,"")</f>
        <v/>
      </c>
    </row>
    <row r="22" ht="15.75" customHeight="1" s="99">
      <c r="A22" s="44" t="inlineStr">
        <is>
          <t>Building Materials</t>
        </is>
      </c>
      <c r="B22" s="44" t="inlineStr">
        <is>
          <t>Chemical</t>
        </is>
      </c>
      <c r="C22" s="69">
        <f>SUMIFS('All Transactions'!I:I,'All Transactions'!E:E,A22,'All Transactions'!F:F,B22,'All Transactions'!J:J,"&lt;&gt;Lumpsum",'All Transactions'!J:J,"&lt;&gt;Service",'All Transactions'!J:J,"&lt;&gt;Lot",'All Transactions'!J:J,"&lt;&gt;Advance")</f>
        <v/>
      </c>
      <c r="D22" s="44" t="inlineStr">
        <is>
          <t>litres</t>
        </is>
      </c>
      <c r="E22" s="70">
        <f>IFERROR(IF(C22=0,"",F22/C22),"")</f>
        <v/>
      </c>
      <c r="F22" s="71">
        <f>SUMIFS('All Transactions'!L:L,'All Transactions'!E:E,A22,'All Transactions'!F:F,B22)</f>
        <v/>
      </c>
      <c r="G22" s="72">
        <f>F22-H22</f>
        <v/>
      </c>
      <c r="H22" s="71">
        <f>SUMIFS('All Transactions'!O:O,'All Transactions'!E:E,A22,'All Transactions'!F:F,B22)</f>
        <v/>
      </c>
      <c r="I22" s="73">
        <f>IFERROR(H22/H$35,"")</f>
        <v/>
      </c>
    </row>
    <row r="23" ht="15.75" customHeight="1" s="99">
      <c r="A23" s="42" t="inlineStr">
        <is>
          <t>Building Materials</t>
        </is>
      </c>
      <c r="B23" s="42" t="inlineStr">
        <is>
          <t>Wire</t>
        </is>
      </c>
      <c r="C23" s="64">
        <f>SUMIFS('All Transactions'!I:I,'All Transactions'!E:E,A23,'All Transactions'!F:F,B23,'All Transactions'!J:J,"&lt;&gt;Lumpsum",'All Transactions'!J:J,"&lt;&gt;Service",'All Transactions'!J:J,"&lt;&gt;Lot",'All Transactions'!J:J,"&lt;&gt;Advance")</f>
        <v/>
      </c>
      <c r="D23" s="42" t="inlineStr">
        <is>
          <t>kg</t>
        </is>
      </c>
      <c r="E23" s="65">
        <f>IFERROR(IF(C23=0,"",F23/C23),"")</f>
        <v/>
      </c>
      <c r="F23" s="66">
        <f>SUMIFS('All Transactions'!L:L,'All Transactions'!E:E,A23,'All Transactions'!F:F,B23)</f>
        <v/>
      </c>
      <c r="G23" s="67">
        <f>F23-H23</f>
        <v/>
      </c>
      <c r="H23" s="66">
        <f>SUMIFS('All Transactions'!O:O,'All Transactions'!E:E,A23,'All Transactions'!F:F,B23)</f>
        <v/>
      </c>
      <c r="I23" s="68">
        <f>IFERROR(H23/H$35,"")</f>
        <v/>
      </c>
    </row>
    <row r="24" ht="15.75" customHeight="1" s="99">
      <c r="A24" s="44" t="inlineStr">
        <is>
          <t>Building Materials</t>
        </is>
      </c>
      <c r="B24" s="44" t="inlineStr">
        <is>
          <t>Material Transport</t>
        </is>
      </c>
      <c r="C24" s="69">
        <f>SUMIFS('All Transactions'!I:I,'All Transactions'!E:E,A24,'All Transactions'!F:F,B24,'All Transactions'!J:J,"&lt;&gt;Lumpsum",'All Transactions'!J:J,"&lt;&gt;Service",'All Transactions'!J:J,"&lt;&gt;Lot",'All Transactions'!J:J,"&lt;&gt;Advance")</f>
        <v/>
      </c>
      <c r="D24" s="44" t="inlineStr">
        <is>
          <t>trips</t>
        </is>
      </c>
      <c r="E24" s="70">
        <f>IFERROR(IF(C24=0,"",F24/C24),"")</f>
        <v/>
      </c>
      <c r="F24" s="71">
        <f>SUMIFS('All Transactions'!L:L,'All Transactions'!E:E,A24,'All Transactions'!F:F,B24)</f>
        <v/>
      </c>
      <c r="G24" s="72">
        <f>F24-H24</f>
        <v/>
      </c>
      <c r="H24" s="71">
        <f>SUMIFS('All Transactions'!O:O,'All Transactions'!E:E,A24,'All Transactions'!F:F,B24)</f>
        <v/>
      </c>
      <c r="I24" s="73">
        <f>IFERROR(H24/H$35,"")</f>
        <v/>
      </c>
    </row>
    <row r="25" ht="15.75" customHeight="1" s="99">
      <c r="A25" s="42" t="n"/>
      <c r="B25" s="42" t="n"/>
      <c r="C25" s="64" t="n"/>
      <c r="D25" s="42" t="n"/>
      <c r="E25" s="65" t="n"/>
      <c r="F25" s="66" t="n"/>
      <c r="G25" s="67" t="n"/>
      <c r="H25" s="66" t="n"/>
      <c r="I25" s="68" t="n"/>
    </row>
    <row r="26" ht="15.75" customHeight="1" s="99">
      <c r="A26" s="44" t="n"/>
      <c r="B26" s="44" t="n"/>
      <c r="C26" s="69" t="n"/>
      <c r="D26" s="44" t="n"/>
      <c r="E26" s="70" t="n"/>
      <c r="F26" s="71" t="n"/>
      <c r="G26" s="72" t="n"/>
      <c r="H26" s="71" t="n"/>
      <c r="I26" s="73" t="n"/>
    </row>
    <row r="27" ht="15.75" customHeight="1" s="99">
      <c r="A27" s="42" t="n"/>
      <c r="B27" s="42" t="n"/>
      <c r="C27" s="64" t="n"/>
      <c r="D27" s="42" t="n"/>
      <c r="E27" s="65" t="n"/>
      <c r="F27" s="66" t="n"/>
      <c r="G27" s="67" t="n"/>
      <c r="H27" s="66" t="n"/>
      <c r="I27" s="68" t="n"/>
    </row>
    <row r="28" ht="15.75" customHeight="1" s="99">
      <c r="A28" s="44" t="n"/>
      <c r="B28" s="44" t="n"/>
      <c r="C28" s="69" t="n"/>
      <c r="D28" s="44" t="n"/>
      <c r="E28" s="70" t="n"/>
      <c r="F28" s="71" t="n"/>
      <c r="G28" s="72" t="n"/>
      <c r="H28" s="71" t="n"/>
      <c r="I28" s="73" t="n"/>
    </row>
    <row r="29" ht="15.75" customHeight="1" s="99">
      <c r="A29" s="42" t="n"/>
      <c r="B29" s="42" t="n"/>
      <c r="C29" s="64" t="n"/>
      <c r="D29" s="42" t="n"/>
      <c r="E29" s="65" t="n"/>
      <c r="F29" s="66" t="n"/>
      <c r="G29" s="67" t="n"/>
      <c r="H29" s="66" t="n"/>
      <c r="I29" s="68" t="n"/>
    </row>
    <row r="30" ht="15.75" customHeight="1" s="99">
      <c r="A30" s="44" t="n"/>
      <c r="B30" s="44" t="n"/>
      <c r="C30" s="69" t="n"/>
      <c r="D30" s="44" t="n"/>
      <c r="E30" s="70" t="n"/>
      <c r="F30" s="71" t="n"/>
      <c r="G30" s="72" t="n"/>
      <c r="H30" s="71" t="n"/>
      <c r="I30" s="73" t="n"/>
    </row>
    <row r="31" ht="15.75" customHeight="1" s="99">
      <c r="A31" s="42" t="n"/>
      <c r="B31" s="42" t="n"/>
      <c r="C31" s="64" t="n"/>
      <c r="D31" s="42" t="n"/>
      <c r="E31" s="65" t="n"/>
      <c r="F31" s="66" t="n"/>
      <c r="G31" s="67" t="n"/>
      <c r="H31" s="66" t="n"/>
      <c r="I31" s="68" t="n"/>
    </row>
    <row r="32" ht="15.75" customHeight="1" s="99">
      <c r="A32" s="44" t="n"/>
      <c r="B32" s="44" t="n"/>
      <c r="C32" s="69" t="n"/>
      <c r="D32" s="44" t="n"/>
      <c r="E32" s="70" t="n"/>
      <c r="F32" s="71" t="n"/>
      <c r="G32" s="72" t="n"/>
      <c r="H32" s="71" t="n"/>
      <c r="I32" s="73" t="n"/>
    </row>
    <row r="33" ht="15.75" customHeight="1" s="99">
      <c r="A33" s="42" t="n"/>
      <c r="B33" s="42" t="n"/>
      <c r="C33" s="64" t="n"/>
      <c r="D33" s="42" t="n"/>
      <c r="E33" s="65" t="n"/>
      <c r="F33" s="66" t="n"/>
      <c r="G33" s="67" t="n"/>
      <c r="H33" s="66" t="n"/>
      <c r="I33" s="68" t="n"/>
    </row>
    <row r="34" ht="15.75" customHeight="1" s="99">
      <c r="A34" s="44" t="n"/>
      <c r="B34" s="44" t="n"/>
      <c r="C34" s="69" t="n"/>
      <c r="D34" s="44" t="n"/>
      <c r="E34" s="70" t="n"/>
      <c r="F34" s="71" t="n"/>
      <c r="G34" s="72" t="n"/>
      <c r="H34" s="71" t="n"/>
      <c r="I34" s="73" t="n"/>
    </row>
    <row r="35" ht="15.75" customHeight="1" s="99">
      <c r="A35" s="60" t="inlineStr">
        <is>
          <t>TOTAL MATERIALS</t>
        </is>
      </c>
      <c r="B35" s="60" t="n"/>
      <c r="C35" s="60" t="n"/>
      <c r="D35" s="60" t="n"/>
      <c r="E35" s="60" t="n"/>
      <c r="F35" s="61">
        <f>SUM(F5:F34)</f>
        <v/>
      </c>
      <c r="G35" s="61">
        <f>SUM(G5:G34)</f>
        <v/>
      </c>
      <c r="H35" s="61">
        <f>SUM(H5:H34)</f>
        <v/>
      </c>
      <c r="I35" s="60" t="n"/>
    </row>
  </sheetData>
  <mergeCells count="2">
    <mergeCell ref="A1:I1"/>
    <mergeCell ref="A2:I2"/>
  </mergeCells>
  <pageMargins left="0.75" right="0.75" top="1" bottom="1" header="0.511811023622047" footer="0.511811023622047"/>
  <pageSetup orientation="landscape" paperSize="9" horizontalDpi="300" verticalDpi="300"/>
</worksheet>
</file>

<file path=xl/worksheets/sheet8.xml><?xml version="1.0" encoding="utf-8"?>
<worksheet xmlns="http://schemas.openxmlformats.org/spreadsheetml/2006/main">
  <sheetPr>
    <tabColor rgb="FFDC2626"/>
    <outlinePr summaryBelow="1" summaryRight="1"/>
    <pageSetUpPr/>
  </sheetPr>
  <dimension ref="A1:J504"/>
  <sheetViews>
    <sheetView zoomScaleNormal="100" workbookViewId="0">
      <pane ySplit="4" topLeftCell="A5" activePane="bottomLeft" state="frozen"/>
      <selection pane="bottomLeft" activeCell="A1" sqref="A1:J1"/>
    </sheetView>
  </sheetViews>
  <sheetFormatPr baseColWidth="10" defaultColWidth="8.6640625" defaultRowHeight="15"/>
  <cols>
    <col width="7" customWidth="1" style="99" min="1" max="1"/>
    <col width="14" customWidth="1" style="99" min="2" max="3"/>
    <col width="24" customWidth="1" style="99" min="4" max="4"/>
    <col width="20" customWidth="1" style="99" min="5" max="5"/>
    <col width="14" customWidth="1" style="99" min="6" max="7"/>
    <col width="18" customWidth="1" style="99" min="8" max="8"/>
    <col width="16" customWidth="1" style="99" min="9" max="9"/>
    <col width="24" customWidth="1" style="99" min="10" max="10"/>
  </cols>
  <sheetData>
    <row r="1" ht="17.25" customHeight="1" s="99">
      <c r="A1" s="100" t="inlineStr">
        <is>
          <t>ENGINEER &amp; LABOUR PAYMENT TRACKER  (RETIRED — not maintained since May; use Payment Tracker)</t>
        </is>
      </c>
    </row>
    <row r="2" ht="15.75" customHeight="1" s="99">
      <c r="A2" s="98" t="inlineStr">
        <is>
          <t>All payments to Engineer, Sonbhai, daily labour. Track by shift and purpose.</t>
        </is>
      </c>
    </row>
    <row r="4" ht="26.25" customHeight="1" s="99">
      <c r="A4" s="40" t="inlineStr">
        <is>
          <t>Sr No</t>
        </is>
      </c>
      <c r="B4" s="40" t="inlineStr">
        <is>
          <t>Date</t>
        </is>
      </c>
      <c r="C4" s="40" t="inlineStr">
        <is>
          <t>Shift/Period</t>
        </is>
      </c>
      <c r="D4" s="40" t="inlineStr">
        <is>
          <t>Paid To</t>
        </is>
      </c>
      <c r="E4" s="40" t="inlineStr">
        <is>
          <t>Purpose</t>
        </is>
      </c>
      <c r="F4" s="40" t="inlineStr">
        <is>
          <t>Amount ₹</t>
        </is>
      </c>
      <c r="G4" s="40" t="inlineStr">
        <is>
          <t>Payment Mode</t>
        </is>
      </c>
      <c r="H4" s="40" t="inlineStr">
        <is>
          <t>Paid By</t>
        </is>
      </c>
      <c r="I4" s="40" t="inlineStr">
        <is>
          <t>Running Total ₹</t>
        </is>
      </c>
      <c r="J4" s="40" t="inlineStr">
        <is>
          <t>Remarks</t>
        </is>
      </c>
    </row>
    <row r="5" ht="15.75" customHeight="1" s="99">
      <c r="A5" s="41" t="n">
        <v>1</v>
      </c>
      <c r="B5" s="45" t="n">
        <v>46149</v>
      </c>
      <c r="C5" s="47" t="inlineStr">
        <is>
          <t>One-time</t>
        </is>
      </c>
      <c r="D5" s="47" t="inlineStr">
        <is>
          <t>Econ Builder</t>
        </is>
      </c>
      <c r="E5" s="47" t="inlineStr">
        <is>
          <t>Visit Charge</t>
        </is>
      </c>
      <c r="F5" s="62" t="n">
        <v>5000</v>
      </c>
      <c r="G5" s="47" t="inlineStr">
        <is>
          <t>GPay</t>
        </is>
      </c>
      <c r="H5" s="47" t="inlineStr">
        <is>
          <t>Papa</t>
        </is>
      </c>
      <c r="I5" s="50">
        <f>IF(F5="","",F5)</f>
        <v/>
      </c>
      <c r="J5" s="47" t="inlineStr">
        <is>
          <t>Advance for new house construction</t>
        </is>
      </c>
    </row>
    <row r="6" ht="15.75" customHeight="1" s="99">
      <c r="A6" s="43" t="n">
        <v>2</v>
      </c>
      <c r="B6" s="53" t="n">
        <v>46149</v>
      </c>
      <c r="C6" s="55" t="inlineStr">
        <is>
          <t>Daily</t>
        </is>
      </c>
      <c r="D6" s="55" t="inlineStr">
        <is>
          <t>Daily Labour</t>
        </is>
      </c>
      <c r="E6" s="55" t="inlineStr">
        <is>
          <t>Labour Wages</t>
        </is>
      </c>
      <c r="F6" s="63" t="n">
        <v>1500</v>
      </c>
      <c r="G6" s="55" t="inlineStr">
        <is>
          <t>GPay</t>
        </is>
      </c>
      <c r="H6" s="55" t="inlineStr">
        <is>
          <t>Self-GPay</t>
        </is>
      </c>
      <c r="I6" s="58">
        <f>IF(F6="","",IF(I5="",F6,I5+F6))</f>
        <v/>
      </c>
      <c r="J6" s="55" t="inlineStr">
        <is>
          <t>Chanarveer - site cleaning</t>
        </is>
      </c>
    </row>
    <row r="7" ht="15.75" customHeight="1" s="99">
      <c r="A7" s="41" t="n">
        <v>3</v>
      </c>
      <c r="B7" s="45" t="n"/>
      <c r="C7" s="47" t="n"/>
      <c r="D7" s="47" t="n"/>
      <c r="E7" s="47" t="n"/>
      <c r="F7" s="62" t="n"/>
      <c r="G7" s="47" t="n"/>
      <c r="H7" s="47" t="n"/>
      <c r="I7" s="50">
        <f>IF(F7="","",IF(I6="",F7,I6+F7))</f>
        <v/>
      </c>
      <c r="J7" s="47" t="n"/>
    </row>
    <row r="8" ht="15.75" customHeight="1" s="99">
      <c r="A8" s="43" t="n">
        <v>4</v>
      </c>
      <c r="B8" s="53" t="n"/>
      <c r="C8" s="55" t="n"/>
      <c r="D8" s="55" t="n"/>
      <c r="E8" s="55" t="n"/>
      <c r="F8" s="63" t="n"/>
      <c r="G8" s="55" t="n"/>
      <c r="H8" s="55" t="n"/>
      <c r="I8" s="58">
        <f>IF(F8="","",IF(I7="",F8,I7+F8))</f>
        <v/>
      </c>
      <c r="J8" s="55" t="n"/>
    </row>
    <row r="9" ht="15.75" customHeight="1" s="99">
      <c r="A9" s="41" t="n">
        <v>5</v>
      </c>
      <c r="B9" s="45" t="n"/>
      <c r="C9" s="47" t="n"/>
      <c r="D9" s="47" t="n"/>
      <c r="E9" s="47" t="n"/>
      <c r="F9" s="62" t="n"/>
      <c r="G9" s="47" t="n"/>
      <c r="H9" s="47" t="n"/>
      <c r="I9" s="50">
        <f>IF(F9="","",IF(I8="",F9,I8+F9))</f>
        <v/>
      </c>
      <c r="J9" s="47" t="n"/>
    </row>
    <row r="10" ht="15.75" customHeight="1" s="99">
      <c r="A10" s="43" t="n">
        <v>6</v>
      </c>
      <c r="B10" s="53" t="n"/>
      <c r="C10" s="55" t="n"/>
      <c r="D10" s="55" t="n"/>
      <c r="E10" s="55" t="n"/>
      <c r="F10" s="63" t="n"/>
      <c r="G10" s="55" t="n"/>
      <c r="H10" s="55" t="n"/>
      <c r="I10" s="58">
        <f>IF(F10="","",IF(I9="",F10,I9+F10))</f>
        <v/>
      </c>
      <c r="J10" s="55" t="n"/>
    </row>
    <row r="11" ht="15.75" customHeight="1" s="99">
      <c r="A11" s="41" t="n">
        <v>7</v>
      </c>
      <c r="B11" s="45" t="n"/>
      <c r="C11" s="47" t="n"/>
      <c r="D11" s="47" t="n"/>
      <c r="E11" s="47" t="n"/>
      <c r="F11" s="62" t="n"/>
      <c r="G11" s="47" t="n"/>
      <c r="H11" s="47" t="n"/>
      <c r="I11" s="50">
        <f>IF(F11="","",IF(I10="",F11,I10+F11))</f>
        <v/>
      </c>
      <c r="J11" s="47" t="n"/>
    </row>
    <row r="12" ht="15.75" customHeight="1" s="99">
      <c r="A12" s="43" t="n">
        <v>8</v>
      </c>
      <c r="B12" s="53" t="n"/>
      <c r="C12" s="55" t="n"/>
      <c r="D12" s="55" t="n"/>
      <c r="E12" s="55" t="n"/>
      <c r="F12" s="63" t="n"/>
      <c r="G12" s="55" t="n"/>
      <c r="H12" s="55" t="n"/>
      <c r="I12" s="58">
        <f>IF(F12="","",IF(I11="",F12,I11+F12))</f>
        <v/>
      </c>
      <c r="J12" s="55" t="n"/>
    </row>
    <row r="13" ht="15.75" customHeight="1" s="99">
      <c r="A13" s="41" t="n">
        <v>9</v>
      </c>
      <c r="B13" s="45" t="n"/>
      <c r="C13" s="47" t="n"/>
      <c r="D13" s="47" t="n"/>
      <c r="E13" s="47" t="n"/>
      <c r="F13" s="62" t="n"/>
      <c r="G13" s="47" t="n"/>
      <c r="H13" s="47" t="n"/>
      <c r="I13" s="50">
        <f>IF(F13="","",IF(I12="",F13,I12+F13))</f>
        <v/>
      </c>
      <c r="J13" s="47" t="n"/>
    </row>
    <row r="14" ht="15.75" customHeight="1" s="99">
      <c r="A14" s="43" t="n">
        <v>10</v>
      </c>
      <c r="B14" s="53" t="n"/>
      <c r="C14" s="55" t="n"/>
      <c r="D14" s="55" t="n"/>
      <c r="E14" s="55" t="n"/>
      <c r="F14" s="63" t="n"/>
      <c r="G14" s="55" t="n"/>
      <c r="H14" s="55" t="n"/>
      <c r="I14" s="58">
        <f>IF(F14="","",IF(I13="",F14,I13+F14))</f>
        <v/>
      </c>
      <c r="J14" s="55" t="n"/>
    </row>
    <row r="15" ht="15.75" customHeight="1" s="99">
      <c r="A15" s="41" t="n">
        <v>11</v>
      </c>
      <c r="B15" s="45" t="n"/>
      <c r="C15" s="47" t="n"/>
      <c r="D15" s="47" t="n"/>
      <c r="E15" s="47" t="n"/>
      <c r="F15" s="62" t="n"/>
      <c r="G15" s="47" t="n"/>
      <c r="H15" s="47" t="n"/>
      <c r="I15" s="50">
        <f>IF(F15="","",IF(I14="",F15,I14+F15))</f>
        <v/>
      </c>
      <c r="J15" s="47" t="n"/>
    </row>
    <row r="16" ht="15.75" customHeight="1" s="99">
      <c r="A16" s="43" t="n">
        <v>12</v>
      </c>
      <c r="B16" s="53" t="n"/>
      <c r="C16" s="55" t="n"/>
      <c r="D16" s="55" t="n"/>
      <c r="E16" s="55" t="n"/>
      <c r="F16" s="63" t="n"/>
      <c r="G16" s="55" t="n"/>
      <c r="H16" s="55" t="n"/>
      <c r="I16" s="58">
        <f>IF(F16="","",IF(I15="",F16,I15+F16))</f>
        <v/>
      </c>
      <c r="J16" s="55" t="n"/>
    </row>
    <row r="17" ht="15.75" customHeight="1" s="99">
      <c r="A17" s="41" t="n">
        <v>13</v>
      </c>
      <c r="B17" s="45" t="n"/>
      <c r="C17" s="47" t="n"/>
      <c r="D17" s="47" t="n"/>
      <c r="E17" s="47" t="n"/>
      <c r="F17" s="62" t="n"/>
      <c r="G17" s="47" t="n"/>
      <c r="H17" s="47" t="n"/>
      <c r="I17" s="50">
        <f>IF(F17="","",IF(I16="",F17,I16+F17))</f>
        <v/>
      </c>
      <c r="J17" s="47" t="n"/>
    </row>
    <row r="18" ht="15.75" customHeight="1" s="99">
      <c r="A18" s="43" t="n">
        <v>14</v>
      </c>
      <c r="B18" s="53" t="n"/>
      <c r="C18" s="55" t="n"/>
      <c r="D18" s="55" t="n"/>
      <c r="E18" s="55" t="n"/>
      <c r="F18" s="63" t="n"/>
      <c r="G18" s="55" t="n"/>
      <c r="H18" s="55" t="n"/>
      <c r="I18" s="58">
        <f>IF(F18="","",IF(I17="",F18,I17+F18))</f>
        <v/>
      </c>
      <c r="J18" s="55" t="n"/>
    </row>
    <row r="19" ht="15.75" customHeight="1" s="99">
      <c r="A19" s="41" t="n">
        <v>15</v>
      </c>
      <c r="B19" s="45" t="n"/>
      <c r="C19" s="47" t="n"/>
      <c r="D19" s="47" t="n"/>
      <c r="E19" s="47" t="n"/>
      <c r="F19" s="62" t="n"/>
      <c r="G19" s="47" t="n"/>
      <c r="H19" s="47" t="n"/>
      <c r="I19" s="50">
        <f>IF(F19="","",IF(I18="",F19,I18+F19))</f>
        <v/>
      </c>
      <c r="J19" s="47" t="n"/>
    </row>
    <row r="20" ht="15.75" customHeight="1" s="99">
      <c r="A20" s="43" t="n">
        <v>16</v>
      </c>
      <c r="B20" s="53" t="n"/>
      <c r="C20" s="55" t="n"/>
      <c r="D20" s="55" t="n"/>
      <c r="E20" s="55" t="n"/>
      <c r="F20" s="63" t="n"/>
      <c r="G20" s="55" t="n"/>
      <c r="H20" s="55" t="n"/>
      <c r="I20" s="58">
        <f>IF(F20="","",IF(I19="",F20,I19+F20))</f>
        <v/>
      </c>
      <c r="J20" s="55" t="n"/>
    </row>
    <row r="21" ht="15.75" customHeight="1" s="99">
      <c r="A21" s="41" t="n">
        <v>17</v>
      </c>
      <c r="B21" s="45" t="n"/>
      <c r="C21" s="47" t="n"/>
      <c r="D21" s="47" t="n"/>
      <c r="E21" s="47" t="n"/>
      <c r="F21" s="62" t="n"/>
      <c r="G21" s="47" t="n"/>
      <c r="H21" s="47" t="n"/>
      <c r="I21" s="50">
        <f>IF(F21="","",IF(I20="",F21,I20+F21))</f>
        <v/>
      </c>
      <c r="J21" s="47" t="n"/>
    </row>
    <row r="22" ht="15.75" customHeight="1" s="99">
      <c r="A22" s="43" t="n">
        <v>18</v>
      </c>
      <c r="B22" s="53" t="n"/>
      <c r="C22" s="55" t="n"/>
      <c r="D22" s="55" t="n"/>
      <c r="E22" s="55" t="n"/>
      <c r="F22" s="63" t="n"/>
      <c r="G22" s="55" t="n"/>
      <c r="H22" s="55" t="n"/>
      <c r="I22" s="58">
        <f>IF(F22="","",IF(I21="",F22,I21+F22))</f>
        <v/>
      </c>
      <c r="J22" s="55" t="n"/>
    </row>
    <row r="23" ht="15.75" customHeight="1" s="99">
      <c r="A23" s="41" t="n">
        <v>19</v>
      </c>
      <c r="B23" s="45" t="n"/>
      <c r="C23" s="47" t="n"/>
      <c r="D23" s="47" t="n"/>
      <c r="E23" s="47" t="n"/>
      <c r="F23" s="62" t="n"/>
      <c r="G23" s="47" t="n"/>
      <c r="H23" s="47" t="n"/>
      <c r="I23" s="50">
        <f>IF(F23="","",IF(I22="",F23,I22+F23))</f>
        <v/>
      </c>
      <c r="J23" s="47" t="n"/>
    </row>
    <row r="24" ht="15.75" customHeight="1" s="99">
      <c r="A24" s="43" t="n">
        <v>20</v>
      </c>
      <c r="B24" s="53" t="n"/>
      <c r="C24" s="55" t="n"/>
      <c r="D24" s="55" t="n"/>
      <c r="E24" s="55" t="n"/>
      <c r="F24" s="63" t="n"/>
      <c r="G24" s="55" t="n"/>
      <c r="H24" s="55" t="n"/>
      <c r="I24" s="58">
        <f>IF(F24="","",IF(I23="",F24,I23+F24))</f>
        <v/>
      </c>
      <c r="J24" s="55" t="n"/>
    </row>
    <row r="25" ht="15.75" customHeight="1" s="99">
      <c r="A25" s="41" t="n">
        <v>21</v>
      </c>
      <c r="B25" s="45" t="n"/>
      <c r="C25" s="47" t="n"/>
      <c r="D25" s="47" t="n"/>
      <c r="E25" s="47" t="n"/>
      <c r="F25" s="62" t="n"/>
      <c r="G25" s="47" t="n"/>
      <c r="H25" s="47" t="n"/>
      <c r="I25" s="50">
        <f>IF(F25="","",IF(I24="",F25,I24+F25))</f>
        <v/>
      </c>
      <c r="J25" s="47" t="n"/>
    </row>
    <row r="26" ht="15.75" customHeight="1" s="99">
      <c r="A26" s="43" t="n">
        <v>22</v>
      </c>
      <c r="B26" s="53" t="n"/>
      <c r="C26" s="55" t="n"/>
      <c r="D26" s="55" t="n"/>
      <c r="E26" s="55" t="n"/>
      <c r="F26" s="63" t="n"/>
      <c r="G26" s="55" t="n"/>
      <c r="H26" s="55" t="n"/>
      <c r="I26" s="58">
        <f>IF(F26="","",IF(I25="",F26,I25+F26))</f>
        <v/>
      </c>
      <c r="J26" s="55" t="n"/>
    </row>
    <row r="27" ht="15.75" customHeight="1" s="99">
      <c r="A27" s="41" t="n">
        <v>23</v>
      </c>
      <c r="B27" s="45" t="n"/>
      <c r="C27" s="47" t="n"/>
      <c r="D27" s="47" t="n"/>
      <c r="E27" s="47" t="n"/>
      <c r="F27" s="62" t="n"/>
      <c r="G27" s="47" t="n"/>
      <c r="H27" s="47" t="n"/>
      <c r="I27" s="50">
        <f>IF(F27="","",IF(I26="",F27,I26+F27))</f>
        <v/>
      </c>
      <c r="J27" s="47" t="n"/>
    </row>
    <row r="28" ht="15.75" customHeight="1" s="99">
      <c r="A28" s="43" t="n">
        <v>24</v>
      </c>
      <c r="B28" s="53" t="n"/>
      <c r="C28" s="55" t="n"/>
      <c r="D28" s="55" t="n"/>
      <c r="E28" s="55" t="n"/>
      <c r="F28" s="63" t="n"/>
      <c r="G28" s="55" t="n"/>
      <c r="H28" s="55" t="n"/>
      <c r="I28" s="58">
        <f>IF(F28="","",IF(I27="",F28,I27+F28))</f>
        <v/>
      </c>
      <c r="J28" s="55" t="n"/>
    </row>
    <row r="29" ht="15.75" customHeight="1" s="99">
      <c r="A29" s="41" t="n">
        <v>25</v>
      </c>
      <c r="B29" s="45" t="n"/>
      <c r="C29" s="47" t="n"/>
      <c r="D29" s="47" t="n"/>
      <c r="E29" s="47" t="n"/>
      <c r="F29" s="62" t="n"/>
      <c r="G29" s="47" t="n"/>
      <c r="H29" s="47" t="n"/>
      <c r="I29" s="50">
        <f>IF(F29="","",IF(I28="",F29,I28+F29))</f>
        <v/>
      </c>
      <c r="J29" s="47" t="n"/>
    </row>
    <row r="30" ht="15.75" customHeight="1" s="99">
      <c r="A30" s="43" t="n">
        <v>26</v>
      </c>
      <c r="B30" s="53" t="n"/>
      <c r="C30" s="55" t="n"/>
      <c r="D30" s="55" t="n"/>
      <c r="E30" s="55" t="n"/>
      <c r="F30" s="63" t="n"/>
      <c r="G30" s="55" t="n"/>
      <c r="H30" s="55" t="n"/>
      <c r="I30" s="58">
        <f>IF(F30="","",IF(I29="",F30,I29+F30))</f>
        <v/>
      </c>
      <c r="J30" s="55" t="n"/>
    </row>
    <row r="31" ht="15.75" customHeight="1" s="99">
      <c r="A31" s="41" t="n">
        <v>27</v>
      </c>
      <c r="B31" s="45" t="n"/>
      <c r="C31" s="47" t="n"/>
      <c r="D31" s="47" t="n"/>
      <c r="E31" s="47" t="n"/>
      <c r="F31" s="62" t="n"/>
      <c r="G31" s="47" t="n"/>
      <c r="H31" s="47" t="n"/>
      <c r="I31" s="50">
        <f>IF(F31="","",IF(I30="",F31,I30+F31))</f>
        <v/>
      </c>
      <c r="J31" s="47" t="n"/>
    </row>
    <row r="32" ht="15.75" customHeight="1" s="99">
      <c r="A32" s="43" t="n">
        <v>28</v>
      </c>
      <c r="B32" s="53" t="n"/>
      <c r="C32" s="55" t="n"/>
      <c r="D32" s="55" t="n"/>
      <c r="E32" s="55" t="n"/>
      <c r="F32" s="63" t="n"/>
      <c r="G32" s="55" t="n"/>
      <c r="H32" s="55" t="n"/>
      <c r="I32" s="58">
        <f>IF(F32="","",IF(I31="",F32,I31+F32))</f>
        <v/>
      </c>
      <c r="J32" s="55" t="n"/>
    </row>
    <row r="33" ht="15.75" customHeight="1" s="99">
      <c r="A33" s="41" t="n">
        <v>29</v>
      </c>
      <c r="B33" s="45" t="n"/>
      <c r="C33" s="47" t="n"/>
      <c r="D33" s="47" t="n"/>
      <c r="E33" s="47" t="n"/>
      <c r="F33" s="62" t="n"/>
      <c r="G33" s="47" t="n"/>
      <c r="H33" s="47" t="n"/>
      <c r="I33" s="50">
        <f>IF(F33="","",IF(I32="",F33,I32+F33))</f>
        <v/>
      </c>
      <c r="J33" s="47" t="n"/>
    </row>
    <row r="34" ht="15.75" customHeight="1" s="99">
      <c r="A34" s="43" t="n">
        <v>30</v>
      </c>
      <c r="B34" s="53" t="n"/>
      <c r="C34" s="55" t="n"/>
      <c r="D34" s="55" t="n"/>
      <c r="E34" s="55" t="n"/>
      <c r="F34" s="63" t="n"/>
      <c r="G34" s="55" t="n"/>
      <c r="H34" s="55" t="n"/>
      <c r="I34" s="58">
        <f>IF(F34="","",IF(I33="",F34,I33+F34))</f>
        <v/>
      </c>
      <c r="J34" s="55" t="n"/>
    </row>
    <row r="35" ht="15.75" customHeight="1" s="99">
      <c r="A35" s="41" t="n">
        <v>31</v>
      </c>
      <c r="B35" s="45" t="n"/>
      <c r="C35" s="47" t="n"/>
      <c r="D35" s="47" t="n"/>
      <c r="E35" s="47" t="n"/>
      <c r="F35" s="62" t="n"/>
      <c r="G35" s="47" t="n"/>
      <c r="H35" s="47" t="n"/>
      <c r="I35" s="50">
        <f>IF(F35="","",IF(I34="",F35,I34+F35))</f>
        <v/>
      </c>
      <c r="J35" s="47" t="n"/>
    </row>
    <row r="36" ht="15.75" customHeight="1" s="99">
      <c r="A36" s="43" t="n">
        <v>32</v>
      </c>
      <c r="B36" s="53" t="n"/>
      <c r="C36" s="55" t="n"/>
      <c r="D36" s="55" t="n"/>
      <c r="E36" s="55" t="n"/>
      <c r="F36" s="63" t="n"/>
      <c r="G36" s="55" t="n"/>
      <c r="H36" s="55" t="n"/>
      <c r="I36" s="58">
        <f>IF(F36="","",IF(I35="",F36,I35+F36))</f>
        <v/>
      </c>
      <c r="J36" s="55" t="n"/>
    </row>
    <row r="37" ht="15.75" customHeight="1" s="99">
      <c r="A37" s="41" t="n">
        <v>33</v>
      </c>
      <c r="B37" s="45" t="n"/>
      <c r="C37" s="47" t="n"/>
      <c r="D37" s="47" t="n"/>
      <c r="E37" s="47" t="n"/>
      <c r="F37" s="62" t="n"/>
      <c r="G37" s="47" t="n"/>
      <c r="H37" s="47" t="n"/>
      <c r="I37" s="50">
        <f>IF(F37="","",IF(I36="",F37,I36+F37))</f>
        <v/>
      </c>
      <c r="J37" s="47" t="n"/>
    </row>
    <row r="38" ht="15.75" customHeight="1" s="99">
      <c r="A38" s="43" t="n">
        <v>34</v>
      </c>
      <c r="B38" s="53" t="n"/>
      <c r="C38" s="55" t="n"/>
      <c r="D38" s="55" t="n"/>
      <c r="E38" s="55" t="n"/>
      <c r="F38" s="63" t="n"/>
      <c r="G38" s="55" t="n"/>
      <c r="H38" s="55" t="n"/>
      <c r="I38" s="58">
        <f>IF(F38="","",IF(I37="",F38,I37+F38))</f>
        <v/>
      </c>
      <c r="J38" s="55" t="n"/>
    </row>
    <row r="39" ht="15.75" customHeight="1" s="99">
      <c r="A39" s="41" t="n">
        <v>35</v>
      </c>
      <c r="B39" s="45" t="n"/>
      <c r="C39" s="47" t="n"/>
      <c r="D39" s="47" t="n"/>
      <c r="E39" s="47" t="n"/>
      <c r="F39" s="62" t="n"/>
      <c r="G39" s="47" t="n"/>
      <c r="H39" s="47" t="n"/>
      <c r="I39" s="50">
        <f>IF(F39="","",IF(I38="",F39,I38+F39))</f>
        <v/>
      </c>
      <c r="J39" s="47" t="n"/>
    </row>
    <row r="40" ht="15.75" customHeight="1" s="99">
      <c r="A40" s="43" t="n">
        <v>36</v>
      </c>
      <c r="B40" s="53" t="n"/>
      <c r="C40" s="55" t="n"/>
      <c r="D40" s="55" t="n"/>
      <c r="E40" s="55" t="n"/>
      <c r="F40" s="63" t="n"/>
      <c r="G40" s="55" t="n"/>
      <c r="H40" s="55" t="n"/>
      <c r="I40" s="58">
        <f>IF(F40="","",IF(I39="",F40,I39+F40))</f>
        <v/>
      </c>
      <c r="J40" s="55" t="n"/>
    </row>
    <row r="41" ht="15.75" customHeight="1" s="99">
      <c r="A41" s="41" t="n">
        <v>37</v>
      </c>
      <c r="B41" s="45" t="n"/>
      <c r="C41" s="47" t="n"/>
      <c r="D41" s="47" t="n"/>
      <c r="E41" s="47" t="n"/>
      <c r="F41" s="62" t="n"/>
      <c r="G41" s="47" t="n"/>
      <c r="H41" s="47" t="n"/>
      <c r="I41" s="50">
        <f>IF(F41="","",IF(I40="",F41,I40+F41))</f>
        <v/>
      </c>
      <c r="J41" s="47" t="n"/>
    </row>
    <row r="42" ht="15.75" customHeight="1" s="99">
      <c r="A42" s="43" t="n">
        <v>38</v>
      </c>
      <c r="B42" s="53" t="n"/>
      <c r="C42" s="55" t="n"/>
      <c r="D42" s="55" t="n"/>
      <c r="E42" s="55" t="n"/>
      <c r="F42" s="63" t="n"/>
      <c r="G42" s="55" t="n"/>
      <c r="H42" s="55" t="n"/>
      <c r="I42" s="58">
        <f>IF(F42="","",IF(I41="",F42,I41+F42))</f>
        <v/>
      </c>
      <c r="J42" s="55" t="n"/>
    </row>
    <row r="43" ht="15.75" customHeight="1" s="99">
      <c r="A43" s="41" t="n">
        <v>39</v>
      </c>
      <c r="B43" s="45" t="n"/>
      <c r="C43" s="47" t="n"/>
      <c r="D43" s="47" t="n"/>
      <c r="E43" s="47" t="n"/>
      <c r="F43" s="62" t="n"/>
      <c r="G43" s="47" t="n"/>
      <c r="H43" s="47" t="n"/>
      <c r="I43" s="50">
        <f>IF(F43="","",IF(I42="",F43,I42+F43))</f>
        <v/>
      </c>
      <c r="J43" s="47" t="n"/>
    </row>
    <row r="44" ht="15.75" customHeight="1" s="99">
      <c r="A44" s="43" t="n">
        <v>40</v>
      </c>
      <c r="B44" s="53" t="n"/>
      <c r="C44" s="55" t="n"/>
      <c r="D44" s="55" t="n"/>
      <c r="E44" s="55" t="n"/>
      <c r="F44" s="63" t="n"/>
      <c r="G44" s="55" t="n"/>
      <c r="H44" s="55" t="n"/>
      <c r="I44" s="58">
        <f>IF(F44="","",IF(I43="",F44,I43+F44))</f>
        <v/>
      </c>
      <c r="J44" s="55" t="n"/>
    </row>
    <row r="45" ht="15.75" customHeight="1" s="99">
      <c r="A45" s="41" t="n">
        <v>41</v>
      </c>
      <c r="B45" s="45" t="n"/>
      <c r="C45" s="47" t="n"/>
      <c r="D45" s="47" t="n"/>
      <c r="E45" s="47" t="n"/>
      <c r="F45" s="62" t="n"/>
      <c r="G45" s="47" t="n"/>
      <c r="H45" s="47" t="n"/>
      <c r="I45" s="50">
        <f>IF(F45="","",IF(I44="",F45,I44+F45))</f>
        <v/>
      </c>
      <c r="J45" s="47" t="n"/>
    </row>
    <row r="46" ht="15.75" customHeight="1" s="99">
      <c r="A46" s="43" t="n">
        <v>42</v>
      </c>
      <c r="B46" s="53" t="n"/>
      <c r="C46" s="55" t="n"/>
      <c r="D46" s="55" t="n"/>
      <c r="E46" s="55" t="n"/>
      <c r="F46" s="63" t="n"/>
      <c r="G46" s="55" t="n"/>
      <c r="H46" s="55" t="n"/>
      <c r="I46" s="58">
        <f>IF(F46="","",IF(I45="",F46,I45+F46))</f>
        <v/>
      </c>
      <c r="J46" s="55" t="n"/>
    </row>
    <row r="47" ht="15.75" customHeight="1" s="99">
      <c r="A47" s="41" t="n">
        <v>43</v>
      </c>
      <c r="B47" s="45" t="n"/>
      <c r="C47" s="47" t="n"/>
      <c r="D47" s="47" t="n"/>
      <c r="E47" s="47" t="n"/>
      <c r="F47" s="62" t="n"/>
      <c r="G47" s="47" t="n"/>
      <c r="H47" s="47" t="n"/>
      <c r="I47" s="50">
        <f>IF(F47="","",IF(I46="",F47,I46+F47))</f>
        <v/>
      </c>
      <c r="J47" s="47" t="n"/>
    </row>
    <row r="48" ht="15.75" customHeight="1" s="99">
      <c r="A48" s="43" t="n">
        <v>44</v>
      </c>
      <c r="B48" s="53" t="n"/>
      <c r="C48" s="55" t="n"/>
      <c r="D48" s="55" t="n"/>
      <c r="E48" s="55" t="n"/>
      <c r="F48" s="63" t="n"/>
      <c r="G48" s="55" t="n"/>
      <c r="H48" s="55" t="n"/>
      <c r="I48" s="58">
        <f>IF(F48="","",IF(I47="",F48,I47+F48))</f>
        <v/>
      </c>
      <c r="J48" s="55" t="n"/>
    </row>
    <row r="49" ht="15.75" customHeight="1" s="99">
      <c r="A49" s="41" t="n">
        <v>45</v>
      </c>
      <c r="B49" s="45" t="n"/>
      <c r="C49" s="47" t="n"/>
      <c r="D49" s="47" t="n"/>
      <c r="E49" s="47" t="n"/>
      <c r="F49" s="62" t="n"/>
      <c r="G49" s="47" t="n"/>
      <c r="H49" s="47" t="n"/>
      <c r="I49" s="50">
        <f>IF(F49="","",IF(I48="",F49,I48+F49))</f>
        <v/>
      </c>
      <c r="J49" s="47" t="n"/>
    </row>
    <row r="50" ht="15.75" customHeight="1" s="99">
      <c r="A50" s="43" t="n">
        <v>46</v>
      </c>
      <c r="B50" s="53" t="n"/>
      <c r="C50" s="55" t="n"/>
      <c r="D50" s="55" t="n"/>
      <c r="E50" s="55" t="n"/>
      <c r="F50" s="63" t="n"/>
      <c r="G50" s="55" t="n"/>
      <c r="H50" s="55" t="n"/>
      <c r="I50" s="58">
        <f>IF(F50="","",IF(I49="",F50,I49+F50))</f>
        <v/>
      </c>
      <c r="J50" s="55" t="n"/>
    </row>
    <row r="51" ht="15.75" customHeight="1" s="99">
      <c r="A51" s="41" t="n">
        <v>47</v>
      </c>
      <c r="B51" s="45" t="n"/>
      <c r="C51" s="47" t="n"/>
      <c r="D51" s="47" t="n"/>
      <c r="E51" s="47" t="n"/>
      <c r="F51" s="62" t="n"/>
      <c r="G51" s="47" t="n"/>
      <c r="H51" s="47" t="n"/>
      <c r="I51" s="50">
        <f>IF(F51="","",IF(I50="",F51,I50+F51))</f>
        <v/>
      </c>
      <c r="J51" s="47" t="n"/>
    </row>
    <row r="52" ht="15.75" customHeight="1" s="99">
      <c r="A52" s="43" t="n">
        <v>48</v>
      </c>
      <c r="B52" s="53" t="n"/>
      <c r="C52" s="55" t="n"/>
      <c r="D52" s="55" t="n"/>
      <c r="E52" s="55" t="n"/>
      <c r="F52" s="63" t="n"/>
      <c r="G52" s="55" t="n"/>
      <c r="H52" s="55" t="n"/>
      <c r="I52" s="58">
        <f>IF(F52="","",IF(I51="",F52,I51+F52))</f>
        <v/>
      </c>
      <c r="J52" s="55" t="n"/>
    </row>
    <row r="53" ht="15.75" customHeight="1" s="99">
      <c r="A53" s="41" t="n">
        <v>49</v>
      </c>
      <c r="B53" s="45" t="n"/>
      <c r="C53" s="47" t="n"/>
      <c r="D53" s="47" t="n"/>
      <c r="E53" s="47" t="n"/>
      <c r="F53" s="62" t="n"/>
      <c r="G53" s="47" t="n"/>
      <c r="H53" s="47" t="n"/>
      <c r="I53" s="50">
        <f>IF(F53="","",IF(I52="",F53,I52+F53))</f>
        <v/>
      </c>
      <c r="J53" s="47" t="n"/>
    </row>
    <row r="54" ht="15.75" customHeight="1" s="99">
      <c r="A54" s="43" t="n">
        <v>50</v>
      </c>
      <c r="B54" s="53" t="n"/>
      <c r="C54" s="55" t="n"/>
      <c r="D54" s="55" t="n"/>
      <c r="E54" s="55" t="n"/>
      <c r="F54" s="63" t="n"/>
      <c r="G54" s="55" t="n"/>
      <c r="H54" s="55" t="n"/>
      <c r="I54" s="58">
        <f>IF(F54="","",IF(I53="",F54,I53+F54))</f>
        <v/>
      </c>
      <c r="J54" s="55" t="n"/>
    </row>
    <row r="55" ht="15.75" customHeight="1" s="99">
      <c r="A55" s="41" t="n">
        <v>51</v>
      </c>
      <c r="B55" s="45" t="n"/>
      <c r="C55" s="47" t="n"/>
      <c r="D55" s="47" t="n"/>
      <c r="E55" s="47" t="n"/>
      <c r="F55" s="62" t="n"/>
      <c r="G55" s="47" t="n"/>
      <c r="H55" s="47" t="n"/>
      <c r="I55" s="50">
        <f>IF(F55="","",IF(I54="",F55,I54+F55))</f>
        <v/>
      </c>
      <c r="J55" s="47" t="n"/>
    </row>
    <row r="56" ht="15.75" customHeight="1" s="99">
      <c r="A56" s="43" t="n">
        <v>52</v>
      </c>
      <c r="B56" s="53" t="n"/>
      <c r="C56" s="55" t="n"/>
      <c r="D56" s="55" t="n"/>
      <c r="E56" s="55" t="n"/>
      <c r="F56" s="63" t="n"/>
      <c r="G56" s="55" t="n"/>
      <c r="H56" s="55" t="n"/>
      <c r="I56" s="58">
        <f>IF(F56="","",IF(I55="",F56,I55+F56))</f>
        <v/>
      </c>
      <c r="J56" s="55" t="n"/>
    </row>
    <row r="57" ht="15.75" customHeight="1" s="99">
      <c r="A57" s="41" t="n">
        <v>53</v>
      </c>
      <c r="B57" s="45" t="n"/>
      <c r="C57" s="47" t="n"/>
      <c r="D57" s="47" t="n"/>
      <c r="E57" s="47" t="n"/>
      <c r="F57" s="62" t="n"/>
      <c r="G57" s="47" t="n"/>
      <c r="H57" s="47" t="n"/>
      <c r="I57" s="50">
        <f>IF(F57="","",IF(I56="",F57,I56+F57))</f>
        <v/>
      </c>
      <c r="J57" s="47" t="n"/>
    </row>
    <row r="58" ht="15.75" customHeight="1" s="99">
      <c r="A58" s="43" t="n">
        <v>54</v>
      </c>
      <c r="B58" s="53" t="n"/>
      <c r="C58" s="55" t="n"/>
      <c r="D58" s="55" t="n"/>
      <c r="E58" s="55" t="n"/>
      <c r="F58" s="63" t="n"/>
      <c r="G58" s="55" t="n"/>
      <c r="H58" s="55" t="n"/>
      <c r="I58" s="58">
        <f>IF(F58="","",IF(I57="",F58,I57+F58))</f>
        <v/>
      </c>
      <c r="J58" s="55" t="n"/>
    </row>
    <row r="59" ht="15.75" customHeight="1" s="99">
      <c r="A59" s="41" t="n">
        <v>55</v>
      </c>
      <c r="B59" s="45" t="n"/>
      <c r="C59" s="47" t="n"/>
      <c r="D59" s="47" t="n"/>
      <c r="E59" s="47" t="n"/>
      <c r="F59" s="62" t="n"/>
      <c r="G59" s="47" t="n"/>
      <c r="H59" s="47" t="n"/>
      <c r="I59" s="50">
        <f>IF(F59="","",IF(I58="",F59,I58+F59))</f>
        <v/>
      </c>
      <c r="J59" s="47" t="n"/>
    </row>
    <row r="60" ht="15.75" customHeight="1" s="99">
      <c r="A60" s="43" t="n">
        <v>56</v>
      </c>
      <c r="B60" s="53" t="n"/>
      <c r="C60" s="55" t="n"/>
      <c r="D60" s="55" t="n"/>
      <c r="E60" s="55" t="n"/>
      <c r="F60" s="63" t="n"/>
      <c r="G60" s="55" t="n"/>
      <c r="H60" s="55" t="n"/>
      <c r="I60" s="58">
        <f>IF(F60="","",IF(I59="",F60,I59+F60))</f>
        <v/>
      </c>
      <c r="J60" s="55" t="n"/>
    </row>
    <row r="61" ht="15.75" customHeight="1" s="99">
      <c r="A61" s="41" t="n">
        <v>57</v>
      </c>
      <c r="B61" s="45" t="n"/>
      <c r="C61" s="47" t="n"/>
      <c r="D61" s="47" t="n"/>
      <c r="E61" s="47" t="n"/>
      <c r="F61" s="62" t="n"/>
      <c r="G61" s="47" t="n"/>
      <c r="H61" s="47" t="n"/>
      <c r="I61" s="50">
        <f>IF(F61="","",IF(I60="",F61,I60+F61))</f>
        <v/>
      </c>
      <c r="J61" s="47" t="n"/>
    </row>
    <row r="62" ht="15.75" customHeight="1" s="99">
      <c r="A62" s="43" t="n">
        <v>58</v>
      </c>
      <c r="B62" s="53" t="n"/>
      <c r="C62" s="55" t="n"/>
      <c r="D62" s="55" t="n"/>
      <c r="E62" s="55" t="n"/>
      <c r="F62" s="63" t="n"/>
      <c r="G62" s="55" t="n"/>
      <c r="H62" s="55" t="n"/>
      <c r="I62" s="58">
        <f>IF(F62="","",IF(I61="",F62,I61+F62))</f>
        <v/>
      </c>
      <c r="J62" s="55" t="n"/>
    </row>
    <row r="63" ht="15.75" customHeight="1" s="99">
      <c r="A63" s="41" t="n">
        <v>59</v>
      </c>
      <c r="B63" s="45" t="n"/>
      <c r="C63" s="47" t="n"/>
      <c r="D63" s="47" t="n"/>
      <c r="E63" s="47" t="n"/>
      <c r="F63" s="62" t="n"/>
      <c r="G63" s="47" t="n"/>
      <c r="H63" s="47" t="n"/>
      <c r="I63" s="50">
        <f>IF(F63="","",IF(I62="",F63,I62+F63))</f>
        <v/>
      </c>
      <c r="J63" s="47" t="n"/>
    </row>
    <row r="64" ht="15.75" customHeight="1" s="99">
      <c r="A64" s="43" t="n">
        <v>60</v>
      </c>
      <c r="B64" s="53" t="n"/>
      <c r="C64" s="55" t="n"/>
      <c r="D64" s="55" t="n"/>
      <c r="E64" s="55" t="n"/>
      <c r="F64" s="63" t="n"/>
      <c r="G64" s="55" t="n"/>
      <c r="H64" s="55" t="n"/>
      <c r="I64" s="58">
        <f>IF(F64="","",IF(I63="",F64,I63+F64))</f>
        <v/>
      </c>
      <c r="J64" s="55" t="n"/>
    </row>
    <row r="65" ht="15.75" customHeight="1" s="99">
      <c r="A65" s="41" t="n">
        <v>61</v>
      </c>
      <c r="B65" s="45" t="n"/>
      <c r="C65" s="47" t="n"/>
      <c r="D65" s="47" t="n"/>
      <c r="E65" s="47" t="n"/>
      <c r="F65" s="62" t="n"/>
      <c r="G65" s="47" t="n"/>
      <c r="H65" s="47" t="n"/>
      <c r="I65" s="50">
        <f>IF(F65="","",IF(I64="",F65,I64+F65))</f>
        <v/>
      </c>
      <c r="J65" s="47" t="n"/>
    </row>
    <row r="66" ht="15.75" customHeight="1" s="99">
      <c r="A66" s="43" t="n">
        <v>62</v>
      </c>
      <c r="B66" s="53" t="n"/>
      <c r="C66" s="55" t="n"/>
      <c r="D66" s="55" t="n"/>
      <c r="E66" s="55" t="n"/>
      <c r="F66" s="63" t="n"/>
      <c r="G66" s="55" t="n"/>
      <c r="H66" s="55" t="n"/>
      <c r="I66" s="58">
        <f>IF(F66="","",IF(I65="",F66,I65+F66))</f>
        <v/>
      </c>
      <c r="J66" s="55" t="n"/>
    </row>
    <row r="67" ht="15.75" customHeight="1" s="99">
      <c r="A67" s="41" t="n">
        <v>63</v>
      </c>
      <c r="B67" s="45" t="n"/>
      <c r="C67" s="47" t="n"/>
      <c r="D67" s="47" t="n"/>
      <c r="E67" s="47" t="n"/>
      <c r="F67" s="62" t="n"/>
      <c r="G67" s="47" t="n"/>
      <c r="H67" s="47" t="n"/>
      <c r="I67" s="50">
        <f>IF(F67="","",IF(I66="",F67,I66+F67))</f>
        <v/>
      </c>
      <c r="J67" s="47" t="n"/>
    </row>
    <row r="68" ht="15.75" customHeight="1" s="99">
      <c r="A68" s="43" t="n">
        <v>64</v>
      </c>
      <c r="B68" s="53" t="n"/>
      <c r="C68" s="55" t="n"/>
      <c r="D68" s="55" t="n"/>
      <c r="E68" s="55" t="n"/>
      <c r="F68" s="63" t="n"/>
      <c r="G68" s="55" t="n"/>
      <c r="H68" s="55" t="n"/>
      <c r="I68" s="58">
        <f>IF(F68="","",IF(I67="",F68,I67+F68))</f>
        <v/>
      </c>
      <c r="J68" s="55" t="n"/>
    </row>
    <row r="69" ht="15.75" customHeight="1" s="99">
      <c r="A69" s="41" t="n">
        <v>65</v>
      </c>
      <c r="B69" s="45" t="n"/>
      <c r="C69" s="47" t="n"/>
      <c r="D69" s="47" t="n"/>
      <c r="E69" s="47" t="n"/>
      <c r="F69" s="62" t="n"/>
      <c r="G69" s="47" t="n"/>
      <c r="H69" s="47" t="n"/>
      <c r="I69" s="50">
        <f>IF(F69="","",IF(I68="",F69,I68+F69))</f>
        <v/>
      </c>
      <c r="J69" s="47" t="n"/>
    </row>
    <row r="70" ht="15.75" customHeight="1" s="99">
      <c r="A70" s="43" t="n">
        <v>66</v>
      </c>
      <c r="B70" s="53" t="n"/>
      <c r="C70" s="55" t="n"/>
      <c r="D70" s="55" t="n"/>
      <c r="E70" s="55" t="n"/>
      <c r="F70" s="63" t="n"/>
      <c r="G70" s="55" t="n"/>
      <c r="H70" s="55" t="n"/>
      <c r="I70" s="58">
        <f>IF(F70="","",IF(I69="",F70,I69+F70))</f>
        <v/>
      </c>
      <c r="J70" s="55" t="n"/>
    </row>
    <row r="71" ht="15.75" customHeight="1" s="99">
      <c r="A71" s="41" t="n">
        <v>67</v>
      </c>
      <c r="B71" s="45" t="n"/>
      <c r="C71" s="47" t="n"/>
      <c r="D71" s="47" t="n"/>
      <c r="E71" s="47" t="n"/>
      <c r="F71" s="62" t="n"/>
      <c r="G71" s="47" t="n"/>
      <c r="H71" s="47" t="n"/>
      <c r="I71" s="50">
        <f>IF(F71="","",IF(I70="",F71,I70+F71))</f>
        <v/>
      </c>
      <c r="J71" s="47" t="n"/>
    </row>
    <row r="72" ht="15.75" customHeight="1" s="99">
      <c r="A72" s="43" t="n">
        <v>68</v>
      </c>
      <c r="B72" s="53" t="n"/>
      <c r="C72" s="55" t="n"/>
      <c r="D72" s="55" t="n"/>
      <c r="E72" s="55" t="n"/>
      <c r="F72" s="63" t="n"/>
      <c r="G72" s="55" t="n"/>
      <c r="H72" s="55" t="n"/>
      <c r="I72" s="58">
        <f>IF(F72="","",IF(I71="",F72,I71+F72))</f>
        <v/>
      </c>
      <c r="J72" s="55" t="n"/>
    </row>
    <row r="73" ht="15.75" customHeight="1" s="99">
      <c r="A73" s="41" t="n">
        <v>69</v>
      </c>
      <c r="B73" s="45" t="n"/>
      <c r="C73" s="47" t="n"/>
      <c r="D73" s="47" t="n"/>
      <c r="E73" s="47" t="n"/>
      <c r="F73" s="62" t="n"/>
      <c r="G73" s="47" t="n"/>
      <c r="H73" s="47" t="n"/>
      <c r="I73" s="50">
        <f>IF(F73="","",IF(I72="",F73,I72+F73))</f>
        <v/>
      </c>
      <c r="J73" s="47" t="n"/>
    </row>
    <row r="74" ht="15.75" customHeight="1" s="99">
      <c r="A74" s="43" t="n">
        <v>70</v>
      </c>
      <c r="B74" s="53" t="n"/>
      <c r="C74" s="55" t="n"/>
      <c r="D74" s="55" t="n"/>
      <c r="E74" s="55" t="n"/>
      <c r="F74" s="63" t="n"/>
      <c r="G74" s="55" t="n"/>
      <c r="H74" s="55" t="n"/>
      <c r="I74" s="58">
        <f>IF(F74="","",IF(I73="",F74,I73+F74))</f>
        <v/>
      </c>
      <c r="J74" s="55" t="n"/>
    </row>
    <row r="75" ht="15.75" customHeight="1" s="99">
      <c r="A75" s="41" t="n">
        <v>71</v>
      </c>
      <c r="B75" s="45" t="n"/>
      <c r="C75" s="47" t="n"/>
      <c r="D75" s="47" t="n"/>
      <c r="E75" s="47" t="n"/>
      <c r="F75" s="62" t="n"/>
      <c r="G75" s="47" t="n"/>
      <c r="H75" s="47" t="n"/>
      <c r="I75" s="50">
        <f>IF(F75="","",IF(I74="",F75,I74+F75))</f>
        <v/>
      </c>
      <c r="J75" s="47" t="n"/>
    </row>
    <row r="76" ht="15.75" customHeight="1" s="99">
      <c r="A76" s="43" t="n">
        <v>72</v>
      </c>
      <c r="B76" s="53" t="n"/>
      <c r="C76" s="55" t="n"/>
      <c r="D76" s="55" t="n"/>
      <c r="E76" s="55" t="n"/>
      <c r="F76" s="63" t="n"/>
      <c r="G76" s="55" t="n"/>
      <c r="H76" s="55" t="n"/>
      <c r="I76" s="58">
        <f>IF(F76="","",IF(I75="",F76,I75+F76))</f>
        <v/>
      </c>
      <c r="J76" s="55" t="n"/>
    </row>
    <row r="77" ht="15.75" customHeight="1" s="99">
      <c r="A77" s="41" t="n">
        <v>73</v>
      </c>
      <c r="B77" s="45" t="n"/>
      <c r="C77" s="47" t="n"/>
      <c r="D77" s="47" t="n"/>
      <c r="E77" s="47" t="n"/>
      <c r="F77" s="62" t="n"/>
      <c r="G77" s="47" t="n"/>
      <c r="H77" s="47" t="n"/>
      <c r="I77" s="50">
        <f>IF(F77="","",IF(I76="",F77,I76+F77))</f>
        <v/>
      </c>
      <c r="J77" s="47" t="n"/>
    </row>
    <row r="78" ht="15.75" customHeight="1" s="99">
      <c r="A78" s="43" t="n">
        <v>74</v>
      </c>
      <c r="B78" s="53" t="n"/>
      <c r="C78" s="55" t="n"/>
      <c r="D78" s="55" t="n"/>
      <c r="E78" s="55" t="n"/>
      <c r="F78" s="63" t="n"/>
      <c r="G78" s="55" t="n"/>
      <c r="H78" s="55" t="n"/>
      <c r="I78" s="58">
        <f>IF(F78="","",IF(I77="",F78,I77+F78))</f>
        <v/>
      </c>
      <c r="J78" s="55" t="n"/>
    </row>
    <row r="79" ht="15.75" customHeight="1" s="99">
      <c r="A79" s="41" t="n">
        <v>75</v>
      </c>
      <c r="B79" s="45" t="n"/>
      <c r="C79" s="47" t="n"/>
      <c r="D79" s="47" t="n"/>
      <c r="E79" s="47" t="n"/>
      <c r="F79" s="62" t="n"/>
      <c r="G79" s="47" t="n"/>
      <c r="H79" s="47" t="n"/>
      <c r="I79" s="50">
        <f>IF(F79="","",IF(I78="",F79,I78+F79))</f>
        <v/>
      </c>
      <c r="J79" s="47" t="n"/>
    </row>
    <row r="80" ht="15.75" customHeight="1" s="99">
      <c r="A80" s="43" t="n">
        <v>76</v>
      </c>
      <c r="B80" s="53" t="n"/>
      <c r="C80" s="55" t="n"/>
      <c r="D80" s="55" t="n"/>
      <c r="E80" s="55" t="n"/>
      <c r="F80" s="63" t="n"/>
      <c r="G80" s="55" t="n"/>
      <c r="H80" s="55" t="n"/>
      <c r="I80" s="58">
        <f>IF(F80="","",IF(I79="",F80,I79+F80))</f>
        <v/>
      </c>
      <c r="J80" s="55" t="n"/>
    </row>
    <row r="81" ht="15.75" customHeight="1" s="99">
      <c r="A81" s="41" t="n">
        <v>77</v>
      </c>
      <c r="B81" s="45" t="n"/>
      <c r="C81" s="47" t="n"/>
      <c r="D81" s="47" t="n"/>
      <c r="E81" s="47" t="n"/>
      <c r="F81" s="62" t="n"/>
      <c r="G81" s="47" t="n"/>
      <c r="H81" s="47" t="n"/>
      <c r="I81" s="50">
        <f>IF(F81="","",IF(I80="",F81,I80+F81))</f>
        <v/>
      </c>
      <c r="J81" s="47" t="n"/>
    </row>
    <row r="82" ht="15.75" customHeight="1" s="99">
      <c r="A82" s="43" t="n">
        <v>78</v>
      </c>
      <c r="B82" s="53" t="n"/>
      <c r="C82" s="55" t="n"/>
      <c r="D82" s="55" t="n"/>
      <c r="E82" s="55" t="n"/>
      <c r="F82" s="63" t="n"/>
      <c r="G82" s="55" t="n"/>
      <c r="H82" s="55" t="n"/>
      <c r="I82" s="58">
        <f>IF(F82="","",IF(I81="",F82,I81+F82))</f>
        <v/>
      </c>
      <c r="J82" s="55" t="n"/>
    </row>
    <row r="83" ht="15.75" customHeight="1" s="99">
      <c r="A83" s="41" t="n">
        <v>79</v>
      </c>
      <c r="B83" s="45" t="n"/>
      <c r="C83" s="47" t="n"/>
      <c r="D83" s="47" t="n"/>
      <c r="E83" s="47" t="n"/>
      <c r="F83" s="62" t="n"/>
      <c r="G83" s="47" t="n"/>
      <c r="H83" s="47" t="n"/>
      <c r="I83" s="50">
        <f>IF(F83="","",IF(I82="",F83,I82+F83))</f>
        <v/>
      </c>
      <c r="J83" s="47" t="n"/>
    </row>
    <row r="84" ht="15.75" customHeight="1" s="99">
      <c r="A84" s="43" t="n">
        <v>80</v>
      </c>
      <c r="B84" s="53" t="n"/>
      <c r="C84" s="55" t="n"/>
      <c r="D84" s="55" t="n"/>
      <c r="E84" s="55" t="n"/>
      <c r="F84" s="63" t="n"/>
      <c r="G84" s="55" t="n"/>
      <c r="H84" s="55" t="n"/>
      <c r="I84" s="58">
        <f>IF(F84="","",IF(I83="",F84,I83+F84))</f>
        <v/>
      </c>
      <c r="J84" s="55" t="n"/>
    </row>
    <row r="85" ht="15.75" customHeight="1" s="99">
      <c r="A85" s="41" t="n">
        <v>81</v>
      </c>
      <c r="B85" s="45" t="n"/>
      <c r="C85" s="47" t="n"/>
      <c r="D85" s="47" t="n"/>
      <c r="E85" s="47" t="n"/>
      <c r="F85" s="62" t="n"/>
      <c r="G85" s="47" t="n"/>
      <c r="H85" s="47" t="n"/>
      <c r="I85" s="50">
        <f>IF(F85="","",IF(I84="",F85,I84+F85))</f>
        <v/>
      </c>
      <c r="J85" s="47" t="n"/>
    </row>
    <row r="86" ht="15.75" customHeight="1" s="99">
      <c r="A86" s="43" t="n">
        <v>82</v>
      </c>
      <c r="B86" s="53" t="n"/>
      <c r="C86" s="55" t="n"/>
      <c r="D86" s="55" t="n"/>
      <c r="E86" s="55" t="n"/>
      <c r="F86" s="63" t="n"/>
      <c r="G86" s="55" t="n"/>
      <c r="H86" s="55" t="n"/>
      <c r="I86" s="58">
        <f>IF(F86="","",IF(I85="",F86,I85+F86))</f>
        <v/>
      </c>
      <c r="J86" s="55" t="n"/>
    </row>
    <row r="87" ht="15.75" customHeight="1" s="99">
      <c r="A87" s="41" t="n">
        <v>83</v>
      </c>
      <c r="B87" s="45" t="n"/>
      <c r="C87" s="47" t="n"/>
      <c r="D87" s="47" t="n"/>
      <c r="E87" s="47" t="n"/>
      <c r="F87" s="62" t="n"/>
      <c r="G87" s="47" t="n"/>
      <c r="H87" s="47" t="n"/>
      <c r="I87" s="50">
        <f>IF(F87="","",IF(I86="",F87,I86+F87))</f>
        <v/>
      </c>
      <c r="J87" s="47" t="n"/>
    </row>
    <row r="88" ht="15.75" customHeight="1" s="99">
      <c r="A88" s="43" t="n">
        <v>84</v>
      </c>
      <c r="B88" s="53" t="n"/>
      <c r="C88" s="55" t="n"/>
      <c r="D88" s="55" t="n"/>
      <c r="E88" s="55" t="n"/>
      <c r="F88" s="63" t="n"/>
      <c r="G88" s="55" t="n"/>
      <c r="H88" s="55" t="n"/>
      <c r="I88" s="58">
        <f>IF(F88="","",IF(I87="",F88,I87+F88))</f>
        <v/>
      </c>
      <c r="J88" s="55" t="n"/>
    </row>
    <row r="89" ht="15.75" customHeight="1" s="99">
      <c r="A89" s="41" t="n">
        <v>85</v>
      </c>
      <c r="B89" s="45" t="n"/>
      <c r="C89" s="47" t="n"/>
      <c r="D89" s="47" t="n"/>
      <c r="E89" s="47" t="n"/>
      <c r="F89" s="62" t="n"/>
      <c r="G89" s="47" t="n"/>
      <c r="H89" s="47" t="n"/>
      <c r="I89" s="50">
        <f>IF(F89="","",IF(I88="",F89,I88+F89))</f>
        <v/>
      </c>
      <c r="J89" s="47" t="n"/>
    </row>
    <row r="90" ht="15.75" customHeight="1" s="99">
      <c r="A90" s="43" t="n">
        <v>86</v>
      </c>
      <c r="B90" s="53" t="n"/>
      <c r="C90" s="55" t="n"/>
      <c r="D90" s="55" t="n"/>
      <c r="E90" s="55" t="n"/>
      <c r="F90" s="63" t="n"/>
      <c r="G90" s="55" t="n"/>
      <c r="H90" s="55" t="n"/>
      <c r="I90" s="58">
        <f>IF(F90="","",IF(I89="",F90,I89+F90))</f>
        <v/>
      </c>
      <c r="J90" s="55" t="n"/>
    </row>
    <row r="91" ht="15.75" customHeight="1" s="99">
      <c r="A91" s="41" t="n">
        <v>87</v>
      </c>
      <c r="B91" s="45" t="n"/>
      <c r="C91" s="47" t="n"/>
      <c r="D91" s="47" t="n"/>
      <c r="E91" s="47" t="n"/>
      <c r="F91" s="62" t="n"/>
      <c r="G91" s="47" t="n"/>
      <c r="H91" s="47" t="n"/>
      <c r="I91" s="50">
        <f>IF(F91="","",IF(I90="",F91,I90+F91))</f>
        <v/>
      </c>
      <c r="J91" s="47" t="n"/>
    </row>
    <row r="92" ht="15.75" customHeight="1" s="99">
      <c r="A92" s="43" t="n">
        <v>88</v>
      </c>
      <c r="B92" s="53" t="n"/>
      <c r="C92" s="55" t="n"/>
      <c r="D92" s="55" t="n"/>
      <c r="E92" s="55" t="n"/>
      <c r="F92" s="63" t="n"/>
      <c r="G92" s="55" t="n"/>
      <c r="H92" s="55" t="n"/>
      <c r="I92" s="58">
        <f>IF(F92="","",IF(I91="",F92,I91+F92))</f>
        <v/>
      </c>
      <c r="J92" s="55" t="n"/>
    </row>
    <row r="93" ht="15.75" customHeight="1" s="99">
      <c r="A93" s="41" t="n">
        <v>89</v>
      </c>
      <c r="B93" s="45" t="n"/>
      <c r="C93" s="47" t="n"/>
      <c r="D93" s="47" t="n"/>
      <c r="E93" s="47" t="n"/>
      <c r="F93" s="62" t="n"/>
      <c r="G93" s="47" t="n"/>
      <c r="H93" s="47" t="n"/>
      <c r="I93" s="50">
        <f>IF(F93="","",IF(I92="",F93,I92+F93))</f>
        <v/>
      </c>
      <c r="J93" s="47" t="n"/>
    </row>
    <row r="94" ht="15.75" customHeight="1" s="99">
      <c r="A94" s="43" t="n">
        <v>90</v>
      </c>
      <c r="B94" s="53" t="n"/>
      <c r="C94" s="55" t="n"/>
      <c r="D94" s="55" t="n"/>
      <c r="E94" s="55" t="n"/>
      <c r="F94" s="63" t="n"/>
      <c r="G94" s="55" t="n"/>
      <c r="H94" s="55" t="n"/>
      <c r="I94" s="58">
        <f>IF(F94="","",IF(I93="",F94,I93+F94))</f>
        <v/>
      </c>
      <c r="J94" s="55" t="n"/>
    </row>
    <row r="95" ht="15.75" customHeight="1" s="99">
      <c r="A95" s="41" t="n">
        <v>91</v>
      </c>
      <c r="B95" s="45" t="n"/>
      <c r="C95" s="47" t="n"/>
      <c r="D95" s="47" t="n"/>
      <c r="E95" s="47" t="n"/>
      <c r="F95" s="62" t="n"/>
      <c r="G95" s="47" t="n"/>
      <c r="H95" s="47" t="n"/>
      <c r="I95" s="50">
        <f>IF(F95="","",IF(I94="",F95,I94+F95))</f>
        <v/>
      </c>
      <c r="J95" s="47" t="n"/>
    </row>
    <row r="96" ht="15.75" customHeight="1" s="99">
      <c r="A96" s="43" t="n">
        <v>92</v>
      </c>
      <c r="B96" s="53" t="n"/>
      <c r="C96" s="55" t="n"/>
      <c r="D96" s="55" t="n"/>
      <c r="E96" s="55" t="n"/>
      <c r="F96" s="63" t="n"/>
      <c r="G96" s="55" t="n"/>
      <c r="H96" s="55" t="n"/>
      <c r="I96" s="58">
        <f>IF(F96="","",IF(I95="",F96,I95+F96))</f>
        <v/>
      </c>
      <c r="J96" s="55" t="n"/>
    </row>
    <row r="97" ht="15.75" customHeight="1" s="99">
      <c r="A97" s="41" t="n">
        <v>93</v>
      </c>
      <c r="B97" s="45" t="n"/>
      <c r="C97" s="47" t="n"/>
      <c r="D97" s="47" t="n"/>
      <c r="E97" s="47" t="n"/>
      <c r="F97" s="62" t="n"/>
      <c r="G97" s="47" t="n"/>
      <c r="H97" s="47" t="n"/>
      <c r="I97" s="50">
        <f>IF(F97="","",IF(I96="",F97,I96+F97))</f>
        <v/>
      </c>
      <c r="J97" s="47" t="n"/>
    </row>
    <row r="98" ht="15.75" customHeight="1" s="99">
      <c r="A98" s="43" t="n">
        <v>94</v>
      </c>
      <c r="B98" s="53" t="n"/>
      <c r="C98" s="55" t="n"/>
      <c r="D98" s="55" t="n"/>
      <c r="E98" s="55" t="n"/>
      <c r="F98" s="63" t="n"/>
      <c r="G98" s="55" t="n"/>
      <c r="H98" s="55" t="n"/>
      <c r="I98" s="58">
        <f>IF(F98="","",IF(I97="",F98,I97+F98))</f>
        <v/>
      </c>
      <c r="J98" s="55" t="n"/>
    </row>
    <row r="99" ht="15.75" customHeight="1" s="99">
      <c r="A99" s="41" t="n">
        <v>95</v>
      </c>
      <c r="B99" s="45" t="n"/>
      <c r="C99" s="47" t="n"/>
      <c r="D99" s="47" t="n"/>
      <c r="E99" s="47" t="n"/>
      <c r="F99" s="62" t="n"/>
      <c r="G99" s="47" t="n"/>
      <c r="H99" s="47" t="n"/>
      <c r="I99" s="50">
        <f>IF(F99="","",IF(I98="",F99,I98+F99))</f>
        <v/>
      </c>
      <c r="J99" s="47" t="n"/>
    </row>
    <row r="100" ht="15.75" customHeight="1" s="99">
      <c r="A100" s="43" t="n">
        <v>96</v>
      </c>
      <c r="B100" s="53" t="n"/>
      <c r="C100" s="55" t="n"/>
      <c r="D100" s="55" t="n"/>
      <c r="E100" s="55" t="n"/>
      <c r="F100" s="63" t="n"/>
      <c r="G100" s="55" t="n"/>
      <c r="H100" s="55" t="n"/>
      <c r="I100" s="58">
        <f>IF(F100="","",IF(I99="",F100,I99+F100))</f>
        <v/>
      </c>
      <c r="J100" s="55" t="n"/>
    </row>
    <row r="101" ht="15.75" customHeight="1" s="99">
      <c r="A101" s="41" t="n">
        <v>97</v>
      </c>
      <c r="B101" s="45" t="n"/>
      <c r="C101" s="47" t="n"/>
      <c r="D101" s="47" t="n"/>
      <c r="E101" s="47" t="n"/>
      <c r="F101" s="62" t="n"/>
      <c r="G101" s="47" t="n"/>
      <c r="H101" s="47" t="n"/>
      <c r="I101" s="50">
        <f>IF(F101="","",IF(I100="",F101,I100+F101))</f>
        <v/>
      </c>
      <c r="J101" s="47" t="n"/>
    </row>
    <row r="102" ht="15.75" customHeight="1" s="99">
      <c r="A102" s="43" t="n">
        <v>98</v>
      </c>
      <c r="B102" s="53" t="n"/>
      <c r="C102" s="55" t="n"/>
      <c r="D102" s="55" t="n"/>
      <c r="E102" s="55" t="n"/>
      <c r="F102" s="63" t="n"/>
      <c r="G102" s="55" t="n"/>
      <c r="H102" s="55" t="n"/>
      <c r="I102" s="58">
        <f>IF(F102="","",IF(I101="",F102,I101+F102))</f>
        <v/>
      </c>
      <c r="J102" s="55" t="n"/>
    </row>
    <row r="103" ht="15.75" customHeight="1" s="99">
      <c r="A103" s="41" t="n">
        <v>99</v>
      </c>
      <c r="B103" s="45" t="n"/>
      <c r="C103" s="47" t="n"/>
      <c r="D103" s="47" t="n"/>
      <c r="E103" s="47" t="n"/>
      <c r="F103" s="62" t="n"/>
      <c r="G103" s="47" t="n"/>
      <c r="H103" s="47" t="n"/>
      <c r="I103" s="50">
        <f>IF(F103="","",IF(I102="",F103,I102+F103))</f>
        <v/>
      </c>
      <c r="J103" s="47" t="n"/>
    </row>
    <row r="104" ht="15.75" customHeight="1" s="99">
      <c r="A104" s="43" t="n">
        <v>100</v>
      </c>
      <c r="B104" s="53" t="n"/>
      <c r="C104" s="55" t="n"/>
      <c r="D104" s="55" t="n"/>
      <c r="E104" s="55" t="n"/>
      <c r="F104" s="63" t="n"/>
      <c r="G104" s="55" t="n"/>
      <c r="H104" s="55" t="n"/>
      <c r="I104" s="58">
        <f>IF(F104="","",IF(I103="",F104,I103+F104))</f>
        <v/>
      </c>
      <c r="J104" s="55" t="n"/>
    </row>
    <row r="105" ht="15.75" customHeight="1" s="99">
      <c r="A105" s="41" t="n">
        <v>101</v>
      </c>
      <c r="B105" s="45" t="n"/>
      <c r="C105" s="47" t="n"/>
      <c r="D105" s="47" t="n"/>
      <c r="E105" s="47" t="n"/>
      <c r="F105" s="62" t="n"/>
      <c r="G105" s="47" t="n"/>
      <c r="H105" s="47" t="n"/>
      <c r="I105" s="50">
        <f>IF(F105="","",IF(I104="",F105,I104+F105))</f>
        <v/>
      </c>
      <c r="J105" s="47" t="n"/>
    </row>
    <row r="106" ht="15.75" customHeight="1" s="99">
      <c r="A106" s="43" t="n">
        <v>102</v>
      </c>
      <c r="B106" s="53" t="n"/>
      <c r="C106" s="55" t="n"/>
      <c r="D106" s="55" t="n"/>
      <c r="E106" s="55" t="n"/>
      <c r="F106" s="63" t="n"/>
      <c r="G106" s="55" t="n"/>
      <c r="H106" s="55" t="n"/>
      <c r="I106" s="58">
        <f>IF(F106="","",IF(I105="",F106,I105+F106))</f>
        <v/>
      </c>
      <c r="J106" s="55" t="n"/>
    </row>
    <row r="107" ht="15.75" customHeight="1" s="99">
      <c r="A107" s="41" t="n">
        <v>103</v>
      </c>
      <c r="B107" s="45" t="n"/>
      <c r="C107" s="47" t="n"/>
      <c r="D107" s="47" t="n"/>
      <c r="E107" s="47" t="n"/>
      <c r="F107" s="62" t="n"/>
      <c r="G107" s="47" t="n"/>
      <c r="H107" s="47" t="n"/>
      <c r="I107" s="50">
        <f>IF(F107="","",IF(I106="",F107,I106+F107))</f>
        <v/>
      </c>
      <c r="J107" s="47" t="n"/>
    </row>
    <row r="108" ht="15.75" customHeight="1" s="99">
      <c r="A108" s="43" t="n">
        <v>104</v>
      </c>
      <c r="B108" s="53" t="n"/>
      <c r="C108" s="55" t="n"/>
      <c r="D108" s="55" t="n"/>
      <c r="E108" s="55" t="n"/>
      <c r="F108" s="63" t="n"/>
      <c r="G108" s="55" t="n"/>
      <c r="H108" s="55" t="n"/>
      <c r="I108" s="58">
        <f>IF(F108="","",IF(I107="",F108,I107+F108))</f>
        <v/>
      </c>
      <c r="J108" s="55" t="n"/>
    </row>
    <row r="109" ht="15.75" customHeight="1" s="99">
      <c r="A109" s="41" t="n">
        <v>105</v>
      </c>
      <c r="B109" s="45" t="n"/>
      <c r="C109" s="47" t="n"/>
      <c r="D109" s="47" t="n"/>
      <c r="E109" s="47" t="n"/>
      <c r="F109" s="62" t="n"/>
      <c r="G109" s="47" t="n"/>
      <c r="H109" s="47" t="n"/>
      <c r="I109" s="50">
        <f>IF(F109="","",IF(I108="",F109,I108+F109))</f>
        <v/>
      </c>
      <c r="J109" s="47" t="n"/>
    </row>
    <row r="110" ht="15.75" customHeight="1" s="99">
      <c r="A110" s="43" t="n">
        <v>106</v>
      </c>
      <c r="B110" s="53" t="n"/>
      <c r="C110" s="55" t="n"/>
      <c r="D110" s="55" t="n"/>
      <c r="E110" s="55" t="n"/>
      <c r="F110" s="63" t="n"/>
      <c r="G110" s="55" t="n"/>
      <c r="H110" s="55" t="n"/>
      <c r="I110" s="58">
        <f>IF(F110="","",IF(I109="",F110,I109+F110))</f>
        <v/>
      </c>
      <c r="J110" s="55" t="n"/>
    </row>
    <row r="111" ht="15.75" customHeight="1" s="99">
      <c r="A111" s="41" t="n">
        <v>107</v>
      </c>
      <c r="B111" s="45" t="n"/>
      <c r="C111" s="47" t="n"/>
      <c r="D111" s="47" t="n"/>
      <c r="E111" s="47" t="n"/>
      <c r="F111" s="62" t="n"/>
      <c r="G111" s="47" t="n"/>
      <c r="H111" s="47" t="n"/>
      <c r="I111" s="50">
        <f>IF(F111="","",IF(I110="",F111,I110+F111))</f>
        <v/>
      </c>
      <c r="J111" s="47" t="n"/>
    </row>
    <row r="112" ht="15.75" customHeight="1" s="99">
      <c r="A112" s="43" t="n">
        <v>108</v>
      </c>
      <c r="B112" s="53" t="n"/>
      <c r="C112" s="55" t="n"/>
      <c r="D112" s="55" t="n"/>
      <c r="E112" s="55" t="n"/>
      <c r="F112" s="63" t="n"/>
      <c r="G112" s="55" t="n"/>
      <c r="H112" s="55" t="n"/>
      <c r="I112" s="58">
        <f>IF(F112="","",IF(I111="",F112,I111+F112))</f>
        <v/>
      </c>
      <c r="J112" s="55" t="n"/>
    </row>
    <row r="113" ht="15.75" customHeight="1" s="99">
      <c r="A113" s="41" t="n">
        <v>109</v>
      </c>
      <c r="B113" s="45" t="n"/>
      <c r="C113" s="47" t="n"/>
      <c r="D113" s="47" t="n"/>
      <c r="E113" s="47" t="n"/>
      <c r="F113" s="62" t="n"/>
      <c r="G113" s="47" t="n"/>
      <c r="H113" s="47" t="n"/>
      <c r="I113" s="50">
        <f>IF(F113="","",IF(I112="",F113,I112+F113))</f>
        <v/>
      </c>
      <c r="J113" s="47" t="n"/>
    </row>
    <row r="114" ht="15.75" customHeight="1" s="99">
      <c r="A114" s="43" t="n">
        <v>110</v>
      </c>
      <c r="B114" s="53" t="n"/>
      <c r="C114" s="55" t="n"/>
      <c r="D114" s="55" t="n"/>
      <c r="E114" s="55" t="n"/>
      <c r="F114" s="63" t="n"/>
      <c r="G114" s="55" t="n"/>
      <c r="H114" s="55" t="n"/>
      <c r="I114" s="58">
        <f>IF(F114="","",IF(I113="",F114,I113+F114))</f>
        <v/>
      </c>
      <c r="J114" s="55" t="n"/>
    </row>
    <row r="115" ht="15.75" customHeight="1" s="99">
      <c r="A115" s="41" t="n">
        <v>111</v>
      </c>
      <c r="B115" s="45" t="n"/>
      <c r="C115" s="47" t="n"/>
      <c r="D115" s="47" t="n"/>
      <c r="E115" s="47" t="n"/>
      <c r="F115" s="62" t="n"/>
      <c r="G115" s="47" t="n"/>
      <c r="H115" s="47" t="n"/>
      <c r="I115" s="50">
        <f>IF(F115="","",IF(I114="",F115,I114+F115))</f>
        <v/>
      </c>
      <c r="J115" s="47" t="n"/>
    </row>
    <row r="116" ht="15.75" customHeight="1" s="99">
      <c r="A116" s="43" t="n">
        <v>112</v>
      </c>
      <c r="B116" s="53" t="n"/>
      <c r="C116" s="55" t="n"/>
      <c r="D116" s="55" t="n"/>
      <c r="E116" s="55" t="n"/>
      <c r="F116" s="63" t="n"/>
      <c r="G116" s="55" t="n"/>
      <c r="H116" s="55" t="n"/>
      <c r="I116" s="58">
        <f>IF(F116="","",IF(I115="",F116,I115+F116))</f>
        <v/>
      </c>
      <c r="J116" s="55" t="n"/>
    </row>
    <row r="117" ht="15.75" customHeight="1" s="99">
      <c r="A117" s="41" t="n">
        <v>113</v>
      </c>
      <c r="B117" s="45" t="n"/>
      <c r="C117" s="47" t="n"/>
      <c r="D117" s="47" t="n"/>
      <c r="E117" s="47" t="n"/>
      <c r="F117" s="62" t="n"/>
      <c r="G117" s="47" t="n"/>
      <c r="H117" s="47" t="n"/>
      <c r="I117" s="50">
        <f>IF(F117="","",IF(I116="",F117,I116+F117))</f>
        <v/>
      </c>
      <c r="J117" s="47" t="n"/>
    </row>
    <row r="118" ht="15.75" customHeight="1" s="99">
      <c r="A118" s="43" t="n">
        <v>114</v>
      </c>
      <c r="B118" s="53" t="n"/>
      <c r="C118" s="55" t="n"/>
      <c r="D118" s="55" t="n"/>
      <c r="E118" s="55" t="n"/>
      <c r="F118" s="63" t="n"/>
      <c r="G118" s="55" t="n"/>
      <c r="H118" s="55" t="n"/>
      <c r="I118" s="58">
        <f>IF(F118="","",IF(I117="",F118,I117+F118))</f>
        <v/>
      </c>
      <c r="J118" s="55" t="n"/>
    </row>
    <row r="119" ht="15.75" customHeight="1" s="99">
      <c r="A119" s="41" t="n">
        <v>115</v>
      </c>
      <c r="B119" s="45" t="n"/>
      <c r="C119" s="47" t="n"/>
      <c r="D119" s="47" t="n"/>
      <c r="E119" s="47" t="n"/>
      <c r="F119" s="62" t="n"/>
      <c r="G119" s="47" t="n"/>
      <c r="H119" s="47" t="n"/>
      <c r="I119" s="50">
        <f>IF(F119="","",IF(I118="",F119,I118+F119))</f>
        <v/>
      </c>
      <c r="J119" s="47" t="n"/>
    </row>
    <row r="120" ht="15.75" customHeight="1" s="99">
      <c r="A120" s="43" t="n">
        <v>116</v>
      </c>
      <c r="B120" s="53" t="n"/>
      <c r="C120" s="55" t="n"/>
      <c r="D120" s="55" t="n"/>
      <c r="E120" s="55" t="n"/>
      <c r="F120" s="63" t="n"/>
      <c r="G120" s="55" t="n"/>
      <c r="H120" s="55" t="n"/>
      <c r="I120" s="58">
        <f>IF(F120="","",IF(I119="",F120,I119+F120))</f>
        <v/>
      </c>
      <c r="J120" s="55" t="n"/>
    </row>
    <row r="121" ht="15.75" customHeight="1" s="99">
      <c r="A121" s="41" t="n">
        <v>117</v>
      </c>
      <c r="B121" s="45" t="n"/>
      <c r="C121" s="47" t="n"/>
      <c r="D121" s="47" t="n"/>
      <c r="E121" s="47" t="n"/>
      <c r="F121" s="62" t="n"/>
      <c r="G121" s="47" t="n"/>
      <c r="H121" s="47" t="n"/>
      <c r="I121" s="50">
        <f>IF(F121="","",IF(I120="",F121,I120+F121))</f>
        <v/>
      </c>
      <c r="J121" s="47" t="n"/>
    </row>
    <row r="122" ht="15.75" customHeight="1" s="99">
      <c r="A122" s="43" t="n">
        <v>118</v>
      </c>
      <c r="B122" s="53" t="n"/>
      <c r="C122" s="55" t="n"/>
      <c r="D122" s="55" t="n"/>
      <c r="E122" s="55" t="n"/>
      <c r="F122" s="63" t="n"/>
      <c r="G122" s="55" t="n"/>
      <c r="H122" s="55" t="n"/>
      <c r="I122" s="58">
        <f>IF(F122="","",IF(I121="",F122,I121+F122))</f>
        <v/>
      </c>
      <c r="J122" s="55" t="n"/>
    </row>
    <row r="123" ht="15.75" customHeight="1" s="99">
      <c r="A123" s="41" t="n">
        <v>119</v>
      </c>
      <c r="B123" s="45" t="n"/>
      <c r="C123" s="47" t="n"/>
      <c r="D123" s="47" t="n"/>
      <c r="E123" s="47" t="n"/>
      <c r="F123" s="62" t="n"/>
      <c r="G123" s="47" t="n"/>
      <c r="H123" s="47" t="n"/>
      <c r="I123" s="50">
        <f>IF(F123="","",IF(I122="",F123,I122+F123))</f>
        <v/>
      </c>
      <c r="J123" s="47" t="n"/>
    </row>
    <row r="124" ht="15.75" customHeight="1" s="99">
      <c r="A124" s="43" t="n">
        <v>120</v>
      </c>
      <c r="B124" s="53" t="n"/>
      <c r="C124" s="55" t="n"/>
      <c r="D124" s="55" t="n"/>
      <c r="E124" s="55" t="n"/>
      <c r="F124" s="63" t="n"/>
      <c r="G124" s="55" t="n"/>
      <c r="H124" s="55" t="n"/>
      <c r="I124" s="58">
        <f>IF(F124="","",IF(I123="",F124,I123+F124))</f>
        <v/>
      </c>
      <c r="J124" s="55" t="n"/>
    </row>
    <row r="125" ht="15.75" customHeight="1" s="99">
      <c r="A125" s="41" t="n">
        <v>121</v>
      </c>
      <c r="B125" s="45" t="n"/>
      <c r="C125" s="47" t="n"/>
      <c r="D125" s="47" t="n"/>
      <c r="E125" s="47" t="n"/>
      <c r="F125" s="62" t="n"/>
      <c r="G125" s="47" t="n"/>
      <c r="H125" s="47" t="n"/>
      <c r="I125" s="50">
        <f>IF(F125="","",IF(I124="",F125,I124+F125))</f>
        <v/>
      </c>
      <c r="J125" s="47" t="n"/>
    </row>
    <row r="126" ht="15.75" customHeight="1" s="99">
      <c r="A126" s="43" t="n">
        <v>122</v>
      </c>
      <c r="B126" s="53" t="n"/>
      <c r="C126" s="55" t="n"/>
      <c r="D126" s="55" t="n"/>
      <c r="E126" s="55" t="n"/>
      <c r="F126" s="63" t="n"/>
      <c r="G126" s="55" t="n"/>
      <c r="H126" s="55" t="n"/>
      <c r="I126" s="58">
        <f>IF(F126="","",IF(I125="",F126,I125+F126))</f>
        <v/>
      </c>
      <c r="J126" s="55" t="n"/>
    </row>
    <row r="127" ht="15.75" customHeight="1" s="99">
      <c r="A127" s="41" t="n">
        <v>123</v>
      </c>
      <c r="B127" s="45" t="n"/>
      <c r="C127" s="47" t="n"/>
      <c r="D127" s="47" t="n"/>
      <c r="E127" s="47" t="n"/>
      <c r="F127" s="62" t="n"/>
      <c r="G127" s="47" t="n"/>
      <c r="H127" s="47" t="n"/>
      <c r="I127" s="50">
        <f>IF(F127="","",IF(I126="",F127,I126+F127))</f>
        <v/>
      </c>
      <c r="J127" s="47" t="n"/>
    </row>
    <row r="128" ht="15.75" customHeight="1" s="99">
      <c r="A128" s="43" t="n">
        <v>124</v>
      </c>
      <c r="B128" s="53" t="n"/>
      <c r="C128" s="55" t="n"/>
      <c r="D128" s="55" t="n"/>
      <c r="E128" s="55" t="n"/>
      <c r="F128" s="63" t="n"/>
      <c r="G128" s="55" t="n"/>
      <c r="H128" s="55" t="n"/>
      <c r="I128" s="58">
        <f>IF(F128="","",IF(I127="",F128,I127+F128))</f>
        <v/>
      </c>
      <c r="J128" s="55" t="n"/>
    </row>
    <row r="129" ht="15.75" customHeight="1" s="99">
      <c r="A129" s="41" t="n">
        <v>125</v>
      </c>
      <c r="B129" s="45" t="n"/>
      <c r="C129" s="47" t="n"/>
      <c r="D129" s="47" t="n"/>
      <c r="E129" s="47" t="n"/>
      <c r="F129" s="62" t="n"/>
      <c r="G129" s="47" t="n"/>
      <c r="H129" s="47" t="n"/>
      <c r="I129" s="50">
        <f>IF(F129="","",IF(I128="",F129,I128+F129))</f>
        <v/>
      </c>
      <c r="J129" s="47" t="n"/>
    </row>
    <row r="130" ht="15.75" customHeight="1" s="99">
      <c r="A130" s="43" t="n">
        <v>126</v>
      </c>
      <c r="B130" s="53" t="n"/>
      <c r="C130" s="55" t="n"/>
      <c r="D130" s="55" t="n"/>
      <c r="E130" s="55" t="n"/>
      <c r="F130" s="63" t="n"/>
      <c r="G130" s="55" t="n"/>
      <c r="H130" s="55" t="n"/>
      <c r="I130" s="58">
        <f>IF(F130="","",IF(I129="",F130,I129+F130))</f>
        <v/>
      </c>
      <c r="J130" s="55" t="n"/>
    </row>
    <row r="131" ht="15.75" customHeight="1" s="99">
      <c r="A131" s="41" t="n">
        <v>127</v>
      </c>
      <c r="B131" s="45" t="n"/>
      <c r="C131" s="47" t="n"/>
      <c r="D131" s="47" t="n"/>
      <c r="E131" s="47" t="n"/>
      <c r="F131" s="62" t="n"/>
      <c r="G131" s="47" t="n"/>
      <c r="H131" s="47" t="n"/>
      <c r="I131" s="50">
        <f>IF(F131="","",IF(I130="",F131,I130+F131))</f>
        <v/>
      </c>
      <c r="J131" s="47" t="n"/>
    </row>
    <row r="132" ht="15.75" customHeight="1" s="99">
      <c r="A132" s="43" t="n">
        <v>128</v>
      </c>
      <c r="B132" s="53" t="n"/>
      <c r="C132" s="55" t="n"/>
      <c r="D132" s="55" t="n"/>
      <c r="E132" s="55" t="n"/>
      <c r="F132" s="63" t="n"/>
      <c r="G132" s="55" t="n"/>
      <c r="H132" s="55" t="n"/>
      <c r="I132" s="58">
        <f>IF(F132="","",IF(I131="",F132,I131+F132))</f>
        <v/>
      </c>
      <c r="J132" s="55" t="n"/>
    </row>
    <row r="133" ht="15.75" customHeight="1" s="99">
      <c r="A133" s="41" t="n">
        <v>129</v>
      </c>
      <c r="B133" s="45" t="n"/>
      <c r="C133" s="47" t="n"/>
      <c r="D133" s="47" t="n"/>
      <c r="E133" s="47" t="n"/>
      <c r="F133" s="62" t="n"/>
      <c r="G133" s="47" t="n"/>
      <c r="H133" s="47" t="n"/>
      <c r="I133" s="50">
        <f>IF(F133="","",IF(I132="",F133,I132+F133))</f>
        <v/>
      </c>
      <c r="J133" s="47" t="n"/>
    </row>
    <row r="134" ht="15.75" customHeight="1" s="99">
      <c r="A134" s="43" t="n">
        <v>130</v>
      </c>
      <c r="B134" s="53" t="n"/>
      <c r="C134" s="55" t="n"/>
      <c r="D134" s="55" t="n"/>
      <c r="E134" s="55" t="n"/>
      <c r="F134" s="63" t="n"/>
      <c r="G134" s="55" t="n"/>
      <c r="H134" s="55" t="n"/>
      <c r="I134" s="58">
        <f>IF(F134="","",IF(I133="",F134,I133+F134))</f>
        <v/>
      </c>
      <c r="J134" s="55" t="n"/>
    </row>
    <row r="135" ht="15.75" customHeight="1" s="99">
      <c r="A135" s="41" t="n">
        <v>131</v>
      </c>
      <c r="B135" s="45" t="n"/>
      <c r="C135" s="47" t="n"/>
      <c r="D135" s="47" t="n"/>
      <c r="E135" s="47" t="n"/>
      <c r="F135" s="62" t="n"/>
      <c r="G135" s="47" t="n"/>
      <c r="H135" s="47" t="n"/>
      <c r="I135" s="50">
        <f>IF(F135="","",IF(I134="",F135,I134+F135))</f>
        <v/>
      </c>
      <c r="J135" s="47" t="n"/>
    </row>
    <row r="136" ht="15.75" customHeight="1" s="99">
      <c r="A136" s="43" t="n">
        <v>132</v>
      </c>
      <c r="B136" s="53" t="n"/>
      <c r="C136" s="55" t="n"/>
      <c r="D136" s="55" t="n"/>
      <c r="E136" s="55" t="n"/>
      <c r="F136" s="63" t="n"/>
      <c r="G136" s="55" t="n"/>
      <c r="H136" s="55" t="n"/>
      <c r="I136" s="58">
        <f>IF(F136="","",IF(I135="",F136,I135+F136))</f>
        <v/>
      </c>
      <c r="J136" s="55" t="n"/>
    </row>
    <row r="137" ht="15.75" customHeight="1" s="99">
      <c r="A137" s="41" t="n">
        <v>133</v>
      </c>
      <c r="B137" s="45" t="n"/>
      <c r="C137" s="47" t="n"/>
      <c r="D137" s="47" t="n"/>
      <c r="E137" s="47" t="n"/>
      <c r="F137" s="62" t="n"/>
      <c r="G137" s="47" t="n"/>
      <c r="H137" s="47" t="n"/>
      <c r="I137" s="50">
        <f>IF(F137="","",IF(I136="",F137,I136+F137))</f>
        <v/>
      </c>
      <c r="J137" s="47" t="n"/>
    </row>
    <row r="138" ht="15.75" customHeight="1" s="99">
      <c r="A138" s="43" t="n">
        <v>134</v>
      </c>
      <c r="B138" s="53" t="n"/>
      <c r="C138" s="55" t="n"/>
      <c r="D138" s="55" t="n"/>
      <c r="E138" s="55" t="n"/>
      <c r="F138" s="63" t="n"/>
      <c r="G138" s="55" t="n"/>
      <c r="H138" s="55" t="n"/>
      <c r="I138" s="58">
        <f>IF(F138="","",IF(I137="",F138,I137+F138))</f>
        <v/>
      </c>
      <c r="J138" s="55" t="n"/>
    </row>
    <row r="139" ht="15.75" customHeight="1" s="99">
      <c r="A139" s="41" t="n">
        <v>135</v>
      </c>
      <c r="B139" s="45" t="n"/>
      <c r="C139" s="47" t="n"/>
      <c r="D139" s="47" t="n"/>
      <c r="E139" s="47" t="n"/>
      <c r="F139" s="62" t="n"/>
      <c r="G139" s="47" t="n"/>
      <c r="H139" s="47" t="n"/>
      <c r="I139" s="50">
        <f>IF(F139="","",IF(I138="",F139,I138+F139))</f>
        <v/>
      </c>
      <c r="J139" s="47" t="n"/>
    </row>
    <row r="140" ht="15.75" customHeight="1" s="99">
      <c r="A140" s="43" t="n">
        <v>136</v>
      </c>
      <c r="B140" s="53" t="n"/>
      <c r="C140" s="55" t="n"/>
      <c r="D140" s="55" t="n"/>
      <c r="E140" s="55" t="n"/>
      <c r="F140" s="63" t="n"/>
      <c r="G140" s="55" t="n"/>
      <c r="H140" s="55" t="n"/>
      <c r="I140" s="58">
        <f>IF(F140="","",IF(I139="",F140,I139+F140))</f>
        <v/>
      </c>
      <c r="J140" s="55" t="n"/>
    </row>
    <row r="141" ht="15.75" customHeight="1" s="99">
      <c r="A141" s="41" t="n">
        <v>137</v>
      </c>
      <c r="B141" s="45" t="n"/>
      <c r="C141" s="47" t="n"/>
      <c r="D141" s="47" t="n"/>
      <c r="E141" s="47" t="n"/>
      <c r="F141" s="62" t="n"/>
      <c r="G141" s="47" t="n"/>
      <c r="H141" s="47" t="n"/>
      <c r="I141" s="50">
        <f>IF(F141="","",IF(I140="",F141,I140+F141))</f>
        <v/>
      </c>
      <c r="J141" s="47" t="n"/>
    </row>
    <row r="142" ht="15.75" customHeight="1" s="99">
      <c r="A142" s="43" t="n">
        <v>138</v>
      </c>
      <c r="B142" s="53" t="n"/>
      <c r="C142" s="55" t="n"/>
      <c r="D142" s="55" t="n"/>
      <c r="E142" s="55" t="n"/>
      <c r="F142" s="63" t="n"/>
      <c r="G142" s="55" t="n"/>
      <c r="H142" s="55" t="n"/>
      <c r="I142" s="58">
        <f>IF(F142="","",IF(I141="",F142,I141+F142))</f>
        <v/>
      </c>
      <c r="J142" s="55" t="n"/>
    </row>
    <row r="143" ht="15.75" customHeight="1" s="99">
      <c r="A143" s="41" t="n">
        <v>139</v>
      </c>
      <c r="B143" s="45" t="n"/>
      <c r="C143" s="47" t="n"/>
      <c r="D143" s="47" t="n"/>
      <c r="E143" s="47" t="n"/>
      <c r="F143" s="62" t="n"/>
      <c r="G143" s="47" t="n"/>
      <c r="H143" s="47" t="n"/>
      <c r="I143" s="50">
        <f>IF(F143="","",IF(I142="",F143,I142+F143))</f>
        <v/>
      </c>
      <c r="J143" s="47" t="n"/>
    </row>
    <row r="144" ht="15.75" customHeight="1" s="99">
      <c r="A144" s="43" t="n">
        <v>140</v>
      </c>
      <c r="B144" s="53" t="n"/>
      <c r="C144" s="55" t="n"/>
      <c r="D144" s="55" t="n"/>
      <c r="E144" s="55" t="n"/>
      <c r="F144" s="63" t="n"/>
      <c r="G144" s="55" t="n"/>
      <c r="H144" s="55" t="n"/>
      <c r="I144" s="58">
        <f>IF(F144="","",IF(I143="",F144,I143+F144))</f>
        <v/>
      </c>
      <c r="J144" s="55" t="n"/>
    </row>
    <row r="145" ht="15.75" customHeight="1" s="99">
      <c r="A145" s="41" t="n">
        <v>141</v>
      </c>
      <c r="B145" s="45" t="n"/>
      <c r="C145" s="47" t="n"/>
      <c r="D145" s="47" t="n"/>
      <c r="E145" s="47" t="n"/>
      <c r="F145" s="62" t="n"/>
      <c r="G145" s="47" t="n"/>
      <c r="H145" s="47" t="n"/>
      <c r="I145" s="50">
        <f>IF(F145="","",IF(I144="",F145,I144+F145))</f>
        <v/>
      </c>
      <c r="J145" s="47" t="n"/>
    </row>
    <row r="146" ht="15.75" customHeight="1" s="99">
      <c r="A146" s="43" t="n">
        <v>142</v>
      </c>
      <c r="B146" s="53" t="n"/>
      <c r="C146" s="55" t="n"/>
      <c r="D146" s="55" t="n"/>
      <c r="E146" s="55" t="n"/>
      <c r="F146" s="63" t="n"/>
      <c r="G146" s="55" t="n"/>
      <c r="H146" s="55" t="n"/>
      <c r="I146" s="58">
        <f>IF(F146="","",IF(I145="",F146,I145+F146))</f>
        <v/>
      </c>
      <c r="J146" s="55" t="n"/>
    </row>
    <row r="147" ht="15.75" customHeight="1" s="99">
      <c r="A147" s="41" t="n">
        <v>143</v>
      </c>
      <c r="B147" s="45" t="n"/>
      <c r="C147" s="47" t="n"/>
      <c r="D147" s="47" t="n"/>
      <c r="E147" s="47" t="n"/>
      <c r="F147" s="62" t="n"/>
      <c r="G147" s="47" t="n"/>
      <c r="H147" s="47" t="n"/>
      <c r="I147" s="50">
        <f>IF(F147="","",IF(I146="",F147,I146+F147))</f>
        <v/>
      </c>
      <c r="J147" s="47" t="n"/>
    </row>
    <row r="148" ht="15.75" customHeight="1" s="99">
      <c r="A148" s="43" t="n">
        <v>144</v>
      </c>
      <c r="B148" s="53" t="n"/>
      <c r="C148" s="55" t="n"/>
      <c r="D148" s="55" t="n"/>
      <c r="E148" s="55" t="n"/>
      <c r="F148" s="63" t="n"/>
      <c r="G148" s="55" t="n"/>
      <c r="H148" s="55" t="n"/>
      <c r="I148" s="58">
        <f>IF(F148="","",IF(I147="",F148,I147+F148))</f>
        <v/>
      </c>
      <c r="J148" s="55" t="n"/>
    </row>
    <row r="149" ht="15.75" customHeight="1" s="99">
      <c r="A149" s="41" t="n">
        <v>145</v>
      </c>
      <c r="B149" s="45" t="n"/>
      <c r="C149" s="47" t="n"/>
      <c r="D149" s="47" t="n"/>
      <c r="E149" s="47" t="n"/>
      <c r="F149" s="62" t="n"/>
      <c r="G149" s="47" t="n"/>
      <c r="H149" s="47" t="n"/>
      <c r="I149" s="50">
        <f>IF(F149="","",IF(I148="",F149,I148+F149))</f>
        <v/>
      </c>
      <c r="J149" s="47" t="n"/>
    </row>
    <row r="150" ht="15.75" customHeight="1" s="99">
      <c r="A150" s="43" t="n">
        <v>146</v>
      </c>
      <c r="B150" s="53" t="n"/>
      <c r="C150" s="55" t="n"/>
      <c r="D150" s="55" t="n"/>
      <c r="E150" s="55" t="n"/>
      <c r="F150" s="63" t="n"/>
      <c r="G150" s="55" t="n"/>
      <c r="H150" s="55" t="n"/>
      <c r="I150" s="58">
        <f>IF(F150="","",IF(I149="",F150,I149+F150))</f>
        <v/>
      </c>
      <c r="J150" s="55" t="n"/>
    </row>
    <row r="151" ht="15.75" customHeight="1" s="99">
      <c r="A151" s="41" t="n">
        <v>147</v>
      </c>
      <c r="B151" s="45" t="n"/>
      <c r="C151" s="47" t="n"/>
      <c r="D151" s="47" t="n"/>
      <c r="E151" s="47" t="n"/>
      <c r="F151" s="62" t="n"/>
      <c r="G151" s="47" t="n"/>
      <c r="H151" s="47" t="n"/>
      <c r="I151" s="50">
        <f>IF(F151="","",IF(I150="",F151,I150+F151))</f>
        <v/>
      </c>
      <c r="J151" s="47" t="n"/>
    </row>
    <row r="152" ht="15.75" customHeight="1" s="99">
      <c r="A152" s="43" t="n">
        <v>148</v>
      </c>
      <c r="B152" s="53" t="n"/>
      <c r="C152" s="55" t="n"/>
      <c r="D152" s="55" t="n"/>
      <c r="E152" s="55" t="n"/>
      <c r="F152" s="63" t="n"/>
      <c r="G152" s="55" t="n"/>
      <c r="H152" s="55" t="n"/>
      <c r="I152" s="58">
        <f>IF(F152="","",IF(I151="",F152,I151+F152))</f>
        <v/>
      </c>
      <c r="J152" s="55" t="n"/>
    </row>
    <row r="153" ht="15.75" customHeight="1" s="99">
      <c r="A153" s="41" t="n">
        <v>149</v>
      </c>
      <c r="B153" s="45" t="n"/>
      <c r="C153" s="47" t="n"/>
      <c r="D153" s="47" t="n"/>
      <c r="E153" s="47" t="n"/>
      <c r="F153" s="62" t="n"/>
      <c r="G153" s="47" t="n"/>
      <c r="H153" s="47" t="n"/>
      <c r="I153" s="50">
        <f>IF(F153="","",IF(I152="",F153,I152+F153))</f>
        <v/>
      </c>
      <c r="J153" s="47" t="n"/>
    </row>
    <row r="154" ht="15.75" customHeight="1" s="99">
      <c r="A154" s="43" t="n">
        <v>150</v>
      </c>
      <c r="B154" s="53" t="n"/>
      <c r="C154" s="55" t="n"/>
      <c r="D154" s="55" t="n"/>
      <c r="E154" s="55" t="n"/>
      <c r="F154" s="63" t="n"/>
      <c r="G154" s="55" t="n"/>
      <c r="H154" s="55" t="n"/>
      <c r="I154" s="58">
        <f>IF(F154="","",IF(I153="",F154,I153+F154))</f>
        <v/>
      </c>
      <c r="J154" s="55" t="n"/>
    </row>
    <row r="155" ht="15.75" customHeight="1" s="99">
      <c r="A155" s="41" t="n">
        <v>151</v>
      </c>
      <c r="B155" s="45" t="n"/>
      <c r="C155" s="47" t="n"/>
      <c r="D155" s="47" t="n"/>
      <c r="E155" s="47" t="n"/>
      <c r="F155" s="62" t="n"/>
      <c r="G155" s="47" t="n"/>
      <c r="H155" s="47" t="n"/>
      <c r="I155" s="50">
        <f>IF(F155="","",IF(I154="",F155,I154+F155))</f>
        <v/>
      </c>
      <c r="J155" s="47" t="n"/>
    </row>
    <row r="156" ht="15.75" customHeight="1" s="99">
      <c r="A156" s="43" t="n">
        <v>152</v>
      </c>
      <c r="B156" s="53" t="n"/>
      <c r="C156" s="55" t="n"/>
      <c r="D156" s="55" t="n"/>
      <c r="E156" s="55" t="n"/>
      <c r="F156" s="63" t="n"/>
      <c r="G156" s="55" t="n"/>
      <c r="H156" s="55" t="n"/>
      <c r="I156" s="58">
        <f>IF(F156="","",IF(I155="",F156,I155+F156))</f>
        <v/>
      </c>
      <c r="J156" s="55" t="n"/>
    </row>
    <row r="157" ht="15.75" customHeight="1" s="99">
      <c r="A157" s="41" t="n">
        <v>153</v>
      </c>
      <c r="B157" s="45" t="n"/>
      <c r="C157" s="47" t="n"/>
      <c r="D157" s="47" t="n"/>
      <c r="E157" s="47" t="n"/>
      <c r="F157" s="62" t="n"/>
      <c r="G157" s="47" t="n"/>
      <c r="H157" s="47" t="n"/>
      <c r="I157" s="50">
        <f>IF(F157="","",IF(I156="",F157,I156+F157))</f>
        <v/>
      </c>
      <c r="J157" s="47" t="n"/>
    </row>
    <row r="158" ht="15.75" customHeight="1" s="99">
      <c r="A158" s="43" t="n">
        <v>154</v>
      </c>
      <c r="B158" s="53" t="n"/>
      <c r="C158" s="55" t="n"/>
      <c r="D158" s="55" t="n"/>
      <c r="E158" s="55" t="n"/>
      <c r="F158" s="63" t="n"/>
      <c r="G158" s="55" t="n"/>
      <c r="H158" s="55" t="n"/>
      <c r="I158" s="58">
        <f>IF(F158="","",IF(I157="",F158,I157+F158))</f>
        <v/>
      </c>
      <c r="J158" s="55" t="n"/>
    </row>
    <row r="159" ht="15.75" customHeight="1" s="99">
      <c r="A159" s="41" t="n">
        <v>155</v>
      </c>
      <c r="B159" s="45" t="n"/>
      <c r="C159" s="47" t="n"/>
      <c r="D159" s="47" t="n"/>
      <c r="E159" s="47" t="n"/>
      <c r="F159" s="62" t="n"/>
      <c r="G159" s="47" t="n"/>
      <c r="H159" s="47" t="n"/>
      <c r="I159" s="50">
        <f>IF(F159="","",IF(I158="",F159,I158+F159))</f>
        <v/>
      </c>
      <c r="J159" s="47" t="n"/>
    </row>
    <row r="160" ht="15.75" customHeight="1" s="99">
      <c r="A160" s="43" t="n">
        <v>156</v>
      </c>
      <c r="B160" s="53" t="n"/>
      <c r="C160" s="55" t="n"/>
      <c r="D160" s="55" t="n"/>
      <c r="E160" s="55" t="n"/>
      <c r="F160" s="63" t="n"/>
      <c r="G160" s="55" t="n"/>
      <c r="H160" s="55" t="n"/>
      <c r="I160" s="58">
        <f>IF(F160="","",IF(I159="",F160,I159+F160))</f>
        <v/>
      </c>
      <c r="J160" s="55" t="n"/>
    </row>
    <row r="161" ht="15.75" customHeight="1" s="99">
      <c r="A161" s="41" t="n">
        <v>157</v>
      </c>
      <c r="B161" s="45" t="n"/>
      <c r="C161" s="47" t="n"/>
      <c r="D161" s="47" t="n"/>
      <c r="E161" s="47" t="n"/>
      <c r="F161" s="62" t="n"/>
      <c r="G161" s="47" t="n"/>
      <c r="H161" s="47" t="n"/>
      <c r="I161" s="50">
        <f>IF(F161="","",IF(I160="",F161,I160+F161))</f>
        <v/>
      </c>
      <c r="J161" s="47" t="n"/>
    </row>
    <row r="162" ht="15.75" customHeight="1" s="99">
      <c r="A162" s="43" t="n">
        <v>158</v>
      </c>
      <c r="B162" s="53" t="n"/>
      <c r="C162" s="55" t="n"/>
      <c r="D162" s="55" t="n"/>
      <c r="E162" s="55" t="n"/>
      <c r="F162" s="63" t="n"/>
      <c r="G162" s="55" t="n"/>
      <c r="H162" s="55" t="n"/>
      <c r="I162" s="58">
        <f>IF(F162="","",IF(I161="",F162,I161+F162))</f>
        <v/>
      </c>
      <c r="J162" s="55" t="n"/>
    </row>
    <row r="163" ht="15.75" customHeight="1" s="99">
      <c r="A163" s="41" t="n">
        <v>159</v>
      </c>
      <c r="B163" s="45" t="n"/>
      <c r="C163" s="47" t="n"/>
      <c r="D163" s="47" t="n"/>
      <c r="E163" s="47" t="n"/>
      <c r="F163" s="62" t="n"/>
      <c r="G163" s="47" t="n"/>
      <c r="H163" s="47" t="n"/>
      <c r="I163" s="50">
        <f>IF(F163="","",IF(I162="",F163,I162+F163))</f>
        <v/>
      </c>
      <c r="J163" s="47" t="n"/>
    </row>
    <row r="164" ht="15.75" customHeight="1" s="99">
      <c r="A164" s="43" t="n">
        <v>160</v>
      </c>
      <c r="B164" s="53" t="n"/>
      <c r="C164" s="55" t="n"/>
      <c r="D164" s="55" t="n"/>
      <c r="E164" s="55" t="n"/>
      <c r="F164" s="63" t="n"/>
      <c r="G164" s="55" t="n"/>
      <c r="H164" s="55" t="n"/>
      <c r="I164" s="58">
        <f>IF(F164="","",IF(I163="",F164,I163+F164))</f>
        <v/>
      </c>
      <c r="J164" s="55" t="n"/>
    </row>
    <row r="165" ht="15.75" customHeight="1" s="99">
      <c r="A165" s="41" t="n">
        <v>161</v>
      </c>
      <c r="B165" s="45" t="n"/>
      <c r="C165" s="47" t="n"/>
      <c r="D165" s="47" t="n"/>
      <c r="E165" s="47" t="n"/>
      <c r="F165" s="62" t="n"/>
      <c r="G165" s="47" t="n"/>
      <c r="H165" s="47" t="n"/>
      <c r="I165" s="50">
        <f>IF(F165="","",IF(I164="",F165,I164+F165))</f>
        <v/>
      </c>
      <c r="J165" s="47" t="n"/>
    </row>
    <row r="166" ht="15.75" customHeight="1" s="99">
      <c r="A166" s="43" t="n">
        <v>162</v>
      </c>
      <c r="B166" s="53" t="n"/>
      <c r="C166" s="55" t="n"/>
      <c r="D166" s="55" t="n"/>
      <c r="E166" s="55" t="n"/>
      <c r="F166" s="63" t="n"/>
      <c r="G166" s="55" t="n"/>
      <c r="H166" s="55" t="n"/>
      <c r="I166" s="58">
        <f>IF(F166="","",IF(I165="",F166,I165+F166))</f>
        <v/>
      </c>
      <c r="J166" s="55" t="n"/>
    </row>
    <row r="167" ht="15.75" customHeight="1" s="99">
      <c r="A167" s="41" t="n">
        <v>163</v>
      </c>
      <c r="B167" s="45" t="n"/>
      <c r="C167" s="47" t="n"/>
      <c r="D167" s="47" t="n"/>
      <c r="E167" s="47" t="n"/>
      <c r="F167" s="62" t="n"/>
      <c r="G167" s="47" t="n"/>
      <c r="H167" s="47" t="n"/>
      <c r="I167" s="50">
        <f>IF(F167="","",IF(I166="",F167,I166+F167))</f>
        <v/>
      </c>
      <c r="J167" s="47" t="n"/>
    </row>
    <row r="168" ht="15.75" customHeight="1" s="99">
      <c r="A168" s="43" t="n">
        <v>164</v>
      </c>
      <c r="B168" s="53" t="n"/>
      <c r="C168" s="55" t="n"/>
      <c r="D168" s="55" t="n"/>
      <c r="E168" s="55" t="n"/>
      <c r="F168" s="63" t="n"/>
      <c r="G168" s="55" t="n"/>
      <c r="H168" s="55" t="n"/>
      <c r="I168" s="58">
        <f>IF(F168="","",IF(I167="",F168,I167+F168))</f>
        <v/>
      </c>
      <c r="J168" s="55" t="n"/>
    </row>
    <row r="169" ht="15.75" customHeight="1" s="99">
      <c r="A169" s="41" t="n">
        <v>165</v>
      </c>
      <c r="B169" s="45" t="n"/>
      <c r="C169" s="47" t="n"/>
      <c r="D169" s="47" t="n"/>
      <c r="E169" s="47" t="n"/>
      <c r="F169" s="62" t="n"/>
      <c r="G169" s="47" t="n"/>
      <c r="H169" s="47" t="n"/>
      <c r="I169" s="50">
        <f>IF(F169="","",IF(I168="",F169,I168+F169))</f>
        <v/>
      </c>
      <c r="J169" s="47" t="n"/>
    </row>
    <row r="170" ht="15.75" customHeight="1" s="99">
      <c r="A170" s="43" t="n">
        <v>166</v>
      </c>
      <c r="B170" s="53" t="n"/>
      <c r="C170" s="55" t="n"/>
      <c r="D170" s="55" t="n"/>
      <c r="E170" s="55" t="n"/>
      <c r="F170" s="63" t="n"/>
      <c r="G170" s="55" t="n"/>
      <c r="H170" s="55" t="n"/>
      <c r="I170" s="58">
        <f>IF(F170="","",IF(I169="",F170,I169+F170))</f>
        <v/>
      </c>
      <c r="J170" s="55" t="n"/>
    </row>
    <row r="171" ht="15.75" customHeight="1" s="99">
      <c r="A171" s="41" t="n">
        <v>167</v>
      </c>
      <c r="B171" s="45" t="n"/>
      <c r="C171" s="47" t="n"/>
      <c r="D171" s="47" t="n"/>
      <c r="E171" s="47" t="n"/>
      <c r="F171" s="62" t="n"/>
      <c r="G171" s="47" t="n"/>
      <c r="H171" s="47" t="n"/>
      <c r="I171" s="50">
        <f>IF(F171="","",IF(I170="",F171,I170+F171))</f>
        <v/>
      </c>
      <c r="J171" s="47" t="n"/>
    </row>
    <row r="172" ht="15.75" customHeight="1" s="99">
      <c r="A172" s="43" t="n">
        <v>168</v>
      </c>
      <c r="B172" s="53" t="n"/>
      <c r="C172" s="55" t="n"/>
      <c r="D172" s="55" t="n"/>
      <c r="E172" s="55" t="n"/>
      <c r="F172" s="63" t="n"/>
      <c r="G172" s="55" t="n"/>
      <c r="H172" s="55" t="n"/>
      <c r="I172" s="58">
        <f>IF(F172="","",IF(I171="",F172,I171+F172))</f>
        <v/>
      </c>
      <c r="J172" s="55" t="n"/>
    </row>
    <row r="173" ht="15.75" customHeight="1" s="99">
      <c r="A173" s="41" t="n">
        <v>169</v>
      </c>
      <c r="B173" s="45" t="n"/>
      <c r="C173" s="47" t="n"/>
      <c r="D173" s="47" t="n"/>
      <c r="E173" s="47" t="n"/>
      <c r="F173" s="62" t="n"/>
      <c r="G173" s="47" t="n"/>
      <c r="H173" s="47" t="n"/>
      <c r="I173" s="50">
        <f>IF(F173="","",IF(I172="",F173,I172+F173))</f>
        <v/>
      </c>
      <c r="J173" s="47" t="n"/>
    </row>
    <row r="174" ht="15.75" customHeight="1" s="99">
      <c r="A174" s="43" t="n">
        <v>170</v>
      </c>
      <c r="B174" s="53" t="n"/>
      <c r="C174" s="55" t="n"/>
      <c r="D174" s="55" t="n"/>
      <c r="E174" s="55" t="n"/>
      <c r="F174" s="63" t="n"/>
      <c r="G174" s="55" t="n"/>
      <c r="H174" s="55" t="n"/>
      <c r="I174" s="58">
        <f>IF(F174="","",IF(I173="",F174,I173+F174))</f>
        <v/>
      </c>
      <c r="J174" s="55" t="n"/>
    </row>
    <row r="175" ht="15.75" customHeight="1" s="99">
      <c r="A175" s="41" t="n">
        <v>171</v>
      </c>
      <c r="B175" s="45" t="n"/>
      <c r="C175" s="47" t="n"/>
      <c r="D175" s="47" t="n"/>
      <c r="E175" s="47" t="n"/>
      <c r="F175" s="62" t="n"/>
      <c r="G175" s="47" t="n"/>
      <c r="H175" s="47" t="n"/>
      <c r="I175" s="50">
        <f>IF(F175="","",IF(I174="",F175,I174+F175))</f>
        <v/>
      </c>
      <c r="J175" s="47" t="n"/>
    </row>
    <row r="176" ht="15.75" customHeight="1" s="99">
      <c r="A176" s="43" t="n">
        <v>172</v>
      </c>
      <c r="B176" s="53" t="n"/>
      <c r="C176" s="55" t="n"/>
      <c r="D176" s="55" t="n"/>
      <c r="E176" s="55" t="n"/>
      <c r="F176" s="63" t="n"/>
      <c r="G176" s="55" t="n"/>
      <c r="H176" s="55" t="n"/>
      <c r="I176" s="58">
        <f>IF(F176="","",IF(I175="",F176,I175+F176))</f>
        <v/>
      </c>
      <c r="J176" s="55" t="n"/>
    </row>
    <row r="177" ht="15.75" customHeight="1" s="99">
      <c r="A177" s="41" t="n">
        <v>173</v>
      </c>
      <c r="B177" s="45" t="n"/>
      <c r="C177" s="47" t="n"/>
      <c r="D177" s="47" t="n"/>
      <c r="E177" s="47" t="n"/>
      <c r="F177" s="62" t="n"/>
      <c r="G177" s="47" t="n"/>
      <c r="H177" s="47" t="n"/>
      <c r="I177" s="50">
        <f>IF(F177="","",IF(I176="",F177,I176+F177))</f>
        <v/>
      </c>
      <c r="J177" s="47" t="n"/>
    </row>
    <row r="178" ht="15.75" customHeight="1" s="99">
      <c r="A178" s="43" t="n">
        <v>174</v>
      </c>
      <c r="B178" s="53" t="n"/>
      <c r="C178" s="55" t="n"/>
      <c r="D178" s="55" t="n"/>
      <c r="E178" s="55" t="n"/>
      <c r="F178" s="63" t="n"/>
      <c r="G178" s="55" t="n"/>
      <c r="H178" s="55" t="n"/>
      <c r="I178" s="58">
        <f>IF(F178="","",IF(I177="",F178,I177+F178))</f>
        <v/>
      </c>
      <c r="J178" s="55" t="n"/>
    </row>
    <row r="179" ht="15.75" customHeight="1" s="99">
      <c r="A179" s="41" t="n">
        <v>175</v>
      </c>
      <c r="B179" s="45" t="n"/>
      <c r="C179" s="47" t="n"/>
      <c r="D179" s="47" t="n"/>
      <c r="E179" s="47" t="n"/>
      <c r="F179" s="62" t="n"/>
      <c r="G179" s="47" t="n"/>
      <c r="H179" s="47" t="n"/>
      <c r="I179" s="50">
        <f>IF(F179="","",IF(I178="",F179,I178+F179))</f>
        <v/>
      </c>
      <c r="J179" s="47" t="n"/>
    </row>
    <row r="180" ht="15.75" customHeight="1" s="99">
      <c r="A180" s="43" t="n">
        <v>176</v>
      </c>
      <c r="B180" s="53" t="n"/>
      <c r="C180" s="55" t="n"/>
      <c r="D180" s="55" t="n"/>
      <c r="E180" s="55" t="n"/>
      <c r="F180" s="63" t="n"/>
      <c r="G180" s="55" t="n"/>
      <c r="H180" s="55" t="n"/>
      <c r="I180" s="58">
        <f>IF(F180="","",IF(I179="",F180,I179+F180))</f>
        <v/>
      </c>
      <c r="J180" s="55" t="n"/>
    </row>
    <row r="181" ht="15.75" customHeight="1" s="99">
      <c r="A181" s="41" t="n">
        <v>177</v>
      </c>
      <c r="B181" s="45" t="n"/>
      <c r="C181" s="47" t="n"/>
      <c r="D181" s="47" t="n"/>
      <c r="E181" s="47" t="n"/>
      <c r="F181" s="62" t="n"/>
      <c r="G181" s="47" t="n"/>
      <c r="H181" s="47" t="n"/>
      <c r="I181" s="50">
        <f>IF(F181="","",IF(I180="",F181,I180+F181))</f>
        <v/>
      </c>
      <c r="J181" s="47" t="n"/>
    </row>
    <row r="182" ht="15.75" customHeight="1" s="99">
      <c r="A182" s="43" t="n">
        <v>178</v>
      </c>
      <c r="B182" s="53" t="n"/>
      <c r="C182" s="55" t="n"/>
      <c r="D182" s="55" t="n"/>
      <c r="E182" s="55" t="n"/>
      <c r="F182" s="63" t="n"/>
      <c r="G182" s="55" t="n"/>
      <c r="H182" s="55" t="n"/>
      <c r="I182" s="58">
        <f>IF(F182="","",IF(I181="",F182,I181+F182))</f>
        <v/>
      </c>
      <c r="J182" s="55" t="n"/>
    </row>
    <row r="183" ht="15.75" customHeight="1" s="99">
      <c r="A183" s="41" t="n">
        <v>179</v>
      </c>
      <c r="B183" s="45" t="n"/>
      <c r="C183" s="47" t="n"/>
      <c r="D183" s="47" t="n"/>
      <c r="E183" s="47" t="n"/>
      <c r="F183" s="62" t="n"/>
      <c r="G183" s="47" t="n"/>
      <c r="H183" s="47" t="n"/>
      <c r="I183" s="50">
        <f>IF(F183="","",IF(I182="",F183,I182+F183))</f>
        <v/>
      </c>
      <c r="J183" s="47" t="n"/>
    </row>
    <row r="184" ht="15.75" customHeight="1" s="99">
      <c r="A184" s="43" t="n">
        <v>180</v>
      </c>
      <c r="B184" s="53" t="n"/>
      <c r="C184" s="55" t="n"/>
      <c r="D184" s="55" t="n"/>
      <c r="E184" s="55" t="n"/>
      <c r="F184" s="63" t="n"/>
      <c r="G184" s="55" t="n"/>
      <c r="H184" s="55" t="n"/>
      <c r="I184" s="58">
        <f>IF(F184="","",IF(I183="",F184,I183+F184))</f>
        <v/>
      </c>
      <c r="J184" s="55" t="n"/>
    </row>
    <row r="185" ht="15.75" customHeight="1" s="99">
      <c r="A185" s="41" t="n">
        <v>181</v>
      </c>
      <c r="B185" s="45" t="n"/>
      <c r="C185" s="47" t="n"/>
      <c r="D185" s="47" t="n"/>
      <c r="E185" s="47" t="n"/>
      <c r="F185" s="62" t="n"/>
      <c r="G185" s="47" t="n"/>
      <c r="H185" s="47" t="n"/>
      <c r="I185" s="50">
        <f>IF(F185="","",IF(I184="",F185,I184+F185))</f>
        <v/>
      </c>
      <c r="J185" s="47" t="n"/>
    </row>
    <row r="186" ht="15.75" customHeight="1" s="99">
      <c r="A186" s="43" t="n">
        <v>182</v>
      </c>
      <c r="B186" s="53" t="n"/>
      <c r="C186" s="55" t="n"/>
      <c r="D186" s="55" t="n"/>
      <c r="E186" s="55" t="n"/>
      <c r="F186" s="63" t="n"/>
      <c r="G186" s="55" t="n"/>
      <c r="H186" s="55" t="n"/>
      <c r="I186" s="58">
        <f>IF(F186="","",IF(I185="",F186,I185+F186))</f>
        <v/>
      </c>
      <c r="J186" s="55" t="n"/>
    </row>
    <row r="187" ht="15.75" customHeight="1" s="99">
      <c r="A187" s="41" t="n">
        <v>183</v>
      </c>
      <c r="B187" s="45" t="n"/>
      <c r="C187" s="47" t="n"/>
      <c r="D187" s="47" t="n"/>
      <c r="E187" s="47" t="n"/>
      <c r="F187" s="62" t="n"/>
      <c r="G187" s="47" t="n"/>
      <c r="H187" s="47" t="n"/>
      <c r="I187" s="50">
        <f>IF(F187="","",IF(I186="",F187,I186+F187))</f>
        <v/>
      </c>
      <c r="J187" s="47" t="n"/>
    </row>
    <row r="188" ht="15.75" customHeight="1" s="99">
      <c r="A188" s="43" t="n">
        <v>184</v>
      </c>
      <c r="B188" s="53" t="n"/>
      <c r="C188" s="55" t="n"/>
      <c r="D188" s="55" t="n"/>
      <c r="E188" s="55" t="n"/>
      <c r="F188" s="63" t="n"/>
      <c r="G188" s="55" t="n"/>
      <c r="H188" s="55" t="n"/>
      <c r="I188" s="58">
        <f>IF(F188="","",IF(I187="",F188,I187+F188))</f>
        <v/>
      </c>
      <c r="J188" s="55" t="n"/>
    </row>
    <row r="189" ht="15.75" customHeight="1" s="99">
      <c r="A189" s="41" t="n">
        <v>185</v>
      </c>
      <c r="B189" s="45" t="n"/>
      <c r="C189" s="47" t="n"/>
      <c r="D189" s="47" t="n"/>
      <c r="E189" s="47" t="n"/>
      <c r="F189" s="62" t="n"/>
      <c r="G189" s="47" t="n"/>
      <c r="H189" s="47" t="n"/>
      <c r="I189" s="50">
        <f>IF(F189="","",IF(I188="",F189,I188+F189))</f>
        <v/>
      </c>
      <c r="J189" s="47" t="n"/>
    </row>
    <row r="190" ht="15.75" customHeight="1" s="99">
      <c r="A190" s="43" t="n">
        <v>186</v>
      </c>
      <c r="B190" s="53" t="n"/>
      <c r="C190" s="55" t="n"/>
      <c r="D190" s="55" t="n"/>
      <c r="E190" s="55" t="n"/>
      <c r="F190" s="63" t="n"/>
      <c r="G190" s="55" t="n"/>
      <c r="H190" s="55" t="n"/>
      <c r="I190" s="58">
        <f>IF(F190="","",IF(I189="",F190,I189+F190))</f>
        <v/>
      </c>
      <c r="J190" s="55" t="n"/>
    </row>
    <row r="191" ht="15.75" customHeight="1" s="99">
      <c r="A191" s="41" t="n">
        <v>187</v>
      </c>
      <c r="B191" s="45" t="n"/>
      <c r="C191" s="47" t="n"/>
      <c r="D191" s="47" t="n"/>
      <c r="E191" s="47" t="n"/>
      <c r="F191" s="62" t="n"/>
      <c r="G191" s="47" t="n"/>
      <c r="H191" s="47" t="n"/>
      <c r="I191" s="50">
        <f>IF(F191="","",IF(I190="",F191,I190+F191))</f>
        <v/>
      </c>
      <c r="J191" s="47" t="n"/>
    </row>
    <row r="192" ht="15.75" customHeight="1" s="99">
      <c r="A192" s="43" t="n">
        <v>188</v>
      </c>
      <c r="B192" s="53" t="n"/>
      <c r="C192" s="55" t="n"/>
      <c r="D192" s="55" t="n"/>
      <c r="E192" s="55" t="n"/>
      <c r="F192" s="63" t="n"/>
      <c r="G192" s="55" t="n"/>
      <c r="H192" s="55" t="n"/>
      <c r="I192" s="58">
        <f>IF(F192="","",IF(I191="",F192,I191+F192))</f>
        <v/>
      </c>
      <c r="J192" s="55" t="n"/>
    </row>
    <row r="193" ht="15.75" customHeight="1" s="99">
      <c r="A193" s="41" t="n">
        <v>189</v>
      </c>
      <c r="B193" s="45" t="n"/>
      <c r="C193" s="47" t="n"/>
      <c r="D193" s="47" t="n"/>
      <c r="E193" s="47" t="n"/>
      <c r="F193" s="62" t="n"/>
      <c r="G193" s="47" t="n"/>
      <c r="H193" s="47" t="n"/>
      <c r="I193" s="50">
        <f>IF(F193="","",IF(I192="",F193,I192+F193))</f>
        <v/>
      </c>
      <c r="J193" s="47" t="n"/>
    </row>
    <row r="194" ht="15.75" customHeight="1" s="99">
      <c r="A194" s="43" t="n">
        <v>190</v>
      </c>
      <c r="B194" s="53" t="n"/>
      <c r="C194" s="55" t="n"/>
      <c r="D194" s="55" t="n"/>
      <c r="E194" s="55" t="n"/>
      <c r="F194" s="63" t="n"/>
      <c r="G194" s="55" t="n"/>
      <c r="H194" s="55" t="n"/>
      <c r="I194" s="58">
        <f>IF(F194="","",IF(I193="",F194,I193+F194))</f>
        <v/>
      </c>
      <c r="J194" s="55" t="n"/>
    </row>
    <row r="195" ht="15.75" customHeight="1" s="99">
      <c r="A195" s="41" t="n">
        <v>191</v>
      </c>
      <c r="B195" s="45" t="n"/>
      <c r="C195" s="47" t="n"/>
      <c r="D195" s="47" t="n"/>
      <c r="E195" s="47" t="n"/>
      <c r="F195" s="62" t="n"/>
      <c r="G195" s="47" t="n"/>
      <c r="H195" s="47" t="n"/>
      <c r="I195" s="50">
        <f>IF(F195="","",IF(I194="",F195,I194+F195))</f>
        <v/>
      </c>
      <c r="J195" s="47" t="n"/>
    </row>
    <row r="196" ht="15.75" customHeight="1" s="99">
      <c r="A196" s="43" t="n">
        <v>192</v>
      </c>
      <c r="B196" s="53" t="n"/>
      <c r="C196" s="55" t="n"/>
      <c r="D196" s="55" t="n"/>
      <c r="E196" s="55" t="n"/>
      <c r="F196" s="63" t="n"/>
      <c r="G196" s="55" t="n"/>
      <c r="H196" s="55" t="n"/>
      <c r="I196" s="58">
        <f>IF(F196="","",IF(I195="",F196,I195+F196))</f>
        <v/>
      </c>
      <c r="J196" s="55" t="n"/>
    </row>
    <row r="197" ht="15.75" customHeight="1" s="99">
      <c r="A197" s="41" t="n">
        <v>193</v>
      </c>
      <c r="B197" s="45" t="n"/>
      <c r="C197" s="47" t="n"/>
      <c r="D197" s="47" t="n"/>
      <c r="E197" s="47" t="n"/>
      <c r="F197" s="62" t="n"/>
      <c r="G197" s="47" t="n"/>
      <c r="H197" s="47" t="n"/>
      <c r="I197" s="50">
        <f>IF(F197="","",IF(I196="",F197,I196+F197))</f>
        <v/>
      </c>
      <c r="J197" s="47" t="n"/>
    </row>
    <row r="198" ht="15.75" customHeight="1" s="99">
      <c r="A198" s="43" t="n">
        <v>194</v>
      </c>
      <c r="B198" s="53" t="n"/>
      <c r="C198" s="55" t="n"/>
      <c r="D198" s="55" t="n"/>
      <c r="E198" s="55" t="n"/>
      <c r="F198" s="63" t="n"/>
      <c r="G198" s="55" t="n"/>
      <c r="H198" s="55" t="n"/>
      <c r="I198" s="58">
        <f>IF(F198="","",IF(I197="",F198,I197+F198))</f>
        <v/>
      </c>
      <c r="J198" s="55" t="n"/>
    </row>
    <row r="199" ht="15.75" customHeight="1" s="99">
      <c r="A199" s="41" t="n">
        <v>195</v>
      </c>
      <c r="B199" s="45" t="n"/>
      <c r="C199" s="47" t="n"/>
      <c r="D199" s="47" t="n"/>
      <c r="E199" s="47" t="n"/>
      <c r="F199" s="62" t="n"/>
      <c r="G199" s="47" t="n"/>
      <c r="H199" s="47" t="n"/>
      <c r="I199" s="50">
        <f>IF(F199="","",IF(I198="",F199,I198+F199))</f>
        <v/>
      </c>
      <c r="J199" s="47" t="n"/>
    </row>
    <row r="200" ht="15.75" customHeight="1" s="99">
      <c r="A200" s="43" t="n">
        <v>196</v>
      </c>
      <c r="B200" s="53" t="n"/>
      <c r="C200" s="55" t="n"/>
      <c r="D200" s="55" t="n"/>
      <c r="E200" s="55" t="n"/>
      <c r="F200" s="63" t="n"/>
      <c r="G200" s="55" t="n"/>
      <c r="H200" s="55" t="n"/>
      <c r="I200" s="58">
        <f>IF(F200="","",IF(I199="",F200,I199+F200))</f>
        <v/>
      </c>
      <c r="J200" s="55" t="n"/>
    </row>
    <row r="201" ht="15.75" customHeight="1" s="99">
      <c r="A201" s="41" t="n">
        <v>197</v>
      </c>
      <c r="B201" s="45" t="n"/>
      <c r="C201" s="47" t="n"/>
      <c r="D201" s="47" t="n"/>
      <c r="E201" s="47" t="n"/>
      <c r="F201" s="62" t="n"/>
      <c r="G201" s="47" t="n"/>
      <c r="H201" s="47" t="n"/>
      <c r="I201" s="50">
        <f>IF(F201="","",IF(I200="",F201,I200+F201))</f>
        <v/>
      </c>
      <c r="J201" s="47" t="n"/>
    </row>
    <row r="202" ht="15.75" customHeight="1" s="99">
      <c r="A202" s="43" t="n">
        <v>198</v>
      </c>
      <c r="B202" s="53" t="n"/>
      <c r="C202" s="55" t="n"/>
      <c r="D202" s="55" t="n"/>
      <c r="E202" s="55" t="n"/>
      <c r="F202" s="63" t="n"/>
      <c r="G202" s="55" t="n"/>
      <c r="H202" s="55" t="n"/>
      <c r="I202" s="58">
        <f>IF(F202="","",IF(I201="",F202,I201+F202))</f>
        <v/>
      </c>
      <c r="J202" s="55" t="n"/>
    </row>
    <row r="203" ht="15.75" customHeight="1" s="99">
      <c r="A203" s="41" t="n">
        <v>199</v>
      </c>
      <c r="B203" s="45" t="n"/>
      <c r="C203" s="47" t="n"/>
      <c r="D203" s="47" t="n"/>
      <c r="E203" s="47" t="n"/>
      <c r="F203" s="62" t="n"/>
      <c r="G203" s="47" t="n"/>
      <c r="H203" s="47" t="n"/>
      <c r="I203" s="50">
        <f>IF(F203="","",IF(I202="",F203,I202+F203))</f>
        <v/>
      </c>
      <c r="J203" s="47" t="n"/>
    </row>
    <row r="204" ht="15.75" customHeight="1" s="99">
      <c r="A204" s="43" t="n">
        <v>200</v>
      </c>
      <c r="B204" s="53" t="n"/>
      <c r="C204" s="55" t="n"/>
      <c r="D204" s="55" t="n"/>
      <c r="E204" s="55" t="n"/>
      <c r="F204" s="63" t="n"/>
      <c r="G204" s="55" t="n"/>
      <c r="H204" s="55" t="n"/>
      <c r="I204" s="58">
        <f>IF(F204="","",IF(I203="",F204,I203+F204))</f>
        <v/>
      </c>
      <c r="J204" s="55" t="n"/>
    </row>
    <row r="205" ht="15.75" customHeight="1" s="99">
      <c r="A205" s="41" t="n">
        <v>201</v>
      </c>
      <c r="B205" s="45" t="n"/>
      <c r="C205" s="47" t="n"/>
      <c r="D205" s="47" t="n"/>
      <c r="E205" s="47" t="n"/>
      <c r="F205" s="62" t="n"/>
      <c r="G205" s="47" t="n"/>
      <c r="H205" s="47" t="n"/>
      <c r="I205" s="50">
        <f>IF(F205="","",IF(I204="",F205,I204+F205))</f>
        <v/>
      </c>
      <c r="J205" s="47" t="n"/>
    </row>
    <row r="206" ht="15.75" customHeight="1" s="99">
      <c r="A206" s="43" t="n">
        <v>202</v>
      </c>
      <c r="B206" s="53" t="n"/>
      <c r="C206" s="55" t="n"/>
      <c r="D206" s="55" t="n"/>
      <c r="E206" s="55" t="n"/>
      <c r="F206" s="63" t="n"/>
      <c r="G206" s="55" t="n"/>
      <c r="H206" s="55" t="n"/>
      <c r="I206" s="58">
        <f>IF(F206="","",IF(I205="",F206,I205+F206))</f>
        <v/>
      </c>
      <c r="J206" s="55" t="n"/>
    </row>
    <row r="207" ht="15.75" customHeight="1" s="99">
      <c r="A207" s="41" t="n">
        <v>203</v>
      </c>
      <c r="B207" s="45" t="n"/>
      <c r="C207" s="47" t="n"/>
      <c r="D207" s="47" t="n"/>
      <c r="E207" s="47" t="n"/>
      <c r="F207" s="62" t="n"/>
      <c r="G207" s="47" t="n"/>
      <c r="H207" s="47" t="n"/>
      <c r="I207" s="50">
        <f>IF(F207="","",IF(I206="",F207,I206+F207))</f>
        <v/>
      </c>
      <c r="J207" s="47" t="n"/>
    </row>
    <row r="208" ht="15.75" customHeight="1" s="99">
      <c r="A208" s="43" t="n">
        <v>204</v>
      </c>
      <c r="B208" s="53" t="n"/>
      <c r="C208" s="55" t="n"/>
      <c r="D208" s="55" t="n"/>
      <c r="E208" s="55" t="n"/>
      <c r="F208" s="63" t="n"/>
      <c r="G208" s="55" t="n"/>
      <c r="H208" s="55" t="n"/>
      <c r="I208" s="58">
        <f>IF(F208="","",IF(I207="",F208,I207+F208))</f>
        <v/>
      </c>
      <c r="J208" s="55" t="n"/>
    </row>
    <row r="209" ht="15.75" customHeight="1" s="99">
      <c r="A209" s="41" t="n">
        <v>205</v>
      </c>
      <c r="B209" s="45" t="n"/>
      <c r="C209" s="47" t="n"/>
      <c r="D209" s="47" t="n"/>
      <c r="E209" s="47" t="n"/>
      <c r="F209" s="62" t="n"/>
      <c r="G209" s="47" t="n"/>
      <c r="H209" s="47" t="n"/>
      <c r="I209" s="50">
        <f>IF(F209="","",IF(I208="",F209,I208+F209))</f>
        <v/>
      </c>
      <c r="J209" s="47" t="n"/>
    </row>
    <row r="210" ht="15.75" customHeight="1" s="99">
      <c r="A210" s="43" t="n">
        <v>206</v>
      </c>
      <c r="B210" s="53" t="n"/>
      <c r="C210" s="55" t="n"/>
      <c r="D210" s="55" t="n"/>
      <c r="E210" s="55" t="n"/>
      <c r="F210" s="63" t="n"/>
      <c r="G210" s="55" t="n"/>
      <c r="H210" s="55" t="n"/>
      <c r="I210" s="58">
        <f>IF(F210="","",IF(I209="",F210,I209+F210))</f>
        <v/>
      </c>
      <c r="J210" s="55" t="n"/>
    </row>
    <row r="211" ht="15.75" customHeight="1" s="99">
      <c r="A211" s="41" t="n">
        <v>207</v>
      </c>
      <c r="B211" s="45" t="n"/>
      <c r="C211" s="47" t="n"/>
      <c r="D211" s="47" t="n"/>
      <c r="E211" s="47" t="n"/>
      <c r="F211" s="62" t="n"/>
      <c r="G211" s="47" t="n"/>
      <c r="H211" s="47" t="n"/>
      <c r="I211" s="50">
        <f>IF(F211="","",IF(I210="",F211,I210+F211))</f>
        <v/>
      </c>
      <c r="J211" s="47" t="n"/>
    </row>
    <row r="212" ht="15.75" customHeight="1" s="99">
      <c r="A212" s="43" t="n">
        <v>208</v>
      </c>
      <c r="B212" s="53" t="n"/>
      <c r="C212" s="55" t="n"/>
      <c r="D212" s="55" t="n"/>
      <c r="E212" s="55" t="n"/>
      <c r="F212" s="63" t="n"/>
      <c r="G212" s="55" t="n"/>
      <c r="H212" s="55" t="n"/>
      <c r="I212" s="58">
        <f>IF(F212="","",IF(I211="",F212,I211+F212))</f>
        <v/>
      </c>
      <c r="J212" s="55" t="n"/>
    </row>
    <row r="213" ht="15.75" customHeight="1" s="99">
      <c r="A213" s="41" t="n">
        <v>209</v>
      </c>
      <c r="B213" s="45" t="n"/>
      <c r="C213" s="47" t="n"/>
      <c r="D213" s="47" t="n"/>
      <c r="E213" s="47" t="n"/>
      <c r="F213" s="62" t="n"/>
      <c r="G213" s="47" t="n"/>
      <c r="H213" s="47" t="n"/>
      <c r="I213" s="50">
        <f>IF(F213="","",IF(I212="",F213,I212+F213))</f>
        <v/>
      </c>
      <c r="J213" s="47" t="n"/>
    </row>
    <row r="214" ht="15.75" customHeight="1" s="99">
      <c r="A214" s="43" t="n">
        <v>210</v>
      </c>
      <c r="B214" s="53" t="n"/>
      <c r="C214" s="55" t="n"/>
      <c r="D214" s="55" t="n"/>
      <c r="E214" s="55" t="n"/>
      <c r="F214" s="63" t="n"/>
      <c r="G214" s="55" t="n"/>
      <c r="H214" s="55" t="n"/>
      <c r="I214" s="58">
        <f>IF(F214="","",IF(I213="",F214,I213+F214))</f>
        <v/>
      </c>
      <c r="J214" s="55" t="n"/>
    </row>
    <row r="215" ht="15.75" customHeight="1" s="99">
      <c r="A215" s="41" t="n">
        <v>211</v>
      </c>
      <c r="B215" s="45" t="n"/>
      <c r="C215" s="47" t="n"/>
      <c r="D215" s="47" t="n"/>
      <c r="E215" s="47" t="n"/>
      <c r="F215" s="62" t="n"/>
      <c r="G215" s="47" t="n"/>
      <c r="H215" s="47" t="n"/>
      <c r="I215" s="50">
        <f>IF(F215="","",IF(I214="",F215,I214+F215))</f>
        <v/>
      </c>
      <c r="J215" s="47" t="n"/>
    </row>
    <row r="216" ht="15.75" customHeight="1" s="99">
      <c r="A216" s="43" t="n">
        <v>212</v>
      </c>
      <c r="B216" s="53" t="n"/>
      <c r="C216" s="55" t="n"/>
      <c r="D216" s="55" t="n"/>
      <c r="E216" s="55" t="n"/>
      <c r="F216" s="63" t="n"/>
      <c r="G216" s="55" t="n"/>
      <c r="H216" s="55" t="n"/>
      <c r="I216" s="58">
        <f>IF(F216="","",IF(I215="",F216,I215+F216))</f>
        <v/>
      </c>
      <c r="J216" s="55" t="n"/>
    </row>
    <row r="217" ht="15.75" customHeight="1" s="99">
      <c r="A217" s="41" t="n">
        <v>213</v>
      </c>
      <c r="B217" s="45" t="n"/>
      <c r="C217" s="47" t="n"/>
      <c r="D217" s="47" t="n"/>
      <c r="E217" s="47" t="n"/>
      <c r="F217" s="62" t="n"/>
      <c r="G217" s="47" t="n"/>
      <c r="H217" s="47" t="n"/>
      <c r="I217" s="50">
        <f>IF(F217="","",IF(I216="",F217,I216+F217))</f>
        <v/>
      </c>
      <c r="J217" s="47" t="n"/>
    </row>
    <row r="218" ht="15.75" customHeight="1" s="99">
      <c r="A218" s="43" t="n">
        <v>214</v>
      </c>
      <c r="B218" s="53" t="n"/>
      <c r="C218" s="55" t="n"/>
      <c r="D218" s="55" t="n"/>
      <c r="E218" s="55" t="n"/>
      <c r="F218" s="63" t="n"/>
      <c r="G218" s="55" t="n"/>
      <c r="H218" s="55" t="n"/>
      <c r="I218" s="58">
        <f>IF(F218="","",IF(I217="",F218,I217+F218))</f>
        <v/>
      </c>
      <c r="J218" s="55" t="n"/>
    </row>
    <row r="219" ht="15.75" customHeight="1" s="99">
      <c r="A219" s="41" t="n">
        <v>215</v>
      </c>
      <c r="B219" s="45" t="n"/>
      <c r="C219" s="47" t="n"/>
      <c r="D219" s="47" t="n"/>
      <c r="E219" s="47" t="n"/>
      <c r="F219" s="62" t="n"/>
      <c r="G219" s="47" t="n"/>
      <c r="H219" s="47" t="n"/>
      <c r="I219" s="50">
        <f>IF(F219="","",IF(I218="",F219,I218+F219))</f>
        <v/>
      </c>
      <c r="J219" s="47" t="n"/>
    </row>
    <row r="220" ht="15.75" customHeight="1" s="99">
      <c r="A220" s="43" t="n">
        <v>216</v>
      </c>
      <c r="B220" s="53" t="n"/>
      <c r="C220" s="55" t="n"/>
      <c r="D220" s="55" t="n"/>
      <c r="E220" s="55" t="n"/>
      <c r="F220" s="63" t="n"/>
      <c r="G220" s="55" t="n"/>
      <c r="H220" s="55" t="n"/>
      <c r="I220" s="58">
        <f>IF(F220="","",IF(I219="",F220,I219+F220))</f>
        <v/>
      </c>
      <c r="J220" s="55" t="n"/>
    </row>
    <row r="221" ht="15.75" customHeight="1" s="99">
      <c r="A221" s="41" t="n">
        <v>217</v>
      </c>
      <c r="B221" s="45" t="n"/>
      <c r="C221" s="47" t="n"/>
      <c r="D221" s="47" t="n"/>
      <c r="E221" s="47" t="n"/>
      <c r="F221" s="62" t="n"/>
      <c r="G221" s="47" t="n"/>
      <c r="H221" s="47" t="n"/>
      <c r="I221" s="50">
        <f>IF(F221="","",IF(I220="",F221,I220+F221))</f>
        <v/>
      </c>
      <c r="J221" s="47" t="n"/>
    </row>
    <row r="222" ht="15.75" customHeight="1" s="99">
      <c r="A222" s="43" t="n">
        <v>218</v>
      </c>
      <c r="B222" s="53" t="n"/>
      <c r="C222" s="55" t="n"/>
      <c r="D222" s="55" t="n"/>
      <c r="E222" s="55" t="n"/>
      <c r="F222" s="63" t="n"/>
      <c r="G222" s="55" t="n"/>
      <c r="H222" s="55" t="n"/>
      <c r="I222" s="58">
        <f>IF(F222="","",IF(I221="",F222,I221+F222))</f>
        <v/>
      </c>
      <c r="J222" s="55" t="n"/>
    </row>
    <row r="223" ht="15.75" customHeight="1" s="99">
      <c r="A223" s="41" t="n">
        <v>219</v>
      </c>
      <c r="B223" s="45" t="n"/>
      <c r="C223" s="47" t="n"/>
      <c r="D223" s="47" t="n"/>
      <c r="E223" s="47" t="n"/>
      <c r="F223" s="62" t="n"/>
      <c r="G223" s="47" t="n"/>
      <c r="H223" s="47" t="n"/>
      <c r="I223" s="50">
        <f>IF(F223="","",IF(I222="",F223,I222+F223))</f>
        <v/>
      </c>
      <c r="J223" s="47" t="n"/>
    </row>
    <row r="224" ht="15.75" customHeight="1" s="99">
      <c r="A224" s="43" t="n">
        <v>220</v>
      </c>
      <c r="B224" s="53" t="n"/>
      <c r="C224" s="55" t="n"/>
      <c r="D224" s="55" t="n"/>
      <c r="E224" s="55" t="n"/>
      <c r="F224" s="63" t="n"/>
      <c r="G224" s="55" t="n"/>
      <c r="H224" s="55" t="n"/>
      <c r="I224" s="58">
        <f>IF(F224="","",IF(I223="",F224,I223+F224))</f>
        <v/>
      </c>
      <c r="J224" s="55" t="n"/>
    </row>
    <row r="225" ht="15.75" customHeight="1" s="99">
      <c r="A225" s="41" t="n">
        <v>221</v>
      </c>
      <c r="B225" s="45" t="n"/>
      <c r="C225" s="47" t="n"/>
      <c r="D225" s="47" t="n"/>
      <c r="E225" s="47" t="n"/>
      <c r="F225" s="62" t="n"/>
      <c r="G225" s="47" t="n"/>
      <c r="H225" s="47" t="n"/>
      <c r="I225" s="50">
        <f>IF(F225="","",IF(I224="",F225,I224+F225))</f>
        <v/>
      </c>
      <c r="J225" s="47" t="n"/>
    </row>
    <row r="226" ht="15.75" customHeight="1" s="99">
      <c r="A226" s="43" t="n">
        <v>222</v>
      </c>
      <c r="B226" s="53" t="n"/>
      <c r="C226" s="55" t="n"/>
      <c r="D226" s="55" t="n"/>
      <c r="E226" s="55" t="n"/>
      <c r="F226" s="63" t="n"/>
      <c r="G226" s="55" t="n"/>
      <c r="H226" s="55" t="n"/>
      <c r="I226" s="58">
        <f>IF(F226="","",IF(I225="",F226,I225+F226))</f>
        <v/>
      </c>
      <c r="J226" s="55" t="n"/>
    </row>
    <row r="227" ht="15.75" customHeight="1" s="99">
      <c r="A227" s="41" t="n">
        <v>223</v>
      </c>
      <c r="B227" s="45" t="n"/>
      <c r="C227" s="47" t="n"/>
      <c r="D227" s="47" t="n"/>
      <c r="E227" s="47" t="n"/>
      <c r="F227" s="62" t="n"/>
      <c r="G227" s="47" t="n"/>
      <c r="H227" s="47" t="n"/>
      <c r="I227" s="50">
        <f>IF(F227="","",IF(I226="",F227,I226+F227))</f>
        <v/>
      </c>
      <c r="J227" s="47" t="n"/>
    </row>
    <row r="228" ht="15.75" customHeight="1" s="99">
      <c r="A228" s="43" t="n">
        <v>224</v>
      </c>
      <c r="B228" s="53" t="n"/>
      <c r="C228" s="55" t="n"/>
      <c r="D228" s="55" t="n"/>
      <c r="E228" s="55" t="n"/>
      <c r="F228" s="63" t="n"/>
      <c r="G228" s="55" t="n"/>
      <c r="H228" s="55" t="n"/>
      <c r="I228" s="58">
        <f>IF(F228="","",IF(I227="",F228,I227+F228))</f>
        <v/>
      </c>
      <c r="J228" s="55" t="n"/>
    </row>
    <row r="229" ht="15.75" customHeight="1" s="99">
      <c r="A229" s="41" t="n">
        <v>225</v>
      </c>
      <c r="B229" s="45" t="n"/>
      <c r="C229" s="47" t="n"/>
      <c r="D229" s="47" t="n"/>
      <c r="E229" s="47" t="n"/>
      <c r="F229" s="62" t="n"/>
      <c r="G229" s="47" t="n"/>
      <c r="H229" s="47" t="n"/>
      <c r="I229" s="50">
        <f>IF(F229="","",IF(I228="",F229,I228+F229))</f>
        <v/>
      </c>
      <c r="J229" s="47" t="n"/>
    </row>
    <row r="230" ht="15.75" customHeight="1" s="99">
      <c r="A230" s="43" t="n">
        <v>226</v>
      </c>
      <c r="B230" s="53" t="n"/>
      <c r="C230" s="55" t="n"/>
      <c r="D230" s="55" t="n"/>
      <c r="E230" s="55" t="n"/>
      <c r="F230" s="63" t="n"/>
      <c r="G230" s="55" t="n"/>
      <c r="H230" s="55" t="n"/>
      <c r="I230" s="58">
        <f>IF(F230="","",IF(I229="",F230,I229+F230))</f>
        <v/>
      </c>
      <c r="J230" s="55" t="n"/>
    </row>
    <row r="231" ht="15.75" customHeight="1" s="99">
      <c r="A231" s="41" t="n">
        <v>227</v>
      </c>
      <c r="B231" s="45" t="n"/>
      <c r="C231" s="47" t="n"/>
      <c r="D231" s="47" t="n"/>
      <c r="E231" s="47" t="n"/>
      <c r="F231" s="62" t="n"/>
      <c r="G231" s="47" t="n"/>
      <c r="H231" s="47" t="n"/>
      <c r="I231" s="50">
        <f>IF(F231="","",IF(I230="",F231,I230+F231))</f>
        <v/>
      </c>
      <c r="J231" s="47" t="n"/>
    </row>
    <row r="232" ht="15.75" customHeight="1" s="99">
      <c r="A232" s="43" t="n">
        <v>228</v>
      </c>
      <c r="B232" s="53" t="n"/>
      <c r="C232" s="55" t="n"/>
      <c r="D232" s="55" t="n"/>
      <c r="E232" s="55" t="n"/>
      <c r="F232" s="63" t="n"/>
      <c r="G232" s="55" t="n"/>
      <c r="H232" s="55" t="n"/>
      <c r="I232" s="58">
        <f>IF(F232="","",IF(I231="",F232,I231+F232))</f>
        <v/>
      </c>
      <c r="J232" s="55" t="n"/>
    </row>
    <row r="233" ht="15.75" customHeight="1" s="99">
      <c r="A233" s="41" t="n">
        <v>229</v>
      </c>
      <c r="B233" s="45" t="n"/>
      <c r="C233" s="47" t="n"/>
      <c r="D233" s="47" t="n"/>
      <c r="E233" s="47" t="n"/>
      <c r="F233" s="62" t="n"/>
      <c r="G233" s="47" t="n"/>
      <c r="H233" s="47" t="n"/>
      <c r="I233" s="50">
        <f>IF(F233="","",IF(I232="",F233,I232+F233))</f>
        <v/>
      </c>
      <c r="J233" s="47" t="n"/>
    </row>
    <row r="234" ht="15.75" customHeight="1" s="99">
      <c r="A234" s="43" t="n">
        <v>230</v>
      </c>
      <c r="B234" s="53" t="n"/>
      <c r="C234" s="55" t="n"/>
      <c r="D234" s="55" t="n"/>
      <c r="E234" s="55" t="n"/>
      <c r="F234" s="63" t="n"/>
      <c r="G234" s="55" t="n"/>
      <c r="H234" s="55" t="n"/>
      <c r="I234" s="58">
        <f>IF(F234="","",IF(I233="",F234,I233+F234))</f>
        <v/>
      </c>
      <c r="J234" s="55" t="n"/>
    </row>
    <row r="235" ht="15.75" customHeight="1" s="99">
      <c r="A235" s="41" t="n">
        <v>231</v>
      </c>
      <c r="B235" s="45" t="n"/>
      <c r="C235" s="47" t="n"/>
      <c r="D235" s="47" t="n"/>
      <c r="E235" s="47" t="n"/>
      <c r="F235" s="62" t="n"/>
      <c r="G235" s="47" t="n"/>
      <c r="H235" s="47" t="n"/>
      <c r="I235" s="50">
        <f>IF(F235="","",IF(I234="",F235,I234+F235))</f>
        <v/>
      </c>
      <c r="J235" s="47" t="n"/>
    </row>
    <row r="236" ht="15.75" customHeight="1" s="99">
      <c r="A236" s="43" t="n">
        <v>232</v>
      </c>
      <c r="B236" s="53" t="n"/>
      <c r="C236" s="55" t="n"/>
      <c r="D236" s="55" t="n"/>
      <c r="E236" s="55" t="n"/>
      <c r="F236" s="63" t="n"/>
      <c r="G236" s="55" t="n"/>
      <c r="H236" s="55" t="n"/>
      <c r="I236" s="58">
        <f>IF(F236="","",IF(I235="",F236,I235+F236))</f>
        <v/>
      </c>
      <c r="J236" s="55" t="n"/>
    </row>
    <row r="237" ht="15.75" customHeight="1" s="99">
      <c r="A237" s="41" t="n">
        <v>233</v>
      </c>
      <c r="B237" s="45" t="n"/>
      <c r="C237" s="47" t="n"/>
      <c r="D237" s="47" t="n"/>
      <c r="E237" s="47" t="n"/>
      <c r="F237" s="62" t="n"/>
      <c r="G237" s="47" t="n"/>
      <c r="H237" s="47" t="n"/>
      <c r="I237" s="50">
        <f>IF(F237="","",IF(I236="",F237,I236+F237))</f>
        <v/>
      </c>
      <c r="J237" s="47" t="n"/>
    </row>
    <row r="238" ht="15.75" customHeight="1" s="99">
      <c r="A238" s="43" t="n">
        <v>234</v>
      </c>
      <c r="B238" s="53" t="n"/>
      <c r="C238" s="55" t="n"/>
      <c r="D238" s="55" t="n"/>
      <c r="E238" s="55" t="n"/>
      <c r="F238" s="63" t="n"/>
      <c r="G238" s="55" t="n"/>
      <c r="H238" s="55" t="n"/>
      <c r="I238" s="58">
        <f>IF(F238="","",IF(I237="",F238,I237+F238))</f>
        <v/>
      </c>
      <c r="J238" s="55" t="n"/>
    </row>
    <row r="239" ht="15.75" customHeight="1" s="99">
      <c r="A239" s="41" t="n">
        <v>235</v>
      </c>
      <c r="B239" s="45" t="n"/>
      <c r="C239" s="47" t="n"/>
      <c r="D239" s="47" t="n"/>
      <c r="E239" s="47" t="n"/>
      <c r="F239" s="62" t="n"/>
      <c r="G239" s="47" t="n"/>
      <c r="H239" s="47" t="n"/>
      <c r="I239" s="50">
        <f>IF(F239="","",IF(I238="",F239,I238+F239))</f>
        <v/>
      </c>
      <c r="J239" s="47" t="n"/>
    </row>
    <row r="240" ht="15.75" customHeight="1" s="99">
      <c r="A240" s="43" t="n">
        <v>236</v>
      </c>
      <c r="B240" s="53" t="n"/>
      <c r="C240" s="55" t="n"/>
      <c r="D240" s="55" t="n"/>
      <c r="E240" s="55" t="n"/>
      <c r="F240" s="63" t="n"/>
      <c r="G240" s="55" t="n"/>
      <c r="H240" s="55" t="n"/>
      <c r="I240" s="58">
        <f>IF(F240="","",IF(I239="",F240,I239+F240))</f>
        <v/>
      </c>
      <c r="J240" s="55" t="n"/>
    </row>
    <row r="241" ht="15.75" customHeight="1" s="99">
      <c r="A241" s="41" t="n">
        <v>237</v>
      </c>
      <c r="B241" s="45" t="n"/>
      <c r="C241" s="47" t="n"/>
      <c r="D241" s="47" t="n"/>
      <c r="E241" s="47" t="n"/>
      <c r="F241" s="62" t="n"/>
      <c r="G241" s="47" t="n"/>
      <c r="H241" s="47" t="n"/>
      <c r="I241" s="50">
        <f>IF(F241="","",IF(I240="",F241,I240+F241))</f>
        <v/>
      </c>
      <c r="J241" s="47" t="n"/>
    </row>
    <row r="242" ht="15.75" customHeight="1" s="99">
      <c r="A242" s="43" t="n">
        <v>238</v>
      </c>
      <c r="B242" s="53" t="n"/>
      <c r="C242" s="55" t="n"/>
      <c r="D242" s="55" t="n"/>
      <c r="E242" s="55" t="n"/>
      <c r="F242" s="63" t="n"/>
      <c r="G242" s="55" t="n"/>
      <c r="H242" s="55" t="n"/>
      <c r="I242" s="58">
        <f>IF(F242="","",IF(I241="",F242,I241+F242))</f>
        <v/>
      </c>
      <c r="J242" s="55" t="n"/>
    </row>
    <row r="243" ht="15.75" customHeight="1" s="99">
      <c r="A243" s="41" t="n">
        <v>239</v>
      </c>
      <c r="B243" s="45" t="n"/>
      <c r="C243" s="47" t="n"/>
      <c r="D243" s="47" t="n"/>
      <c r="E243" s="47" t="n"/>
      <c r="F243" s="62" t="n"/>
      <c r="G243" s="47" t="n"/>
      <c r="H243" s="47" t="n"/>
      <c r="I243" s="50">
        <f>IF(F243="","",IF(I242="",F243,I242+F243))</f>
        <v/>
      </c>
      <c r="J243" s="47" t="n"/>
    </row>
    <row r="244" ht="15.75" customHeight="1" s="99">
      <c r="A244" s="43" t="n">
        <v>240</v>
      </c>
      <c r="B244" s="53" t="n"/>
      <c r="C244" s="55" t="n"/>
      <c r="D244" s="55" t="n"/>
      <c r="E244" s="55" t="n"/>
      <c r="F244" s="63" t="n"/>
      <c r="G244" s="55" t="n"/>
      <c r="H244" s="55" t="n"/>
      <c r="I244" s="58">
        <f>IF(F244="","",IF(I243="",F244,I243+F244))</f>
        <v/>
      </c>
      <c r="J244" s="55" t="n"/>
    </row>
    <row r="245" ht="15.75" customHeight="1" s="99">
      <c r="A245" s="41" t="n">
        <v>241</v>
      </c>
      <c r="B245" s="45" t="n"/>
      <c r="C245" s="47" t="n"/>
      <c r="D245" s="47" t="n"/>
      <c r="E245" s="47" t="n"/>
      <c r="F245" s="62" t="n"/>
      <c r="G245" s="47" t="n"/>
      <c r="H245" s="47" t="n"/>
      <c r="I245" s="50">
        <f>IF(F245="","",IF(I244="",F245,I244+F245))</f>
        <v/>
      </c>
      <c r="J245" s="47" t="n"/>
    </row>
    <row r="246" ht="15.75" customHeight="1" s="99">
      <c r="A246" s="43" t="n">
        <v>242</v>
      </c>
      <c r="B246" s="53" t="n"/>
      <c r="C246" s="55" t="n"/>
      <c r="D246" s="55" t="n"/>
      <c r="E246" s="55" t="n"/>
      <c r="F246" s="63" t="n"/>
      <c r="G246" s="55" t="n"/>
      <c r="H246" s="55" t="n"/>
      <c r="I246" s="58">
        <f>IF(F246="","",IF(I245="",F246,I245+F246))</f>
        <v/>
      </c>
      <c r="J246" s="55" t="n"/>
    </row>
    <row r="247" ht="15.75" customHeight="1" s="99">
      <c r="A247" s="41" t="n">
        <v>243</v>
      </c>
      <c r="B247" s="45" t="n"/>
      <c r="C247" s="47" t="n"/>
      <c r="D247" s="47" t="n"/>
      <c r="E247" s="47" t="n"/>
      <c r="F247" s="62" t="n"/>
      <c r="G247" s="47" t="n"/>
      <c r="H247" s="47" t="n"/>
      <c r="I247" s="50">
        <f>IF(F247="","",IF(I246="",F247,I246+F247))</f>
        <v/>
      </c>
      <c r="J247" s="47" t="n"/>
    </row>
    <row r="248" ht="15.75" customHeight="1" s="99">
      <c r="A248" s="43" t="n">
        <v>244</v>
      </c>
      <c r="B248" s="53" t="n"/>
      <c r="C248" s="55" t="n"/>
      <c r="D248" s="55" t="n"/>
      <c r="E248" s="55" t="n"/>
      <c r="F248" s="63" t="n"/>
      <c r="G248" s="55" t="n"/>
      <c r="H248" s="55" t="n"/>
      <c r="I248" s="58">
        <f>IF(F248="","",IF(I247="",F248,I247+F248))</f>
        <v/>
      </c>
      <c r="J248" s="55" t="n"/>
    </row>
    <row r="249" ht="15.75" customHeight="1" s="99">
      <c r="A249" s="41" t="n">
        <v>245</v>
      </c>
      <c r="B249" s="45" t="n"/>
      <c r="C249" s="47" t="n"/>
      <c r="D249" s="47" t="n"/>
      <c r="E249" s="47" t="n"/>
      <c r="F249" s="62" t="n"/>
      <c r="G249" s="47" t="n"/>
      <c r="H249" s="47" t="n"/>
      <c r="I249" s="50">
        <f>IF(F249="","",IF(I248="",F249,I248+F249))</f>
        <v/>
      </c>
      <c r="J249" s="47" t="n"/>
    </row>
    <row r="250" ht="15.75" customHeight="1" s="99">
      <c r="A250" s="43" t="n">
        <v>246</v>
      </c>
      <c r="B250" s="53" t="n"/>
      <c r="C250" s="55" t="n"/>
      <c r="D250" s="55" t="n"/>
      <c r="E250" s="55" t="n"/>
      <c r="F250" s="63" t="n"/>
      <c r="G250" s="55" t="n"/>
      <c r="H250" s="55" t="n"/>
      <c r="I250" s="58">
        <f>IF(F250="","",IF(I249="",F250,I249+F250))</f>
        <v/>
      </c>
      <c r="J250" s="55" t="n"/>
    </row>
    <row r="251" ht="15.75" customHeight="1" s="99">
      <c r="A251" s="41" t="n">
        <v>247</v>
      </c>
      <c r="B251" s="45" t="n"/>
      <c r="C251" s="47" t="n"/>
      <c r="D251" s="47" t="n"/>
      <c r="E251" s="47" t="n"/>
      <c r="F251" s="62" t="n"/>
      <c r="G251" s="47" t="n"/>
      <c r="H251" s="47" t="n"/>
      <c r="I251" s="50">
        <f>IF(F251="","",IF(I250="",F251,I250+F251))</f>
        <v/>
      </c>
      <c r="J251" s="47" t="n"/>
    </row>
    <row r="252" ht="15.75" customHeight="1" s="99">
      <c r="A252" s="43" t="n">
        <v>248</v>
      </c>
      <c r="B252" s="53" t="n"/>
      <c r="C252" s="55" t="n"/>
      <c r="D252" s="55" t="n"/>
      <c r="E252" s="55" t="n"/>
      <c r="F252" s="63" t="n"/>
      <c r="G252" s="55" t="n"/>
      <c r="H252" s="55" t="n"/>
      <c r="I252" s="58">
        <f>IF(F252="","",IF(I251="",F252,I251+F252))</f>
        <v/>
      </c>
      <c r="J252" s="55" t="n"/>
    </row>
    <row r="253" ht="15.75" customHeight="1" s="99">
      <c r="A253" s="41" t="n">
        <v>249</v>
      </c>
      <c r="B253" s="45" t="n"/>
      <c r="C253" s="47" t="n"/>
      <c r="D253" s="47" t="n"/>
      <c r="E253" s="47" t="n"/>
      <c r="F253" s="62" t="n"/>
      <c r="G253" s="47" t="n"/>
      <c r="H253" s="47" t="n"/>
      <c r="I253" s="50">
        <f>IF(F253="","",IF(I252="",F253,I252+F253))</f>
        <v/>
      </c>
      <c r="J253" s="47" t="n"/>
    </row>
    <row r="254" ht="15.75" customHeight="1" s="99">
      <c r="A254" s="43" t="n">
        <v>250</v>
      </c>
      <c r="B254" s="53" t="n"/>
      <c r="C254" s="55" t="n"/>
      <c r="D254" s="55" t="n"/>
      <c r="E254" s="55" t="n"/>
      <c r="F254" s="63" t="n"/>
      <c r="G254" s="55" t="n"/>
      <c r="H254" s="55" t="n"/>
      <c r="I254" s="58">
        <f>IF(F254="","",IF(I253="",F254,I253+F254))</f>
        <v/>
      </c>
      <c r="J254" s="55" t="n"/>
    </row>
    <row r="255" ht="15.75" customHeight="1" s="99">
      <c r="A255" s="41" t="n">
        <v>251</v>
      </c>
      <c r="B255" s="45" t="n"/>
      <c r="C255" s="47" t="n"/>
      <c r="D255" s="47" t="n"/>
      <c r="E255" s="47" t="n"/>
      <c r="F255" s="62" t="n"/>
      <c r="G255" s="47" t="n"/>
      <c r="H255" s="47" t="n"/>
      <c r="I255" s="50">
        <f>IF(F255="","",IF(I254="",F255,I254+F255))</f>
        <v/>
      </c>
      <c r="J255" s="47" t="n"/>
    </row>
    <row r="256" ht="15.75" customHeight="1" s="99">
      <c r="A256" s="43" t="n">
        <v>252</v>
      </c>
      <c r="B256" s="53" t="n"/>
      <c r="C256" s="55" t="n"/>
      <c r="D256" s="55" t="n"/>
      <c r="E256" s="55" t="n"/>
      <c r="F256" s="63" t="n"/>
      <c r="G256" s="55" t="n"/>
      <c r="H256" s="55" t="n"/>
      <c r="I256" s="58">
        <f>IF(F256="","",IF(I255="",F256,I255+F256))</f>
        <v/>
      </c>
      <c r="J256" s="55" t="n"/>
    </row>
    <row r="257" ht="15.75" customHeight="1" s="99">
      <c r="A257" s="41" t="n">
        <v>253</v>
      </c>
      <c r="B257" s="45" t="n"/>
      <c r="C257" s="47" t="n"/>
      <c r="D257" s="47" t="n"/>
      <c r="E257" s="47" t="n"/>
      <c r="F257" s="62" t="n"/>
      <c r="G257" s="47" t="n"/>
      <c r="H257" s="47" t="n"/>
      <c r="I257" s="50">
        <f>IF(F257="","",IF(I256="",F257,I256+F257))</f>
        <v/>
      </c>
      <c r="J257" s="47" t="n"/>
    </row>
    <row r="258" ht="15.75" customHeight="1" s="99">
      <c r="A258" s="43" t="n">
        <v>254</v>
      </c>
      <c r="B258" s="53" t="n"/>
      <c r="C258" s="55" t="n"/>
      <c r="D258" s="55" t="n"/>
      <c r="E258" s="55" t="n"/>
      <c r="F258" s="63" t="n"/>
      <c r="G258" s="55" t="n"/>
      <c r="H258" s="55" t="n"/>
      <c r="I258" s="58">
        <f>IF(F258="","",IF(I257="",F258,I257+F258))</f>
        <v/>
      </c>
      <c r="J258" s="55" t="n"/>
    </row>
    <row r="259" ht="15.75" customHeight="1" s="99">
      <c r="A259" s="41" t="n">
        <v>255</v>
      </c>
      <c r="B259" s="45" t="n"/>
      <c r="C259" s="47" t="n"/>
      <c r="D259" s="47" t="n"/>
      <c r="E259" s="47" t="n"/>
      <c r="F259" s="62" t="n"/>
      <c r="G259" s="47" t="n"/>
      <c r="H259" s="47" t="n"/>
      <c r="I259" s="50">
        <f>IF(F259="","",IF(I258="",F259,I258+F259))</f>
        <v/>
      </c>
      <c r="J259" s="47" t="n"/>
    </row>
    <row r="260" ht="15.75" customHeight="1" s="99">
      <c r="A260" s="43" t="n">
        <v>256</v>
      </c>
      <c r="B260" s="53" t="n"/>
      <c r="C260" s="55" t="n"/>
      <c r="D260" s="55" t="n"/>
      <c r="E260" s="55" t="n"/>
      <c r="F260" s="63" t="n"/>
      <c r="G260" s="55" t="n"/>
      <c r="H260" s="55" t="n"/>
      <c r="I260" s="58">
        <f>IF(F260="","",IF(I259="",F260,I259+F260))</f>
        <v/>
      </c>
      <c r="J260" s="55" t="n"/>
    </row>
    <row r="261" ht="15.75" customHeight="1" s="99">
      <c r="A261" s="41" t="n">
        <v>257</v>
      </c>
      <c r="B261" s="45" t="n"/>
      <c r="C261" s="47" t="n"/>
      <c r="D261" s="47" t="n"/>
      <c r="E261" s="47" t="n"/>
      <c r="F261" s="62" t="n"/>
      <c r="G261" s="47" t="n"/>
      <c r="H261" s="47" t="n"/>
      <c r="I261" s="50">
        <f>IF(F261="","",IF(I260="",F261,I260+F261))</f>
        <v/>
      </c>
      <c r="J261" s="47" t="n"/>
    </row>
    <row r="262" ht="15.75" customHeight="1" s="99">
      <c r="A262" s="43" t="n">
        <v>258</v>
      </c>
      <c r="B262" s="53" t="n"/>
      <c r="C262" s="55" t="n"/>
      <c r="D262" s="55" t="n"/>
      <c r="E262" s="55" t="n"/>
      <c r="F262" s="63" t="n"/>
      <c r="G262" s="55" t="n"/>
      <c r="H262" s="55" t="n"/>
      <c r="I262" s="58">
        <f>IF(F262="","",IF(I261="",F262,I261+F262))</f>
        <v/>
      </c>
      <c r="J262" s="55" t="n"/>
    </row>
    <row r="263" ht="15.75" customHeight="1" s="99">
      <c r="A263" s="41" t="n">
        <v>259</v>
      </c>
      <c r="B263" s="45" t="n"/>
      <c r="C263" s="47" t="n"/>
      <c r="D263" s="47" t="n"/>
      <c r="E263" s="47" t="n"/>
      <c r="F263" s="62" t="n"/>
      <c r="G263" s="47" t="n"/>
      <c r="H263" s="47" t="n"/>
      <c r="I263" s="50">
        <f>IF(F263="","",IF(I262="",F263,I262+F263))</f>
        <v/>
      </c>
      <c r="J263" s="47" t="n"/>
    </row>
    <row r="264" ht="15.75" customHeight="1" s="99">
      <c r="A264" s="43" t="n">
        <v>260</v>
      </c>
      <c r="B264" s="53" t="n"/>
      <c r="C264" s="55" t="n"/>
      <c r="D264" s="55" t="n"/>
      <c r="E264" s="55" t="n"/>
      <c r="F264" s="63" t="n"/>
      <c r="G264" s="55" t="n"/>
      <c r="H264" s="55" t="n"/>
      <c r="I264" s="58">
        <f>IF(F264="","",IF(I263="",F264,I263+F264))</f>
        <v/>
      </c>
      <c r="J264" s="55" t="n"/>
    </row>
    <row r="265" ht="15.75" customHeight="1" s="99">
      <c r="A265" s="41" t="n">
        <v>261</v>
      </c>
      <c r="B265" s="45" t="n"/>
      <c r="C265" s="47" t="n"/>
      <c r="D265" s="47" t="n"/>
      <c r="E265" s="47" t="n"/>
      <c r="F265" s="62" t="n"/>
      <c r="G265" s="47" t="n"/>
      <c r="H265" s="47" t="n"/>
      <c r="I265" s="50">
        <f>IF(F265="","",IF(I264="",F265,I264+F265))</f>
        <v/>
      </c>
      <c r="J265" s="47" t="n"/>
    </row>
    <row r="266" ht="15.75" customHeight="1" s="99">
      <c r="A266" s="43" t="n">
        <v>262</v>
      </c>
      <c r="B266" s="53" t="n"/>
      <c r="C266" s="55" t="n"/>
      <c r="D266" s="55" t="n"/>
      <c r="E266" s="55" t="n"/>
      <c r="F266" s="63" t="n"/>
      <c r="G266" s="55" t="n"/>
      <c r="H266" s="55" t="n"/>
      <c r="I266" s="58">
        <f>IF(F266="","",IF(I265="",F266,I265+F266))</f>
        <v/>
      </c>
      <c r="J266" s="55" t="n"/>
    </row>
    <row r="267" ht="15.75" customHeight="1" s="99">
      <c r="A267" s="41" t="n">
        <v>263</v>
      </c>
      <c r="B267" s="45" t="n"/>
      <c r="C267" s="47" t="n"/>
      <c r="D267" s="47" t="n"/>
      <c r="E267" s="47" t="n"/>
      <c r="F267" s="62" t="n"/>
      <c r="G267" s="47" t="n"/>
      <c r="H267" s="47" t="n"/>
      <c r="I267" s="50">
        <f>IF(F267="","",IF(I266="",F267,I266+F267))</f>
        <v/>
      </c>
      <c r="J267" s="47" t="n"/>
    </row>
    <row r="268" ht="15.75" customHeight="1" s="99">
      <c r="A268" s="43" t="n">
        <v>264</v>
      </c>
      <c r="B268" s="53" t="n"/>
      <c r="C268" s="55" t="n"/>
      <c r="D268" s="55" t="n"/>
      <c r="E268" s="55" t="n"/>
      <c r="F268" s="63" t="n"/>
      <c r="G268" s="55" t="n"/>
      <c r="H268" s="55" t="n"/>
      <c r="I268" s="58">
        <f>IF(F268="","",IF(I267="",F268,I267+F268))</f>
        <v/>
      </c>
      <c r="J268" s="55" t="n"/>
    </row>
    <row r="269" ht="15.75" customHeight="1" s="99">
      <c r="A269" s="41" t="n">
        <v>265</v>
      </c>
      <c r="B269" s="45" t="n"/>
      <c r="C269" s="47" t="n"/>
      <c r="D269" s="47" t="n"/>
      <c r="E269" s="47" t="n"/>
      <c r="F269" s="62" t="n"/>
      <c r="G269" s="47" t="n"/>
      <c r="H269" s="47" t="n"/>
      <c r="I269" s="50">
        <f>IF(F269="","",IF(I268="",F269,I268+F269))</f>
        <v/>
      </c>
      <c r="J269" s="47" t="n"/>
    </row>
    <row r="270" ht="15.75" customHeight="1" s="99">
      <c r="A270" s="43" t="n">
        <v>266</v>
      </c>
      <c r="B270" s="53" t="n"/>
      <c r="C270" s="55" t="n"/>
      <c r="D270" s="55" t="n"/>
      <c r="E270" s="55" t="n"/>
      <c r="F270" s="63" t="n"/>
      <c r="G270" s="55" t="n"/>
      <c r="H270" s="55" t="n"/>
      <c r="I270" s="58">
        <f>IF(F270="","",IF(I269="",F270,I269+F270))</f>
        <v/>
      </c>
      <c r="J270" s="55" t="n"/>
    </row>
    <row r="271" ht="15.75" customHeight="1" s="99">
      <c r="A271" s="41" t="n">
        <v>267</v>
      </c>
      <c r="B271" s="45" t="n"/>
      <c r="C271" s="47" t="n"/>
      <c r="D271" s="47" t="n"/>
      <c r="E271" s="47" t="n"/>
      <c r="F271" s="62" t="n"/>
      <c r="G271" s="47" t="n"/>
      <c r="H271" s="47" t="n"/>
      <c r="I271" s="50">
        <f>IF(F271="","",IF(I270="",F271,I270+F271))</f>
        <v/>
      </c>
      <c r="J271" s="47" t="n"/>
    </row>
    <row r="272" ht="15.75" customHeight="1" s="99">
      <c r="A272" s="43" t="n">
        <v>268</v>
      </c>
      <c r="B272" s="53" t="n"/>
      <c r="C272" s="55" t="n"/>
      <c r="D272" s="55" t="n"/>
      <c r="E272" s="55" t="n"/>
      <c r="F272" s="63" t="n"/>
      <c r="G272" s="55" t="n"/>
      <c r="H272" s="55" t="n"/>
      <c r="I272" s="58">
        <f>IF(F272="","",IF(I271="",F272,I271+F272))</f>
        <v/>
      </c>
      <c r="J272" s="55" t="n"/>
    </row>
    <row r="273" ht="15.75" customHeight="1" s="99">
      <c r="A273" s="41" t="n">
        <v>269</v>
      </c>
      <c r="B273" s="45" t="n"/>
      <c r="C273" s="47" t="n"/>
      <c r="D273" s="47" t="n"/>
      <c r="E273" s="47" t="n"/>
      <c r="F273" s="62" t="n"/>
      <c r="G273" s="47" t="n"/>
      <c r="H273" s="47" t="n"/>
      <c r="I273" s="50">
        <f>IF(F273="","",IF(I272="",F273,I272+F273))</f>
        <v/>
      </c>
      <c r="J273" s="47" t="n"/>
    </row>
    <row r="274" ht="15.75" customHeight="1" s="99">
      <c r="A274" s="43" t="n">
        <v>270</v>
      </c>
      <c r="B274" s="53" t="n"/>
      <c r="C274" s="55" t="n"/>
      <c r="D274" s="55" t="n"/>
      <c r="E274" s="55" t="n"/>
      <c r="F274" s="63" t="n"/>
      <c r="G274" s="55" t="n"/>
      <c r="H274" s="55" t="n"/>
      <c r="I274" s="58">
        <f>IF(F274="","",IF(I273="",F274,I273+F274))</f>
        <v/>
      </c>
      <c r="J274" s="55" t="n"/>
    </row>
    <row r="275" ht="15.75" customHeight="1" s="99">
      <c r="A275" s="41" t="n">
        <v>271</v>
      </c>
      <c r="B275" s="45" t="n"/>
      <c r="C275" s="47" t="n"/>
      <c r="D275" s="47" t="n"/>
      <c r="E275" s="47" t="n"/>
      <c r="F275" s="62" t="n"/>
      <c r="G275" s="47" t="n"/>
      <c r="H275" s="47" t="n"/>
      <c r="I275" s="50">
        <f>IF(F275="","",IF(I274="",F275,I274+F275))</f>
        <v/>
      </c>
      <c r="J275" s="47" t="n"/>
    </row>
    <row r="276" ht="15.75" customHeight="1" s="99">
      <c r="A276" s="43" t="n">
        <v>272</v>
      </c>
      <c r="B276" s="53" t="n"/>
      <c r="C276" s="55" t="n"/>
      <c r="D276" s="55" t="n"/>
      <c r="E276" s="55" t="n"/>
      <c r="F276" s="63" t="n"/>
      <c r="G276" s="55" t="n"/>
      <c r="H276" s="55" t="n"/>
      <c r="I276" s="58">
        <f>IF(F276="","",IF(I275="",F276,I275+F276))</f>
        <v/>
      </c>
      <c r="J276" s="55" t="n"/>
    </row>
    <row r="277" ht="15.75" customHeight="1" s="99">
      <c r="A277" s="41" t="n">
        <v>273</v>
      </c>
      <c r="B277" s="45" t="n"/>
      <c r="C277" s="47" t="n"/>
      <c r="D277" s="47" t="n"/>
      <c r="E277" s="47" t="n"/>
      <c r="F277" s="62" t="n"/>
      <c r="G277" s="47" t="n"/>
      <c r="H277" s="47" t="n"/>
      <c r="I277" s="50">
        <f>IF(F277="","",IF(I276="",F277,I276+F277))</f>
        <v/>
      </c>
      <c r="J277" s="47" t="n"/>
    </row>
    <row r="278" ht="15.75" customHeight="1" s="99">
      <c r="A278" s="43" t="n">
        <v>274</v>
      </c>
      <c r="B278" s="53" t="n"/>
      <c r="C278" s="55" t="n"/>
      <c r="D278" s="55" t="n"/>
      <c r="E278" s="55" t="n"/>
      <c r="F278" s="63" t="n"/>
      <c r="G278" s="55" t="n"/>
      <c r="H278" s="55" t="n"/>
      <c r="I278" s="58">
        <f>IF(F278="","",IF(I277="",F278,I277+F278))</f>
        <v/>
      </c>
      <c r="J278" s="55" t="n"/>
    </row>
    <row r="279" ht="15.75" customHeight="1" s="99">
      <c r="A279" s="41" t="n">
        <v>275</v>
      </c>
      <c r="B279" s="45" t="n"/>
      <c r="C279" s="47" t="n"/>
      <c r="D279" s="47" t="n"/>
      <c r="E279" s="47" t="n"/>
      <c r="F279" s="62" t="n"/>
      <c r="G279" s="47" t="n"/>
      <c r="H279" s="47" t="n"/>
      <c r="I279" s="50">
        <f>IF(F279="","",IF(I278="",F279,I278+F279))</f>
        <v/>
      </c>
      <c r="J279" s="47" t="n"/>
    </row>
    <row r="280" ht="15.75" customHeight="1" s="99">
      <c r="A280" s="43" t="n">
        <v>276</v>
      </c>
      <c r="B280" s="53" t="n"/>
      <c r="C280" s="55" t="n"/>
      <c r="D280" s="55" t="n"/>
      <c r="E280" s="55" t="n"/>
      <c r="F280" s="63" t="n"/>
      <c r="G280" s="55" t="n"/>
      <c r="H280" s="55" t="n"/>
      <c r="I280" s="58">
        <f>IF(F280="","",IF(I279="",F280,I279+F280))</f>
        <v/>
      </c>
      <c r="J280" s="55" t="n"/>
    </row>
    <row r="281" ht="15.75" customHeight="1" s="99">
      <c r="A281" s="41" t="n">
        <v>277</v>
      </c>
      <c r="B281" s="45" t="n"/>
      <c r="C281" s="47" t="n"/>
      <c r="D281" s="47" t="n"/>
      <c r="E281" s="47" t="n"/>
      <c r="F281" s="62" t="n"/>
      <c r="G281" s="47" t="n"/>
      <c r="H281" s="47" t="n"/>
      <c r="I281" s="50">
        <f>IF(F281="","",IF(I280="",F281,I280+F281))</f>
        <v/>
      </c>
      <c r="J281" s="47" t="n"/>
    </row>
    <row r="282" ht="15.75" customHeight="1" s="99">
      <c r="A282" s="43" t="n">
        <v>278</v>
      </c>
      <c r="B282" s="53" t="n"/>
      <c r="C282" s="55" t="n"/>
      <c r="D282" s="55" t="n"/>
      <c r="E282" s="55" t="n"/>
      <c r="F282" s="63" t="n"/>
      <c r="G282" s="55" t="n"/>
      <c r="H282" s="55" t="n"/>
      <c r="I282" s="58">
        <f>IF(F282="","",IF(I281="",F282,I281+F282))</f>
        <v/>
      </c>
      <c r="J282" s="55" t="n"/>
    </row>
    <row r="283" ht="15.75" customHeight="1" s="99">
      <c r="A283" s="41" t="n">
        <v>279</v>
      </c>
      <c r="B283" s="45" t="n"/>
      <c r="C283" s="47" t="n"/>
      <c r="D283" s="47" t="n"/>
      <c r="E283" s="47" t="n"/>
      <c r="F283" s="62" t="n"/>
      <c r="G283" s="47" t="n"/>
      <c r="H283" s="47" t="n"/>
      <c r="I283" s="50">
        <f>IF(F283="","",IF(I282="",F283,I282+F283))</f>
        <v/>
      </c>
      <c r="J283" s="47" t="n"/>
    </row>
    <row r="284" ht="15.75" customHeight="1" s="99">
      <c r="A284" s="43" t="n">
        <v>280</v>
      </c>
      <c r="B284" s="53" t="n"/>
      <c r="C284" s="55" t="n"/>
      <c r="D284" s="55" t="n"/>
      <c r="E284" s="55" t="n"/>
      <c r="F284" s="63" t="n"/>
      <c r="G284" s="55" t="n"/>
      <c r="H284" s="55" t="n"/>
      <c r="I284" s="58">
        <f>IF(F284="","",IF(I283="",F284,I283+F284))</f>
        <v/>
      </c>
      <c r="J284" s="55" t="n"/>
    </row>
    <row r="285" ht="15.75" customHeight="1" s="99">
      <c r="A285" s="41" t="n">
        <v>281</v>
      </c>
      <c r="B285" s="45" t="n"/>
      <c r="C285" s="47" t="n"/>
      <c r="D285" s="47" t="n"/>
      <c r="E285" s="47" t="n"/>
      <c r="F285" s="62" t="n"/>
      <c r="G285" s="47" t="n"/>
      <c r="H285" s="47" t="n"/>
      <c r="I285" s="50">
        <f>IF(F285="","",IF(I284="",F285,I284+F285))</f>
        <v/>
      </c>
      <c r="J285" s="47" t="n"/>
    </row>
    <row r="286" ht="15.75" customHeight="1" s="99">
      <c r="A286" s="43" t="n">
        <v>282</v>
      </c>
      <c r="B286" s="53" t="n"/>
      <c r="C286" s="55" t="n"/>
      <c r="D286" s="55" t="n"/>
      <c r="E286" s="55" t="n"/>
      <c r="F286" s="63" t="n"/>
      <c r="G286" s="55" t="n"/>
      <c r="H286" s="55" t="n"/>
      <c r="I286" s="58">
        <f>IF(F286="","",IF(I285="",F286,I285+F286))</f>
        <v/>
      </c>
      <c r="J286" s="55" t="n"/>
    </row>
    <row r="287" ht="15.75" customHeight="1" s="99">
      <c r="A287" s="41" t="n">
        <v>283</v>
      </c>
      <c r="B287" s="45" t="n"/>
      <c r="C287" s="47" t="n"/>
      <c r="D287" s="47" t="n"/>
      <c r="E287" s="47" t="n"/>
      <c r="F287" s="62" t="n"/>
      <c r="G287" s="47" t="n"/>
      <c r="H287" s="47" t="n"/>
      <c r="I287" s="50">
        <f>IF(F287="","",IF(I286="",F287,I286+F287))</f>
        <v/>
      </c>
      <c r="J287" s="47" t="n"/>
    </row>
    <row r="288" ht="15.75" customHeight="1" s="99">
      <c r="A288" s="43" t="n">
        <v>284</v>
      </c>
      <c r="B288" s="53" t="n"/>
      <c r="C288" s="55" t="n"/>
      <c r="D288" s="55" t="n"/>
      <c r="E288" s="55" t="n"/>
      <c r="F288" s="63" t="n"/>
      <c r="G288" s="55" t="n"/>
      <c r="H288" s="55" t="n"/>
      <c r="I288" s="58">
        <f>IF(F288="","",IF(I287="",F288,I287+F288))</f>
        <v/>
      </c>
      <c r="J288" s="55" t="n"/>
    </row>
    <row r="289" ht="15.75" customHeight="1" s="99">
      <c r="A289" s="41" t="n">
        <v>285</v>
      </c>
      <c r="B289" s="45" t="n"/>
      <c r="C289" s="47" t="n"/>
      <c r="D289" s="47" t="n"/>
      <c r="E289" s="47" t="n"/>
      <c r="F289" s="62" t="n"/>
      <c r="G289" s="47" t="n"/>
      <c r="H289" s="47" t="n"/>
      <c r="I289" s="50">
        <f>IF(F289="","",IF(I288="",F289,I288+F289))</f>
        <v/>
      </c>
      <c r="J289" s="47" t="n"/>
    </row>
    <row r="290" ht="15.75" customHeight="1" s="99">
      <c r="A290" s="43" t="n">
        <v>286</v>
      </c>
      <c r="B290" s="53" t="n"/>
      <c r="C290" s="55" t="n"/>
      <c r="D290" s="55" t="n"/>
      <c r="E290" s="55" t="n"/>
      <c r="F290" s="63" t="n"/>
      <c r="G290" s="55" t="n"/>
      <c r="H290" s="55" t="n"/>
      <c r="I290" s="58">
        <f>IF(F290="","",IF(I289="",F290,I289+F290))</f>
        <v/>
      </c>
      <c r="J290" s="55" t="n"/>
    </row>
    <row r="291" ht="15.75" customHeight="1" s="99">
      <c r="A291" s="41" t="n">
        <v>287</v>
      </c>
      <c r="B291" s="45" t="n"/>
      <c r="C291" s="47" t="n"/>
      <c r="D291" s="47" t="n"/>
      <c r="E291" s="47" t="n"/>
      <c r="F291" s="62" t="n"/>
      <c r="G291" s="47" t="n"/>
      <c r="H291" s="47" t="n"/>
      <c r="I291" s="50">
        <f>IF(F291="","",IF(I290="",F291,I290+F291))</f>
        <v/>
      </c>
      <c r="J291" s="47" t="n"/>
    </row>
    <row r="292" ht="15.75" customHeight="1" s="99">
      <c r="A292" s="43" t="n">
        <v>288</v>
      </c>
      <c r="B292" s="53" t="n"/>
      <c r="C292" s="55" t="n"/>
      <c r="D292" s="55" t="n"/>
      <c r="E292" s="55" t="n"/>
      <c r="F292" s="63" t="n"/>
      <c r="G292" s="55" t="n"/>
      <c r="H292" s="55" t="n"/>
      <c r="I292" s="58">
        <f>IF(F292="","",IF(I291="",F292,I291+F292))</f>
        <v/>
      </c>
      <c r="J292" s="55" t="n"/>
    </row>
    <row r="293" ht="15.75" customHeight="1" s="99">
      <c r="A293" s="41" t="n">
        <v>289</v>
      </c>
      <c r="B293" s="45" t="n"/>
      <c r="C293" s="47" t="n"/>
      <c r="D293" s="47" t="n"/>
      <c r="E293" s="47" t="n"/>
      <c r="F293" s="62" t="n"/>
      <c r="G293" s="47" t="n"/>
      <c r="H293" s="47" t="n"/>
      <c r="I293" s="50">
        <f>IF(F293="","",IF(I292="",F293,I292+F293))</f>
        <v/>
      </c>
      <c r="J293" s="47" t="n"/>
    </row>
    <row r="294" ht="15.75" customHeight="1" s="99">
      <c r="A294" s="43" t="n">
        <v>290</v>
      </c>
      <c r="B294" s="53" t="n"/>
      <c r="C294" s="55" t="n"/>
      <c r="D294" s="55" t="n"/>
      <c r="E294" s="55" t="n"/>
      <c r="F294" s="63" t="n"/>
      <c r="G294" s="55" t="n"/>
      <c r="H294" s="55" t="n"/>
      <c r="I294" s="58">
        <f>IF(F294="","",IF(I293="",F294,I293+F294))</f>
        <v/>
      </c>
      <c r="J294" s="55" t="n"/>
    </row>
    <row r="295" ht="15.75" customHeight="1" s="99">
      <c r="A295" s="41" t="n">
        <v>291</v>
      </c>
      <c r="B295" s="45" t="n"/>
      <c r="C295" s="47" t="n"/>
      <c r="D295" s="47" t="n"/>
      <c r="E295" s="47" t="n"/>
      <c r="F295" s="62" t="n"/>
      <c r="G295" s="47" t="n"/>
      <c r="H295" s="47" t="n"/>
      <c r="I295" s="50">
        <f>IF(F295="","",IF(I294="",F295,I294+F295))</f>
        <v/>
      </c>
      <c r="J295" s="47" t="n"/>
    </row>
    <row r="296" ht="15.75" customHeight="1" s="99">
      <c r="A296" s="43" t="n">
        <v>292</v>
      </c>
      <c r="B296" s="53" t="n"/>
      <c r="C296" s="55" t="n"/>
      <c r="D296" s="55" t="n"/>
      <c r="E296" s="55" t="n"/>
      <c r="F296" s="63" t="n"/>
      <c r="G296" s="55" t="n"/>
      <c r="H296" s="55" t="n"/>
      <c r="I296" s="58">
        <f>IF(F296="","",IF(I295="",F296,I295+F296))</f>
        <v/>
      </c>
      <c r="J296" s="55" t="n"/>
    </row>
    <row r="297" ht="15.75" customHeight="1" s="99">
      <c r="A297" s="41" t="n">
        <v>293</v>
      </c>
      <c r="B297" s="45" t="n"/>
      <c r="C297" s="47" t="n"/>
      <c r="D297" s="47" t="n"/>
      <c r="E297" s="47" t="n"/>
      <c r="F297" s="62" t="n"/>
      <c r="G297" s="47" t="n"/>
      <c r="H297" s="47" t="n"/>
      <c r="I297" s="50">
        <f>IF(F297="","",IF(I296="",F297,I296+F297))</f>
        <v/>
      </c>
      <c r="J297" s="47" t="n"/>
    </row>
    <row r="298" ht="15.75" customHeight="1" s="99">
      <c r="A298" s="43" t="n">
        <v>294</v>
      </c>
      <c r="B298" s="53" t="n"/>
      <c r="C298" s="55" t="n"/>
      <c r="D298" s="55" t="n"/>
      <c r="E298" s="55" t="n"/>
      <c r="F298" s="63" t="n"/>
      <c r="G298" s="55" t="n"/>
      <c r="H298" s="55" t="n"/>
      <c r="I298" s="58">
        <f>IF(F298="","",IF(I297="",F298,I297+F298))</f>
        <v/>
      </c>
      <c r="J298" s="55" t="n"/>
    </row>
    <row r="299" ht="15.75" customHeight="1" s="99">
      <c r="A299" s="41" t="n">
        <v>295</v>
      </c>
      <c r="B299" s="45" t="n"/>
      <c r="C299" s="47" t="n"/>
      <c r="D299" s="47" t="n"/>
      <c r="E299" s="47" t="n"/>
      <c r="F299" s="62" t="n"/>
      <c r="G299" s="47" t="n"/>
      <c r="H299" s="47" t="n"/>
      <c r="I299" s="50">
        <f>IF(F299="","",IF(I298="",F299,I298+F299))</f>
        <v/>
      </c>
      <c r="J299" s="47" t="n"/>
    </row>
    <row r="300" ht="15.75" customHeight="1" s="99">
      <c r="A300" s="43" t="n">
        <v>296</v>
      </c>
      <c r="B300" s="53" t="n"/>
      <c r="C300" s="55" t="n"/>
      <c r="D300" s="55" t="n"/>
      <c r="E300" s="55" t="n"/>
      <c r="F300" s="63" t="n"/>
      <c r="G300" s="55" t="n"/>
      <c r="H300" s="55" t="n"/>
      <c r="I300" s="58">
        <f>IF(F300="","",IF(I299="",F300,I299+F300))</f>
        <v/>
      </c>
      <c r="J300" s="55" t="n"/>
    </row>
    <row r="301" ht="15.75" customHeight="1" s="99">
      <c r="A301" s="41" t="n">
        <v>297</v>
      </c>
      <c r="B301" s="45" t="n"/>
      <c r="C301" s="47" t="n"/>
      <c r="D301" s="47" t="n"/>
      <c r="E301" s="47" t="n"/>
      <c r="F301" s="62" t="n"/>
      <c r="G301" s="47" t="n"/>
      <c r="H301" s="47" t="n"/>
      <c r="I301" s="50">
        <f>IF(F301="","",IF(I300="",F301,I300+F301))</f>
        <v/>
      </c>
      <c r="J301" s="47" t="n"/>
    </row>
    <row r="302" ht="15.75" customHeight="1" s="99">
      <c r="A302" s="43" t="n">
        <v>298</v>
      </c>
      <c r="B302" s="53" t="n"/>
      <c r="C302" s="55" t="n"/>
      <c r="D302" s="55" t="n"/>
      <c r="E302" s="55" t="n"/>
      <c r="F302" s="63" t="n"/>
      <c r="G302" s="55" t="n"/>
      <c r="H302" s="55" t="n"/>
      <c r="I302" s="58">
        <f>IF(F302="","",IF(I301="",F302,I301+F302))</f>
        <v/>
      </c>
      <c r="J302" s="55" t="n"/>
    </row>
    <row r="303" ht="15.75" customHeight="1" s="99">
      <c r="A303" s="41" t="n">
        <v>299</v>
      </c>
      <c r="B303" s="45" t="n"/>
      <c r="C303" s="47" t="n"/>
      <c r="D303" s="47" t="n"/>
      <c r="E303" s="47" t="n"/>
      <c r="F303" s="62" t="n"/>
      <c r="G303" s="47" t="n"/>
      <c r="H303" s="47" t="n"/>
      <c r="I303" s="50">
        <f>IF(F303="","",IF(I302="",F303,I302+F303))</f>
        <v/>
      </c>
      <c r="J303" s="47" t="n"/>
    </row>
    <row r="304" ht="15.75" customHeight="1" s="99">
      <c r="A304" s="43" t="n">
        <v>300</v>
      </c>
      <c r="B304" s="53" t="n"/>
      <c r="C304" s="55" t="n"/>
      <c r="D304" s="55" t="n"/>
      <c r="E304" s="55" t="n"/>
      <c r="F304" s="63" t="n"/>
      <c r="G304" s="55" t="n"/>
      <c r="H304" s="55" t="n"/>
      <c r="I304" s="58">
        <f>IF(F304="","",IF(I303="",F304,I303+F304))</f>
        <v/>
      </c>
      <c r="J304" s="55" t="n"/>
    </row>
    <row r="305" ht="15.75" customHeight="1" s="99">
      <c r="A305" s="41" t="n">
        <v>301</v>
      </c>
      <c r="B305" s="45" t="n"/>
      <c r="C305" s="47" t="n"/>
      <c r="D305" s="47" t="n"/>
      <c r="E305" s="47" t="n"/>
      <c r="F305" s="62" t="n"/>
      <c r="G305" s="47" t="n"/>
      <c r="H305" s="47" t="n"/>
      <c r="I305" s="50">
        <f>IF(F305="","",IF(I304="",F305,I304+F305))</f>
        <v/>
      </c>
      <c r="J305" s="47" t="n"/>
    </row>
    <row r="306" ht="15.75" customHeight="1" s="99">
      <c r="A306" s="43" t="n">
        <v>302</v>
      </c>
      <c r="B306" s="53" t="n"/>
      <c r="C306" s="55" t="n"/>
      <c r="D306" s="55" t="n"/>
      <c r="E306" s="55" t="n"/>
      <c r="F306" s="63" t="n"/>
      <c r="G306" s="55" t="n"/>
      <c r="H306" s="55" t="n"/>
      <c r="I306" s="58">
        <f>IF(F306="","",IF(I305="",F306,I305+F306))</f>
        <v/>
      </c>
      <c r="J306" s="55" t="n"/>
    </row>
    <row r="307" ht="15.75" customHeight="1" s="99">
      <c r="A307" s="41" t="n">
        <v>303</v>
      </c>
      <c r="B307" s="45" t="n"/>
      <c r="C307" s="47" t="n"/>
      <c r="D307" s="47" t="n"/>
      <c r="E307" s="47" t="n"/>
      <c r="F307" s="62" t="n"/>
      <c r="G307" s="47" t="n"/>
      <c r="H307" s="47" t="n"/>
      <c r="I307" s="50">
        <f>IF(F307="","",IF(I306="",F307,I306+F307))</f>
        <v/>
      </c>
      <c r="J307" s="47" t="n"/>
    </row>
    <row r="308" ht="15.75" customHeight="1" s="99">
      <c r="A308" s="43" t="n">
        <v>304</v>
      </c>
      <c r="B308" s="53" t="n"/>
      <c r="C308" s="55" t="n"/>
      <c r="D308" s="55" t="n"/>
      <c r="E308" s="55" t="n"/>
      <c r="F308" s="63" t="n"/>
      <c r="G308" s="55" t="n"/>
      <c r="H308" s="55" t="n"/>
      <c r="I308" s="58">
        <f>IF(F308="","",IF(I307="",F308,I307+F308))</f>
        <v/>
      </c>
      <c r="J308" s="55" t="n"/>
    </row>
    <row r="309" ht="15.75" customHeight="1" s="99">
      <c r="A309" s="41" t="n">
        <v>305</v>
      </c>
      <c r="B309" s="45" t="n"/>
      <c r="C309" s="47" t="n"/>
      <c r="D309" s="47" t="n"/>
      <c r="E309" s="47" t="n"/>
      <c r="F309" s="62" t="n"/>
      <c r="G309" s="47" t="n"/>
      <c r="H309" s="47" t="n"/>
      <c r="I309" s="50">
        <f>IF(F309="","",IF(I308="",F309,I308+F309))</f>
        <v/>
      </c>
      <c r="J309" s="47" t="n"/>
    </row>
    <row r="310" ht="15.75" customHeight="1" s="99">
      <c r="A310" s="43" t="n">
        <v>306</v>
      </c>
      <c r="B310" s="53" t="n"/>
      <c r="C310" s="55" t="n"/>
      <c r="D310" s="55" t="n"/>
      <c r="E310" s="55" t="n"/>
      <c r="F310" s="63" t="n"/>
      <c r="G310" s="55" t="n"/>
      <c r="H310" s="55" t="n"/>
      <c r="I310" s="58">
        <f>IF(F310="","",IF(I309="",F310,I309+F310))</f>
        <v/>
      </c>
      <c r="J310" s="55" t="n"/>
    </row>
    <row r="311" ht="15.75" customHeight="1" s="99">
      <c r="A311" s="41" t="n">
        <v>307</v>
      </c>
      <c r="B311" s="45" t="n"/>
      <c r="C311" s="47" t="n"/>
      <c r="D311" s="47" t="n"/>
      <c r="E311" s="47" t="n"/>
      <c r="F311" s="62" t="n"/>
      <c r="G311" s="47" t="n"/>
      <c r="H311" s="47" t="n"/>
      <c r="I311" s="50">
        <f>IF(F311="","",IF(I310="",F311,I310+F311))</f>
        <v/>
      </c>
      <c r="J311" s="47" t="n"/>
    </row>
    <row r="312" ht="15.75" customHeight="1" s="99">
      <c r="A312" s="43" t="n">
        <v>308</v>
      </c>
      <c r="B312" s="53" t="n"/>
      <c r="C312" s="55" t="n"/>
      <c r="D312" s="55" t="n"/>
      <c r="E312" s="55" t="n"/>
      <c r="F312" s="63" t="n"/>
      <c r="G312" s="55" t="n"/>
      <c r="H312" s="55" t="n"/>
      <c r="I312" s="58">
        <f>IF(F312="","",IF(I311="",F312,I311+F312))</f>
        <v/>
      </c>
      <c r="J312" s="55" t="n"/>
    </row>
    <row r="313" ht="15.75" customHeight="1" s="99">
      <c r="A313" s="41" t="n">
        <v>309</v>
      </c>
      <c r="B313" s="45" t="n"/>
      <c r="C313" s="47" t="n"/>
      <c r="D313" s="47" t="n"/>
      <c r="E313" s="47" t="n"/>
      <c r="F313" s="62" t="n"/>
      <c r="G313" s="47" t="n"/>
      <c r="H313" s="47" t="n"/>
      <c r="I313" s="50">
        <f>IF(F313="","",IF(I312="",F313,I312+F313))</f>
        <v/>
      </c>
      <c r="J313" s="47" t="n"/>
    </row>
    <row r="314" ht="15.75" customHeight="1" s="99">
      <c r="A314" s="43" t="n">
        <v>310</v>
      </c>
      <c r="B314" s="53" t="n"/>
      <c r="C314" s="55" t="n"/>
      <c r="D314" s="55" t="n"/>
      <c r="E314" s="55" t="n"/>
      <c r="F314" s="63" t="n"/>
      <c r="G314" s="55" t="n"/>
      <c r="H314" s="55" t="n"/>
      <c r="I314" s="58">
        <f>IF(F314="","",IF(I313="",F314,I313+F314))</f>
        <v/>
      </c>
      <c r="J314" s="55" t="n"/>
    </row>
    <row r="315" ht="15.75" customHeight="1" s="99">
      <c r="A315" s="41" t="n">
        <v>311</v>
      </c>
      <c r="B315" s="45" t="n"/>
      <c r="C315" s="47" t="n"/>
      <c r="D315" s="47" t="n"/>
      <c r="E315" s="47" t="n"/>
      <c r="F315" s="62" t="n"/>
      <c r="G315" s="47" t="n"/>
      <c r="H315" s="47" t="n"/>
      <c r="I315" s="50">
        <f>IF(F315="","",IF(I314="",F315,I314+F315))</f>
        <v/>
      </c>
      <c r="J315" s="47" t="n"/>
    </row>
    <row r="316" ht="15.75" customHeight="1" s="99">
      <c r="A316" s="43" t="n">
        <v>312</v>
      </c>
      <c r="B316" s="53" t="n"/>
      <c r="C316" s="55" t="n"/>
      <c r="D316" s="55" t="n"/>
      <c r="E316" s="55" t="n"/>
      <c r="F316" s="63" t="n"/>
      <c r="G316" s="55" t="n"/>
      <c r="H316" s="55" t="n"/>
      <c r="I316" s="58">
        <f>IF(F316="","",IF(I315="",F316,I315+F316))</f>
        <v/>
      </c>
      <c r="J316" s="55" t="n"/>
    </row>
    <row r="317" ht="15.75" customHeight="1" s="99">
      <c r="A317" s="41" t="n">
        <v>313</v>
      </c>
      <c r="B317" s="45" t="n"/>
      <c r="C317" s="47" t="n"/>
      <c r="D317" s="47" t="n"/>
      <c r="E317" s="47" t="n"/>
      <c r="F317" s="62" t="n"/>
      <c r="G317" s="47" t="n"/>
      <c r="H317" s="47" t="n"/>
      <c r="I317" s="50">
        <f>IF(F317="","",IF(I316="",F317,I316+F317))</f>
        <v/>
      </c>
      <c r="J317" s="47" t="n"/>
    </row>
    <row r="318" ht="15.75" customHeight="1" s="99">
      <c r="A318" s="43" t="n">
        <v>314</v>
      </c>
      <c r="B318" s="53" t="n"/>
      <c r="C318" s="55" t="n"/>
      <c r="D318" s="55" t="n"/>
      <c r="E318" s="55" t="n"/>
      <c r="F318" s="63" t="n"/>
      <c r="G318" s="55" t="n"/>
      <c r="H318" s="55" t="n"/>
      <c r="I318" s="58">
        <f>IF(F318="","",IF(I317="",F318,I317+F318))</f>
        <v/>
      </c>
      <c r="J318" s="55" t="n"/>
    </row>
    <row r="319" ht="15.75" customHeight="1" s="99">
      <c r="A319" s="41" t="n">
        <v>315</v>
      </c>
      <c r="B319" s="45" t="n"/>
      <c r="C319" s="47" t="n"/>
      <c r="D319" s="47" t="n"/>
      <c r="E319" s="47" t="n"/>
      <c r="F319" s="62" t="n"/>
      <c r="G319" s="47" t="n"/>
      <c r="H319" s="47" t="n"/>
      <c r="I319" s="50">
        <f>IF(F319="","",IF(I318="",F319,I318+F319))</f>
        <v/>
      </c>
      <c r="J319" s="47" t="n"/>
    </row>
    <row r="320" ht="15.75" customHeight="1" s="99">
      <c r="A320" s="43" t="n">
        <v>316</v>
      </c>
      <c r="B320" s="53" t="n"/>
      <c r="C320" s="55" t="n"/>
      <c r="D320" s="55" t="n"/>
      <c r="E320" s="55" t="n"/>
      <c r="F320" s="63" t="n"/>
      <c r="G320" s="55" t="n"/>
      <c r="H320" s="55" t="n"/>
      <c r="I320" s="58">
        <f>IF(F320="","",IF(I319="",F320,I319+F320))</f>
        <v/>
      </c>
      <c r="J320" s="55" t="n"/>
    </row>
    <row r="321" ht="15.75" customHeight="1" s="99">
      <c r="A321" s="41" t="n">
        <v>317</v>
      </c>
      <c r="B321" s="45" t="n"/>
      <c r="C321" s="47" t="n"/>
      <c r="D321" s="47" t="n"/>
      <c r="E321" s="47" t="n"/>
      <c r="F321" s="62" t="n"/>
      <c r="G321" s="47" t="n"/>
      <c r="H321" s="47" t="n"/>
      <c r="I321" s="50">
        <f>IF(F321="","",IF(I320="",F321,I320+F321))</f>
        <v/>
      </c>
      <c r="J321" s="47" t="n"/>
    </row>
    <row r="322" ht="15.75" customHeight="1" s="99">
      <c r="A322" s="43" t="n">
        <v>318</v>
      </c>
      <c r="B322" s="53" t="n"/>
      <c r="C322" s="55" t="n"/>
      <c r="D322" s="55" t="n"/>
      <c r="E322" s="55" t="n"/>
      <c r="F322" s="63" t="n"/>
      <c r="G322" s="55" t="n"/>
      <c r="H322" s="55" t="n"/>
      <c r="I322" s="58">
        <f>IF(F322="","",IF(I321="",F322,I321+F322))</f>
        <v/>
      </c>
      <c r="J322" s="55" t="n"/>
    </row>
    <row r="323" ht="15.75" customHeight="1" s="99">
      <c r="A323" s="41" t="n">
        <v>319</v>
      </c>
      <c r="B323" s="45" t="n"/>
      <c r="C323" s="47" t="n"/>
      <c r="D323" s="47" t="n"/>
      <c r="E323" s="47" t="n"/>
      <c r="F323" s="62" t="n"/>
      <c r="G323" s="47" t="n"/>
      <c r="H323" s="47" t="n"/>
      <c r="I323" s="50">
        <f>IF(F323="","",IF(I322="",F323,I322+F323))</f>
        <v/>
      </c>
      <c r="J323" s="47" t="n"/>
    </row>
    <row r="324" ht="15.75" customHeight="1" s="99">
      <c r="A324" s="43" t="n">
        <v>320</v>
      </c>
      <c r="B324" s="53" t="n"/>
      <c r="C324" s="55" t="n"/>
      <c r="D324" s="55" t="n"/>
      <c r="E324" s="55" t="n"/>
      <c r="F324" s="63" t="n"/>
      <c r="G324" s="55" t="n"/>
      <c r="H324" s="55" t="n"/>
      <c r="I324" s="58">
        <f>IF(F324="","",IF(I323="",F324,I323+F324))</f>
        <v/>
      </c>
      <c r="J324" s="55" t="n"/>
    </row>
    <row r="325" ht="15.75" customHeight="1" s="99">
      <c r="A325" s="41" t="n">
        <v>321</v>
      </c>
      <c r="B325" s="45" t="n"/>
      <c r="C325" s="47" t="n"/>
      <c r="D325" s="47" t="n"/>
      <c r="E325" s="47" t="n"/>
      <c r="F325" s="62" t="n"/>
      <c r="G325" s="47" t="n"/>
      <c r="H325" s="47" t="n"/>
      <c r="I325" s="50">
        <f>IF(F325="","",IF(I324="",F325,I324+F325))</f>
        <v/>
      </c>
      <c r="J325" s="47" t="n"/>
    </row>
    <row r="326" ht="15.75" customHeight="1" s="99">
      <c r="A326" s="43" t="n">
        <v>322</v>
      </c>
      <c r="B326" s="53" t="n"/>
      <c r="C326" s="55" t="n"/>
      <c r="D326" s="55" t="n"/>
      <c r="E326" s="55" t="n"/>
      <c r="F326" s="63" t="n"/>
      <c r="G326" s="55" t="n"/>
      <c r="H326" s="55" t="n"/>
      <c r="I326" s="58">
        <f>IF(F326="","",IF(I325="",F326,I325+F326))</f>
        <v/>
      </c>
      <c r="J326" s="55" t="n"/>
    </row>
    <row r="327" ht="15.75" customHeight="1" s="99">
      <c r="A327" s="41" t="n">
        <v>323</v>
      </c>
      <c r="B327" s="45" t="n"/>
      <c r="C327" s="47" t="n"/>
      <c r="D327" s="47" t="n"/>
      <c r="E327" s="47" t="n"/>
      <c r="F327" s="62" t="n"/>
      <c r="G327" s="47" t="n"/>
      <c r="H327" s="47" t="n"/>
      <c r="I327" s="50">
        <f>IF(F327="","",IF(I326="",F327,I326+F327))</f>
        <v/>
      </c>
      <c r="J327" s="47" t="n"/>
    </row>
    <row r="328" ht="15.75" customHeight="1" s="99">
      <c r="A328" s="43" t="n">
        <v>324</v>
      </c>
      <c r="B328" s="53" t="n"/>
      <c r="C328" s="55" t="n"/>
      <c r="D328" s="55" t="n"/>
      <c r="E328" s="55" t="n"/>
      <c r="F328" s="63" t="n"/>
      <c r="G328" s="55" t="n"/>
      <c r="H328" s="55" t="n"/>
      <c r="I328" s="58">
        <f>IF(F328="","",IF(I327="",F328,I327+F328))</f>
        <v/>
      </c>
      <c r="J328" s="55" t="n"/>
    </row>
    <row r="329" ht="15.75" customHeight="1" s="99">
      <c r="A329" s="41" t="n">
        <v>325</v>
      </c>
      <c r="B329" s="45" t="n"/>
      <c r="C329" s="47" t="n"/>
      <c r="D329" s="47" t="n"/>
      <c r="E329" s="47" t="n"/>
      <c r="F329" s="62" t="n"/>
      <c r="G329" s="47" t="n"/>
      <c r="H329" s="47" t="n"/>
      <c r="I329" s="50">
        <f>IF(F329="","",IF(I328="",F329,I328+F329))</f>
        <v/>
      </c>
      <c r="J329" s="47" t="n"/>
    </row>
    <row r="330" ht="15.75" customHeight="1" s="99">
      <c r="A330" s="43" t="n">
        <v>326</v>
      </c>
      <c r="B330" s="53" t="n"/>
      <c r="C330" s="55" t="n"/>
      <c r="D330" s="55" t="n"/>
      <c r="E330" s="55" t="n"/>
      <c r="F330" s="63" t="n"/>
      <c r="G330" s="55" t="n"/>
      <c r="H330" s="55" t="n"/>
      <c r="I330" s="58">
        <f>IF(F330="","",IF(I329="",F330,I329+F330))</f>
        <v/>
      </c>
      <c r="J330" s="55" t="n"/>
    </row>
    <row r="331" ht="15.75" customHeight="1" s="99">
      <c r="A331" s="41" t="n">
        <v>327</v>
      </c>
      <c r="B331" s="45" t="n"/>
      <c r="C331" s="47" t="n"/>
      <c r="D331" s="47" t="n"/>
      <c r="E331" s="47" t="n"/>
      <c r="F331" s="62" t="n"/>
      <c r="G331" s="47" t="n"/>
      <c r="H331" s="47" t="n"/>
      <c r="I331" s="50">
        <f>IF(F331="","",IF(I330="",F331,I330+F331))</f>
        <v/>
      </c>
      <c r="J331" s="47" t="n"/>
    </row>
    <row r="332" ht="15.75" customHeight="1" s="99">
      <c r="A332" s="43" t="n">
        <v>328</v>
      </c>
      <c r="B332" s="53" t="n"/>
      <c r="C332" s="55" t="n"/>
      <c r="D332" s="55" t="n"/>
      <c r="E332" s="55" t="n"/>
      <c r="F332" s="63" t="n"/>
      <c r="G332" s="55" t="n"/>
      <c r="H332" s="55" t="n"/>
      <c r="I332" s="58">
        <f>IF(F332="","",IF(I331="",F332,I331+F332))</f>
        <v/>
      </c>
      <c r="J332" s="55" t="n"/>
    </row>
    <row r="333" ht="15.75" customHeight="1" s="99">
      <c r="A333" s="41" t="n">
        <v>329</v>
      </c>
      <c r="B333" s="45" t="n"/>
      <c r="C333" s="47" t="n"/>
      <c r="D333" s="47" t="n"/>
      <c r="E333" s="47" t="n"/>
      <c r="F333" s="62" t="n"/>
      <c r="G333" s="47" t="n"/>
      <c r="H333" s="47" t="n"/>
      <c r="I333" s="50">
        <f>IF(F333="","",IF(I332="",F333,I332+F333))</f>
        <v/>
      </c>
      <c r="J333" s="47" t="n"/>
    </row>
    <row r="334" ht="15.75" customHeight="1" s="99">
      <c r="A334" s="43" t="n">
        <v>330</v>
      </c>
      <c r="B334" s="53" t="n"/>
      <c r="C334" s="55" t="n"/>
      <c r="D334" s="55" t="n"/>
      <c r="E334" s="55" t="n"/>
      <c r="F334" s="63" t="n"/>
      <c r="G334" s="55" t="n"/>
      <c r="H334" s="55" t="n"/>
      <c r="I334" s="58">
        <f>IF(F334="","",IF(I333="",F334,I333+F334))</f>
        <v/>
      </c>
      <c r="J334" s="55" t="n"/>
    </row>
    <row r="335" ht="15.75" customHeight="1" s="99">
      <c r="A335" s="41" t="n">
        <v>331</v>
      </c>
      <c r="B335" s="45" t="n"/>
      <c r="C335" s="47" t="n"/>
      <c r="D335" s="47" t="n"/>
      <c r="E335" s="47" t="n"/>
      <c r="F335" s="62" t="n"/>
      <c r="G335" s="47" t="n"/>
      <c r="H335" s="47" t="n"/>
      <c r="I335" s="50">
        <f>IF(F335="","",IF(I334="",F335,I334+F335))</f>
        <v/>
      </c>
      <c r="J335" s="47" t="n"/>
    </row>
    <row r="336" ht="15.75" customHeight="1" s="99">
      <c r="A336" s="43" t="n">
        <v>332</v>
      </c>
      <c r="B336" s="53" t="n"/>
      <c r="C336" s="55" t="n"/>
      <c r="D336" s="55" t="n"/>
      <c r="E336" s="55" t="n"/>
      <c r="F336" s="63" t="n"/>
      <c r="G336" s="55" t="n"/>
      <c r="H336" s="55" t="n"/>
      <c r="I336" s="58">
        <f>IF(F336="","",IF(I335="",F336,I335+F336))</f>
        <v/>
      </c>
      <c r="J336" s="55" t="n"/>
    </row>
    <row r="337" ht="15.75" customHeight="1" s="99">
      <c r="A337" s="41" t="n">
        <v>333</v>
      </c>
      <c r="B337" s="45" t="n"/>
      <c r="C337" s="47" t="n"/>
      <c r="D337" s="47" t="n"/>
      <c r="E337" s="47" t="n"/>
      <c r="F337" s="62" t="n"/>
      <c r="G337" s="47" t="n"/>
      <c r="H337" s="47" t="n"/>
      <c r="I337" s="50">
        <f>IF(F337="","",IF(I336="",F337,I336+F337))</f>
        <v/>
      </c>
      <c r="J337" s="47" t="n"/>
    </row>
    <row r="338" ht="15.75" customHeight="1" s="99">
      <c r="A338" s="43" t="n">
        <v>334</v>
      </c>
      <c r="B338" s="53" t="n"/>
      <c r="C338" s="55" t="n"/>
      <c r="D338" s="55" t="n"/>
      <c r="E338" s="55" t="n"/>
      <c r="F338" s="63" t="n"/>
      <c r="G338" s="55" t="n"/>
      <c r="H338" s="55" t="n"/>
      <c r="I338" s="58">
        <f>IF(F338="","",IF(I337="",F338,I337+F338))</f>
        <v/>
      </c>
      <c r="J338" s="55" t="n"/>
    </row>
    <row r="339" ht="15.75" customHeight="1" s="99">
      <c r="A339" s="41" t="n">
        <v>335</v>
      </c>
      <c r="B339" s="45" t="n"/>
      <c r="C339" s="47" t="n"/>
      <c r="D339" s="47" t="n"/>
      <c r="E339" s="47" t="n"/>
      <c r="F339" s="62" t="n"/>
      <c r="G339" s="47" t="n"/>
      <c r="H339" s="47" t="n"/>
      <c r="I339" s="50">
        <f>IF(F339="","",IF(I338="",F339,I338+F339))</f>
        <v/>
      </c>
      <c r="J339" s="47" t="n"/>
    </row>
    <row r="340" ht="15.75" customHeight="1" s="99">
      <c r="A340" s="43" t="n">
        <v>336</v>
      </c>
      <c r="B340" s="53" t="n"/>
      <c r="C340" s="55" t="n"/>
      <c r="D340" s="55" t="n"/>
      <c r="E340" s="55" t="n"/>
      <c r="F340" s="63" t="n"/>
      <c r="G340" s="55" t="n"/>
      <c r="H340" s="55" t="n"/>
      <c r="I340" s="58">
        <f>IF(F340="","",IF(I339="",F340,I339+F340))</f>
        <v/>
      </c>
      <c r="J340" s="55" t="n"/>
    </row>
    <row r="341" ht="15.75" customHeight="1" s="99">
      <c r="A341" s="41" t="n">
        <v>337</v>
      </c>
      <c r="B341" s="45" t="n"/>
      <c r="C341" s="47" t="n"/>
      <c r="D341" s="47" t="n"/>
      <c r="E341" s="47" t="n"/>
      <c r="F341" s="62" t="n"/>
      <c r="G341" s="47" t="n"/>
      <c r="H341" s="47" t="n"/>
      <c r="I341" s="50">
        <f>IF(F341="","",IF(I340="",F341,I340+F341))</f>
        <v/>
      </c>
      <c r="J341" s="47" t="n"/>
    </row>
    <row r="342" ht="15.75" customHeight="1" s="99">
      <c r="A342" s="43" t="n">
        <v>338</v>
      </c>
      <c r="B342" s="53" t="n"/>
      <c r="C342" s="55" t="n"/>
      <c r="D342" s="55" t="n"/>
      <c r="E342" s="55" t="n"/>
      <c r="F342" s="63" t="n"/>
      <c r="G342" s="55" t="n"/>
      <c r="H342" s="55" t="n"/>
      <c r="I342" s="58">
        <f>IF(F342="","",IF(I341="",F342,I341+F342))</f>
        <v/>
      </c>
      <c r="J342" s="55" t="n"/>
    </row>
    <row r="343" ht="15.75" customHeight="1" s="99">
      <c r="A343" s="41" t="n">
        <v>339</v>
      </c>
      <c r="B343" s="45" t="n"/>
      <c r="C343" s="47" t="n"/>
      <c r="D343" s="47" t="n"/>
      <c r="E343" s="47" t="n"/>
      <c r="F343" s="62" t="n"/>
      <c r="G343" s="47" t="n"/>
      <c r="H343" s="47" t="n"/>
      <c r="I343" s="50">
        <f>IF(F343="","",IF(I342="",F343,I342+F343))</f>
        <v/>
      </c>
      <c r="J343" s="47" t="n"/>
    </row>
    <row r="344" ht="15.75" customHeight="1" s="99">
      <c r="A344" s="43" t="n">
        <v>340</v>
      </c>
      <c r="B344" s="53" t="n"/>
      <c r="C344" s="55" t="n"/>
      <c r="D344" s="55" t="n"/>
      <c r="E344" s="55" t="n"/>
      <c r="F344" s="63" t="n"/>
      <c r="G344" s="55" t="n"/>
      <c r="H344" s="55" t="n"/>
      <c r="I344" s="58">
        <f>IF(F344="","",IF(I343="",F344,I343+F344))</f>
        <v/>
      </c>
      <c r="J344" s="55" t="n"/>
    </row>
    <row r="345" ht="15.75" customHeight="1" s="99">
      <c r="A345" s="41" t="n">
        <v>341</v>
      </c>
      <c r="B345" s="45" t="n"/>
      <c r="C345" s="47" t="n"/>
      <c r="D345" s="47" t="n"/>
      <c r="E345" s="47" t="n"/>
      <c r="F345" s="62" t="n"/>
      <c r="G345" s="47" t="n"/>
      <c r="H345" s="47" t="n"/>
      <c r="I345" s="50">
        <f>IF(F345="","",IF(I344="",F345,I344+F345))</f>
        <v/>
      </c>
      <c r="J345" s="47" t="n"/>
    </row>
    <row r="346" ht="15.75" customHeight="1" s="99">
      <c r="A346" s="43" t="n">
        <v>342</v>
      </c>
      <c r="B346" s="53" t="n"/>
      <c r="C346" s="55" t="n"/>
      <c r="D346" s="55" t="n"/>
      <c r="E346" s="55" t="n"/>
      <c r="F346" s="63" t="n"/>
      <c r="G346" s="55" t="n"/>
      <c r="H346" s="55" t="n"/>
      <c r="I346" s="58">
        <f>IF(F346="","",IF(I345="",F346,I345+F346))</f>
        <v/>
      </c>
      <c r="J346" s="55" t="n"/>
    </row>
    <row r="347" ht="15.75" customHeight="1" s="99">
      <c r="A347" s="41" t="n">
        <v>343</v>
      </c>
      <c r="B347" s="45" t="n"/>
      <c r="C347" s="47" t="n"/>
      <c r="D347" s="47" t="n"/>
      <c r="E347" s="47" t="n"/>
      <c r="F347" s="62" t="n"/>
      <c r="G347" s="47" t="n"/>
      <c r="H347" s="47" t="n"/>
      <c r="I347" s="50">
        <f>IF(F347="","",IF(I346="",F347,I346+F347))</f>
        <v/>
      </c>
      <c r="J347" s="47" t="n"/>
    </row>
    <row r="348" ht="15.75" customHeight="1" s="99">
      <c r="A348" s="43" t="n">
        <v>344</v>
      </c>
      <c r="B348" s="53" t="n"/>
      <c r="C348" s="55" t="n"/>
      <c r="D348" s="55" t="n"/>
      <c r="E348" s="55" t="n"/>
      <c r="F348" s="63" t="n"/>
      <c r="G348" s="55" t="n"/>
      <c r="H348" s="55" t="n"/>
      <c r="I348" s="58">
        <f>IF(F348="","",IF(I347="",F348,I347+F348))</f>
        <v/>
      </c>
      <c r="J348" s="55" t="n"/>
    </row>
    <row r="349" ht="15.75" customHeight="1" s="99">
      <c r="A349" s="41" t="n">
        <v>345</v>
      </c>
      <c r="B349" s="45" t="n"/>
      <c r="C349" s="47" t="n"/>
      <c r="D349" s="47" t="n"/>
      <c r="E349" s="47" t="n"/>
      <c r="F349" s="62" t="n"/>
      <c r="G349" s="47" t="n"/>
      <c r="H349" s="47" t="n"/>
      <c r="I349" s="50">
        <f>IF(F349="","",IF(I348="",F349,I348+F349))</f>
        <v/>
      </c>
      <c r="J349" s="47" t="n"/>
    </row>
    <row r="350" ht="15.75" customHeight="1" s="99">
      <c r="A350" s="43" t="n">
        <v>346</v>
      </c>
      <c r="B350" s="53" t="n"/>
      <c r="C350" s="55" t="n"/>
      <c r="D350" s="55" t="n"/>
      <c r="E350" s="55" t="n"/>
      <c r="F350" s="63" t="n"/>
      <c r="G350" s="55" t="n"/>
      <c r="H350" s="55" t="n"/>
      <c r="I350" s="58">
        <f>IF(F350="","",IF(I349="",F350,I349+F350))</f>
        <v/>
      </c>
      <c r="J350" s="55" t="n"/>
    </row>
    <row r="351" ht="15.75" customHeight="1" s="99">
      <c r="A351" s="41" t="n">
        <v>347</v>
      </c>
      <c r="B351" s="45" t="n"/>
      <c r="C351" s="47" t="n"/>
      <c r="D351" s="47" t="n"/>
      <c r="E351" s="47" t="n"/>
      <c r="F351" s="62" t="n"/>
      <c r="G351" s="47" t="n"/>
      <c r="H351" s="47" t="n"/>
      <c r="I351" s="50">
        <f>IF(F351="","",IF(I350="",F351,I350+F351))</f>
        <v/>
      </c>
      <c r="J351" s="47" t="n"/>
    </row>
    <row r="352" ht="15.75" customHeight="1" s="99">
      <c r="A352" s="43" t="n">
        <v>348</v>
      </c>
      <c r="B352" s="53" t="n"/>
      <c r="C352" s="55" t="n"/>
      <c r="D352" s="55" t="n"/>
      <c r="E352" s="55" t="n"/>
      <c r="F352" s="63" t="n"/>
      <c r="G352" s="55" t="n"/>
      <c r="H352" s="55" t="n"/>
      <c r="I352" s="58">
        <f>IF(F352="","",IF(I351="",F352,I351+F352))</f>
        <v/>
      </c>
      <c r="J352" s="55" t="n"/>
    </row>
    <row r="353" ht="15.75" customHeight="1" s="99">
      <c r="A353" s="41" t="n">
        <v>349</v>
      </c>
      <c r="B353" s="45" t="n"/>
      <c r="C353" s="47" t="n"/>
      <c r="D353" s="47" t="n"/>
      <c r="E353" s="47" t="n"/>
      <c r="F353" s="62" t="n"/>
      <c r="G353" s="47" t="n"/>
      <c r="H353" s="47" t="n"/>
      <c r="I353" s="50">
        <f>IF(F353="","",IF(I352="",F353,I352+F353))</f>
        <v/>
      </c>
      <c r="J353" s="47" t="n"/>
    </row>
    <row r="354" ht="15.75" customHeight="1" s="99">
      <c r="A354" s="43" t="n">
        <v>350</v>
      </c>
      <c r="B354" s="53" t="n"/>
      <c r="C354" s="55" t="n"/>
      <c r="D354" s="55" t="n"/>
      <c r="E354" s="55" t="n"/>
      <c r="F354" s="63" t="n"/>
      <c r="G354" s="55" t="n"/>
      <c r="H354" s="55" t="n"/>
      <c r="I354" s="58">
        <f>IF(F354="","",IF(I353="",F354,I353+F354))</f>
        <v/>
      </c>
      <c r="J354" s="55" t="n"/>
    </row>
    <row r="355" ht="15.75" customHeight="1" s="99">
      <c r="A355" s="41" t="n">
        <v>351</v>
      </c>
      <c r="B355" s="45" t="n"/>
      <c r="C355" s="47" t="n"/>
      <c r="D355" s="47" t="n"/>
      <c r="E355" s="47" t="n"/>
      <c r="F355" s="62" t="n"/>
      <c r="G355" s="47" t="n"/>
      <c r="H355" s="47" t="n"/>
      <c r="I355" s="50">
        <f>IF(F355="","",IF(I354="",F355,I354+F355))</f>
        <v/>
      </c>
      <c r="J355" s="47" t="n"/>
    </row>
    <row r="356" ht="15.75" customHeight="1" s="99">
      <c r="A356" s="43" t="n">
        <v>352</v>
      </c>
      <c r="B356" s="53" t="n"/>
      <c r="C356" s="55" t="n"/>
      <c r="D356" s="55" t="n"/>
      <c r="E356" s="55" t="n"/>
      <c r="F356" s="63" t="n"/>
      <c r="G356" s="55" t="n"/>
      <c r="H356" s="55" t="n"/>
      <c r="I356" s="58">
        <f>IF(F356="","",IF(I355="",F356,I355+F356))</f>
        <v/>
      </c>
      <c r="J356" s="55" t="n"/>
    </row>
    <row r="357" ht="15.75" customHeight="1" s="99">
      <c r="A357" s="41" t="n">
        <v>353</v>
      </c>
      <c r="B357" s="45" t="n"/>
      <c r="C357" s="47" t="n"/>
      <c r="D357" s="47" t="n"/>
      <c r="E357" s="47" t="n"/>
      <c r="F357" s="62" t="n"/>
      <c r="G357" s="47" t="n"/>
      <c r="H357" s="47" t="n"/>
      <c r="I357" s="50">
        <f>IF(F357="","",IF(I356="",F357,I356+F357))</f>
        <v/>
      </c>
      <c r="J357" s="47" t="n"/>
    </row>
    <row r="358" ht="15.75" customHeight="1" s="99">
      <c r="A358" s="43" t="n">
        <v>354</v>
      </c>
      <c r="B358" s="53" t="n"/>
      <c r="C358" s="55" t="n"/>
      <c r="D358" s="55" t="n"/>
      <c r="E358" s="55" t="n"/>
      <c r="F358" s="63" t="n"/>
      <c r="G358" s="55" t="n"/>
      <c r="H358" s="55" t="n"/>
      <c r="I358" s="58">
        <f>IF(F358="","",IF(I357="",F358,I357+F358))</f>
        <v/>
      </c>
      <c r="J358" s="55" t="n"/>
    </row>
    <row r="359" ht="15.75" customHeight="1" s="99">
      <c r="A359" s="41" t="n">
        <v>355</v>
      </c>
      <c r="B359" s="45" t="n"/>
      <c r="C359" s="47" t="n"/>
      <c r="D359" s="47" t="n"/>
      <c r="E359" s="47" t="n"/>
      <c r="F359" s="62" t="n"/>
      <c r="G359" s="47" t="n"/>
      <c r="H359" s="47" t="n"/>
      <c r="I359" s="50">
        <f>IF(F359="","",IF(I358="",F359,I358+F359))</f>
        <v/>
      </c>
      <c r="J359" s="47" t="n"/>
    </row>
    <row r="360" ht="15.75" customHeight="1" s="99">
      <c r="A360" s="43" t="n">
        <v>356</v>
      </c>
      <c r="B360" s="53" t="n"/>
      <c r="C360" s="55" t="n"/>
      <c r="D360" s="55" t="n"/>
      <c r="E360" s="55" t="n"/>
      <c r="F360" s="63" t="n"/>
      <c r="G360" s="55" t="n"/>
      <c r="H360" s="55" t="n"/>
      <c r="I360" s="58">
        <f>IF(F360="","",IF(I359="",F360,I359+F360))</f>
        <v/>
      </c>
      <c r="J360" s="55" t="n"/>
    </row>
    <row r="361" ht="15.75" customHeight="1" s="99">
      <c r="A361" s="41" t="n">
        <v>357</v>
      </c>
      <c r="B361" s="45" t="n"/>
      <c r="C361" s="47" t="n"/>
      <c r="D361" s="47" t="n"/>
      <c r="E361" s="47" t="n"/>
      <c r="F361" s="62" t="n"/>
      <c r="G361" s="47" t="n"/>
      <c r="H361" s="47" t="n"/>
      <c r="I361" s="50">
        <f>IF(F361="","",IF(I360="",F361,I360+F361))</f>
        <v/>
      </c>
      <c r="J361" s="47" t="n"/>
    </row>
    <row r="362" ht="15.75" customHeight="1" s="99">
      <c r="A362" s="43" t="n">
        <v>358</v>
      </c>
      <c r="B362" s="53" t="n"/>
      <c r="C362" s="55" t="n"/>
      <c r="D362" s="55" t="n"/>
      <c r="E362" s="55" t="n"/>
      <c r="F362" s="63" t="n"/>
      <c r="G362" s="55" t="n"/>
      <c r="H362" s="55" t="n"/>
      <c r="I362" s="58">
        <f>IF(F362="","",IF(I361="",F362,I361+F362))</f>
        <v/>
      </c>
      <c r="J362" s="55" t="n"/>
    </row>
    <row r="363" ht="15.75" customHeight="1" s="99">
      <c r="A363" s="41" t="n">
        <v>359</v>
      </c>
      <c r="B363" s="45" t="n"/>
      <c r="C363" s="47" t="n"/>
      <c r="D363" s="47" t="n"/>
      <c r="E363" s="47" t="n"/>
      <c r="F363" s="62" t="n"/>
      <c r="G363" s="47" t="n"/>
      <c r="H363" s="47" t="n"/>
      <c r="I363" s="50">
        <f>IF(F363="","",IF(I362="",F363,I362+F363))</f>
        <v/>
      </c>
      <c r="J363" s="47" t="n"/>
    </row>
    <row r="364" ht="15.75" customHeight="1" s="99">
      <c r="A364" s="43" t="n">
        <v>360</v>
      </c>
      <c r="B364" s="53" t="n"/>
      <c r="C364" s="55" t="n"/>
      <c r="D364" s="55" t="n"/>
      <c r="E364" s="55" t="n"/>
      <c r="F364" s="63" t="n"/>
      <c r="G364" s="55" t="n"/>
      <c r="H364" s="55" t="n"/>
      <c r="I364" s="58">
        <f>IF(F364="","",IF(I363="",F364,I363+F364))</f>
        <v/>
      </c>
      <c r="J364" s="55" t="n"/>
    </row>
    <row r="365" ht="15.75" customHeight="1" s="99">
      <c r="A365" s="41" t="n">
        <v>361</v>
      </c>
      <c r="B365" s="45" t="n"/>
      <c r="C365" s="47" t="n"/>
      <c r="D365" s="47" t="n"/>
      <c r="E365" s="47" t="n"/>
      <c r="F365" s="62" t="n"/>
      <c r="G365" s="47" t="n"/>
      <c r="H365" s="47" t="n"/>
      <c r="I365" s="50">
        <f>IF(F365="","",IF(I364="",F365,I364+F365))</f>
        <v/>
      </c>
      <c r="J365" s="47" t="n"/>
    </row>
    <row r="366" ht="15.75" customHeight="1" s="99">
      <c r="A366" s="43" t="n">
        <v>362</v>
      </c>
      <c r="B366" s="53" t="n"/>
      <c r="C366" s="55" t="n"/>
      <c r="D366" s="55" t="n"/>
      <c r="E366" s="55" t="n"/>
      <c r="F366" s="63" t="n"/>
      <c r="G366" s="55" t="n"/>
      <c r="H366" s="55" t="n"/>
      <c r="I366" s="58">
        <f>IF(F366="","",IF(I365="",F366,I365+F366))</f>
        <v/>
      </c>
      <c r="J366" s="55" t="n"/>
    </row>
    <row r="367" ht="15.75" customHeight="1" s="99">
      <c r="A367" s="41" t="n">
        <v>363</v>
      </c>
      <c r="B367" s="45" t="n"/>
      <c r="C367" s="47" t="n"/>
      <c r="D367" s="47" t="n"/>
      <c r="E367" s="47" t="n"/>
      <c r="F367" s="62" t="n"/>
      <c r="G367" s="47" t="n"/>
      <c r="H367" s="47" t="n"/>
      <c r="I367" s="50">
        <f>IF(F367="","",IF(I366="",F367,I366+F367))</f>
        <v/>
      </c>
      <c r="J367" s="47" t="n"/>
    </row>
    <row r="368" ht="15.75" customHeight="1" s="99">
      <c r="A368" s="43" t="n">
        <v>364</v>
      </c>
      <c r="B368" s="53" t="n"/>
      <c r="C368" s="55" t="n"/>
      <c r="D368" s="55" t="n"/>
      <c r="E368" s="55" t="n"/>
      <c r="F368" s="63" t="n"/>
      <c r="G368" s="55" t="n"/>
      <c r="H368" s="55" t="n"/>
      <c r="I368" s="58">
        <f>IF(F368="","",IF(I367="",F368,I367+F368))</f>
        <v/>
      </c>
      <c r="J368" s="55" t="n"/>
    </row>
    <row r="369" ht="15.75" customHeight="1" s="99">
      <c r="A369" s="41" t="n">
        <v>365</v>
      </c>
      <c r="B369" s="45" t="n"/>
      <c r="C369" s="47" t="n"/>
      <c r="D369" s="47" t="n"/>
      <c r="E369" s="47" t="n"/>
      <c r="F369" s="62" t="n"/>
      <c r="G369" s="47" t="n"/>
      <c r="H369" s="47" t="n"/>
      <c r="I369" s="50">
        <f>IF(F369="","",IF(I368="",F369,I368+F369))</f>
        <v/>
      </c>
      <c r="J369" s="47" t="n"/>
    </row>
    <row r="370" ht="15.75" customHeight="1" s="99">
      <c r="A370" s="43" t="n">
        <v>366</v>
      </c>
      <c r="B370" s="53" t="n"/>
      <c r="C370" s="55" t="n"/>
      <c r="D370" s="55" t="n"/>
      <c r="E370" s="55" t="n"/>
      <c r="F370" s="63" t="n"/>
      <c r="G370" s="55" t="n"/>
      <c r="H370" s="55" t="n"/>
      <c r="I370" s="58">
        <f>IF(F370="","",IF(I369="",F370,I369+F370))</f>
        <v/>
      </c>
      <c r="J370" s="55" t="n"/>
    </row>
    <row r="371" ht="15.75" customHeight="1" s="99">
      <c r="A371" s="41" t="n">
        <v>367</v>
      </c>
      <c r="B371" s="45" t="n"/>
      <c r="C371" s="47" t="n"/>
      <c r="D371" s="47" t="n"/>
      <c r="E371" s="47" t="n"/>
      <c r="F371" s="62" t="n"/>
      <c r="G371" s="47" t="n"/>
      <c r="H371" s="47" t="n"/>
      <c r="I371" s="50">
        <f>IF(F371="","",IF(I370="",F371,I370+F371))</f>
        <v/>
      </c>
      <c r="J371" s="47" t="n"/>
    </row>
    <row r="372" ht="15.75" customHeight="1" s="99">
      <c r="A372" s="43" t="n">
        <v>368</v>
      </c>
      <c r="B372" s="53" t="n"/>
      <c r="C372" s="55" t="n"/>
      <c r="D372" s="55" t="n"/>
      <c r="E372" s="55" t="n"/>
      <c r="F372" s="63" t="n"/>
      <c r="G372" s="55" t="n"/>
      <c r="H372" s="55" t="n"/>
      <c r="I372" s="58">
        <f>IF(F372="","",IF(I371="",F372,I371+F372))</f>
        <v/>
      </c>
      <c r="J372" s="55" t="n"/>
    </row>
    <row r="373" ht="15.75" customHeight="1" s="99">
      <c r="A373" s="41" t="n">
        <v>369</v>
      </c>
      <c r="B373" s="45" t="n"/>
      <c r="C373" s="47" t="n"/>
      <c r="D373" s="47" t="n"/>
      <c r="E373" s="47" t="n"/>
      <c r="F373" s="62" t="n"/>
      <c r="G373" s="47" t="n"/>
      <c r="H373" s="47" t="n"/>
      <c r="I373" s="50">
        <f>IF(F373="","",IF(I372="",F373,I372+F373))</f>
        <v/>
      </c>
      <c r="J373" s="47" t="n"/>
    </row>
    <row r="374" ht="15.75" customHeight="1" s="99">
      <c r="A374" s="43" t="n">
        <v>370</v>
      </c>
      <c r="B374" s="53" t="n"/>
      <c r="C374" s="55" t="n"/>
      <c r="D374" s="55" t="n"/>
      <c r="E374" s="55" t="n"/>
      <c r="F374" s="63" t="n"/>
      <c r="G374" s="55" t="n"/>
      <c r="H374" s="55" t="n"/>
      <c r="I374" s="58">
        <f>IF(F374="","",IF(I373="",F374,I373+F374))</f>
        <v/>
      </c>
      <c r="J374" s="55" t="n"/>
    </row>
    <row r="375" ht="15.75" customHeight="1" s="99">
      <c r="A375" s="41" t="n">
        <v>371</v>
      </c>
      <c r="B375" s="45" t="n"/>
      <c r="C375" s="47" t="n"/>
      <c r="D375" s="47" t="n"/>
      <c r="E375" s="47" t="n"/>
      <c r="F375" s="62" t="n"/>
      <c r="G375" s="47" t="n"/>
      <c r="H375" s="47" t="n"/>
      <c r="I375" s="50">
        <f>IF(F375="","",IF(I374="",F375,I374+F375))</f>
        <v/>
      </c>
      <c r="J375" s="47" t="n"/>
    </row>
    <row r="376" ht="15.75" customHeight="1" s="99">
      <c r="A376" s="43" t="n">
        <v>372</v>
      </c>
      <c r="B376" s="53" t="n"/>
      <c r="C376" s="55" t="n"/>
      <c r="D376" s="55" t="n"/>
      <c r="E376" s="55" t="n"/>
      <c r="F376" s="63" t="n"/>
      <c r="G376" s="55" t="n"/>
      <c r="H376" s="55" t="n"/>
      <c r="I376" s="58">
        <f>IF(F376="","",IF(I375="",F376,I375+F376))</f>
        <v/>
      </c>
      <c r="J376" s="55" t="n"/>
    </row>
    <row r="377" ht="15.75" customHeight="1" s="99">
      <c r="A377" s="41" t="n">
        <v>373</v>
      </c>
      <c r="B377" s="45" t="n"/>
      <c r="C377" s="47" t="n"/>
      <c r="D377" s="47" t="n"/>
      <c r="E377" s="47" t="n"/>
      <c r="F377" s="62" t="n"/>
      <c r="G377" s="47" t="n"/>
      <c r="H377" s="47" t="n"/>
      <c r="I377" s="50">
        <f>IF(F377="","",IF(I376="",F377,I376+F377))</f>
        <v/>
      </c>
      <c r="J377" s="47" t="n"/>
    </row>
    <row r="378" ht="15.75" customHeight="1" s="99">
      <c r="A378" s="43" t="n">
        <v>374</v>
      </c>
      <c r="B378" s="53" t="n"/>
      <c r="C378" s="55" t="n"/>
      <c r="D378" s="55" t="n"/>
      <c r="E378" s="55" t="n"/>
      <c r="F378" s="63" t="n"/>
      <c r="G378" s="55" t="n"/>
      <c r="H378" s="55" t="n"/>
      <c r="I378" s="58">
        <f>IF(F378="","",IF(I377="",F378,I377+F378))</f>
        <v/>
      </c>
      <c r="J378" s="55" t="n"/>
    </row>
    <row r="379" ht="15.75" customHeight="1" s="99">
      <c r="A379" s="41" t="n">
        <v>375</v>
      </c>
      <c r="B379" s="45" t="n"/>
      <c r="C379" s="47" t="n"/>
      <c r="D379" s="47" t="n"/>
      <c r="E379" s="47" t="n"/>
      <c r="F379" s="62" t="n"/>
      <c r="G379" s="47" t="n"/>
      <c r="H379" s="47" t="n"/>
      <c r="I379" s="50">
        <f>IF(F379="","",IF(I378="",F379,I378+F379))</f>
        <v/>
      </c>
      <c r="J379" s="47" t="n"/>
    </row>
    <row r="380" ht="15.75" customHeight="1" s="99">
      <c r="A380" s="43" t="n">
        <v>376</v>
      </c>
      <c r="B380" s="53" t="n"/>
      <c r="C380" s="55" t="n"/>
      <c r="D380" s="55" t="n"/>
      <c r="E380" s="55" t="n"/>
      <c r="F380" s="63" t="n"/>
      <c r="G380" s="55" t="n"/>
      <c r="H380" s="55" t="n"/>
      <c r="I380" s="58">
        <f>IF(F380="","",IF(I379="",F380,I379+F380))</f>
        <v/>
      </c>
      <c r="J380" s="55" t="n"/>
    </row>
    <row r="381" ht="15.75" customHeight="1" s="99">
      <c r="A381" s="41" t="n">
        <v>377</v>
      </c>
      <c r="B381" s="45" t="n"/>
      <c r="C381" s="47" t="n"/>
      <c r="D381" s="47" t="n"/>
      <c r="E381" s="47" t="n"/>
      <c r="F381" s="62" t="n"/>
      <c r="G381" s="47" t="n"/>
      <c r="H381" s="47" t="n"/>
      <c r="I381" s="50">
        <f>IF(F381="","",IF(I380="",F381,I380+F381))</f>
        <v/>
      </c>
      <c r="J381" s="47" t="n"/>
    </row>
    <row r="382" ht="15.75" customHeight="1" s="99">
      <c r="A382" s="43" t="n">
        <v>378</v>
      </c>
      <c r="B382" s="53" t="n"/>
      <c r="C382" s="55" t="n"/>
      <c r="D382" s="55" t="n"/>
      <c r="E382" s="55" t="n"/>
      <c r="F382" s="63" t="n"/>
      <c r="G382" s="55" t="n"/>
      <c r="H382" s="55" t="n"/>
      <c r="I382" s="58">
        <f>IF(F382="","",IF(I381="",F382,I381+F382))</f>
        <v/>
      </c>
      <c r="J382" s="55" t="n"/>
    </row>
    <row r="383" ht="15.75" customHeight="1" s="99">
      <c r="A383" s="41" t="n">
        <v>379</v>
      </c>
      <c r="B383" s="45" t="n"/>
      <c r="C383" s="47" t="n"/>
      <c r="D383" s="47" t="n"/>
      <c r="E383" s="47" t="n"/>
      <c r="F383" s="62" t="n"/>
      <c r="G383" s="47" t="n"/>
      <c r="H383" s="47" t="n"/>
      <c r="I383" s="50">
        <f>IF(F383="","",IF(I382="",F383,I382+F383))</f>
        <v/>
      </c>
      <c r="J383" s="47" t="n"/>
    </row>
    <row r="384" ht="15.75" customHeight="1" s="99">
      <c r="A384" s="43" t="n">
        <v>380</v>
      </c>
      <c r="B384" s="53" t="n"/>
      <c r="C384" s="55" t="n"/>
      <c r="D384" s="55" t="n"/>
      <c r="E384" s="55" t="n"/>
      <c r="F384" s="63" t="n"/>
      <c r="G384" s="55" t="n"/>
      <c r="H384" s="55" t="n"/>
      <c r="I384" s="58">
        <f>IF(F384="","",IF(I383="",F384,I383+F384))</f>
        <v/>
      </c>
      <c r="J384" s="55" t="n"/>
    </row>
    <row r="385" ht="15.75" customHeight="1" s="99">
      <c r="A385" s="41" t="n">
        <v>381</v>
      </c>
      <c r="B385" s="45" t="n"/>
      <c r="C385" s="47" t="n"/>
      <c r="D385" s="47" t="n"/>
      <c r="E385" s="47" t="n"/>
      <c r="F385" s="62" t="n"/>
      <c r="G385" s="47" t="n"/>
      <c r="H385" s="47" t="n"/>
      <c r="I385" s="50">
        <f>IF(F385="","",IF(I384="",F385,I384+F385))</f>
        <v/>
      </c>
      <c r="J385" s="47" t="n"/>
    </row>
    <row r="386" ht="15.75" customHeight="1" s="99">
      <c r="A386" s="43" t="n">
        <v>382</v>
      </c>
      <c r="B386" s="53" t="n"/>
      <c r="C386" s="55" t="n"/>
      <c r="D386" s="55" t="n"/>
      <c r="E386" s="55" t="n"/>
      <c r="F386" s="63" t="n"/>
      <c r="G386" s="55" t="n"/>
      <c r="H386" s="55" t="n"/>
      <c r="I386" s="58">
        <f>IF(F386="","",IF(I385="",F386,I385+F386))</f>
        <v/>
      </c>
      <c r="J386" s="55" t="n"/>
    </row>
    <row r="387" ht="15.75" customHeight="1" s="99">
      <c r="A387" s="41" t="n">
        <v>383</v>
      </c>
      <c r="B387" s="45" t="n"/>
      <c r="C387" s="47" t="n"/>
      <c r="D387" s="47" t="n"/>
      <c r="E387" s="47" t="n"/>
      <c r="F387" s="62" t="n"/>
      <c r="G387" s="47" t="n"/>
      <c r="H387" s="47" t="n"/>
      <c r="I387" s="50">
        <f>IF(F387="","",IF(I386="",F387,I386+F387))</f>
        <v/>
      </c>
      <c r="J387" s="47" t="n"/>
    </row>
    <row r="388" ht="15.75" customHeight="1" s="99">
      <c r="A388" s="43" t="n">
        <v>384</v>
      </c>
      <c r="B388" s="53" t="n"/>
      <c r="C388" s="55" t="n"/>
      <c r="D388" s="55" t="n"/>
      <c r="E388" s="55" t="n"/>
      <c r="F388" s="63" t="n"/>
      <c r="G388" s="55" t="n"/>
      <c r="H388" s="55" t="n"/>
      <c r="I388" s="58">
        <f>IF(F388="","",IF(I387="",F388,I387+F388))</f>
        <v/>
      </c>
      <c r="J388" s="55" t="n"/>
    </row>
    <row r="389" ht="15.75" customHeight="1" s="99">
      <c r="A389" s="41" t="n">
        <v>385</v>
      </c>
      <c r="B389" s="45" t="n"/>
      <c r="C389" s="47" t="n"/>
      <c r="D389" s="47" t="n"/>
      <c r="E389" s="47" t="n"/>
      <c r="F389" s="62" t="n"/>
      <c r="G389" s="47" t="n"/>
      <c r="H389" s="47" t="n"/>
      <c r="I389" s="50">
        <f>IF(F389="","",IF(I388="",F389,I388+F389))</f>
        <v/>
      </c>
      <c r="J389" s="47" t="n"/>
    </row>
    <row r="390" ht="15.75" customHeight="1" s="99">
      <c r="A390" s="43" t="n">
        <v>386</v>
      </c>
      <c r="B390" s="53" t="n"/>
      <c r="C390" s="55" t="n"/>
      <c r="D390" s="55" t="n"/>
      <c r="E390" s="55" t="n"/>
      <c r="F390" s="63" t="n"/>
      <c r="G390" s="55" t="n"/>
      <c r="H390" s="55" t="n"/>
      <c r="I390" s="58">
        <f>IF(F390="","",IF(I389="",F390,I389+F390))</f>
        <v/>
      </c>
      <c r="J390" s="55" t="n"/>
    </row>
    <row r="391" ht="15.75" customHeight="1" s="99">
      <c r="A391" s="41" t="n">
        <v>387</v>
      </c>
      <c r="B391" s="45" t="n"/>
      <c r="C391" s="47" t="n"/>
      <c r="D391" s="47" t="n"/>
      <c r="E391" s="47" t="n"/>
      <c r="F391" s="62" t="n"/>
      <c r="G391" s="47" t="n"/>
      <c r="H391" s="47" t="n"/>
      <c r="I391" s="50">
        <f>IF(F391="","",IF(I390="",F391,I390+F391))</f>
        <v/>
      </c>
      <c r="J391" s="47" t="n"/>
    </row>
    <row r="392" ht="15.75" customHeight="1" s="99">
      <c r="A392" s="43" t="n">
        <v>388</v>
      </c>
      <c r="B392" s="53" t="n"/>
      <c r="C392" s="55" t="n"/>
      <c r="D392" s="55" t="n"/>
      <c r="E392" s="55" t="n"/>
      <c r="F392" s="63" t="n"/>
      <c r="G392" s="55" t="n"/>
      <c r="H392" s="55" t="n"/>
      <c r="I392" s="58">
        <f>IF(F392="","",IF(I391="",F392,I391+F392))</f>
        <v/>
      </c>
      <c r="J392" s="55" t="n"/>
    </row>
    <row r="393" ht="15.75" customHeight="1" s="99">
      <c r="A393" s="41" t="n">
        <v>389</v>
      </c>
      <c r="B393" s="45" t="n"/>
      <c r="C393" s="47" t="n"/>
      <c r="D393" s="47" t="n"/>
      <c r="E393" s="47" t="n"/>
      <c r="F393" s="62" t="n"/>
      <c r="G393" s="47" t="n"/>
      <c r="H393" s="47" t="n"/>
      <c r="I393" s="50">
        <f>IF(F393="","",IF(I392="",F393,I392+F393))</f>
        <v/>
      </c>
      <c r="J393" s="47" t="n"/>
    </row>
    <row r="394" ht="15.75" customHeight="1" s="99">
      <c r="A394" s="43" t="n">
        <v>390</v>
      </c>
      <c r="B394" s="53" t="n"/>
      <c r="C394" s="55" t="n"/>
      <c r="D394" s="55" t="n"/>
      <c r="E394" s="55" t="n"/>
      <c r="F394" s="63" t="n"/>
      <c r="G394" s="55" t="n"/>
      <c r="H394" s="55" t="n"/>
      <c r="I394" s="58">
        <f>IF(F394="","",IF(I393="",F394,I393+F394))</f>
        <v/>
      </c>
      <c r="J394" s="55" t="n"/>
    </row>
    <row r="395" ht="15.75" customHeight="1" s="99">
      <c r="A395" s="41" t="n">
        <v>391</v>
      </c>
      <c r="B395" s="45" t="n"/>
      <c r="C395" s="47" t="n"/>
      <c r="D395" s="47" t="n"/>
      <c r="E395" s="47" t="n"/>
      <c r="F395" s="62" t="n"/>
      <c r="G395" s="47" t="n"/>
      <c r="H395" s="47" t="n"/>
      <c r="I395" s="50">
        <f>IF(F395="","",IF(I394="",F395,I394+F395))</f>
        <v/>
      </c>
      <c r="J395" s="47" t="n"/>
    </row>
    <row r="396" ht="15.75" customHeight="1" s="99">
      <c r="A396" s="43" t="n">
        <v>392</v>
      </c>
      <c r="B396" s="53" t="n"/>
      <c r="C396" s="55" t="n"/>
      <c r="D396" s="55" t="n"/>
      <c r="E396" s="55" t="n"/>
      <c r="F396" s="63" t="n"/>
      <c r="G396" s="55" t="n"/>
      <c r="H396" s="55" t="n"/>
      <c r="I396" s="58">
        <f>IF(F396="","",IF(I395="",F396,I395+F396))</f>
        <v/>
      </c>
      <c r="J396" s="55" t="n"/>
    </row>
    <row r="397" ht="15.75" customHeight="1" s="99">
      <c r="A397" s="41" t="n">
        <v>393</v>
      </c>
      <c r="B397" s="45" t="n"/>
      <c r="C397" s="47" t="n"/>
      <c r="D397" s="47" t="n"/>
      <c r="E397" s="47" t="n"/>
      <c r="F397" s="62" t="n"/>
      <c r="G397" s="47" t="n"/>
      <c r="H397" s="47" t="n"/>
      <c r="I397" s="50">
        <f>IF(F397="","",IF(I396="",F397,I396+F397))</f>
        <v/>
      </c>
      <c r="J397" s="47" t="n"/>
    </row>
    <row r="398" ht="15.75" customHeight="1" s="99">
      <c r="A398" s="43" t="n">
        <v>394</v>
      </c>
      <c r="B398" s="53" t="n"/>
      <c r="C398" s="55" t="n"/>
      <c r="D398" s="55" t="n"/>
      <c r="E398" s="55" t="n"/>
      <c r="F398" s="63" t="n"/>
      <c r="G398" s="55" t="n"/>
      <c r="H398" s="55" t="n"/>
      <c r="I398" s="58">
        <f>IF(F398="","",IF(I397="",F398,I397+F398))</f>
        <v/>
      </c>
      <c r="J398" s="55" t="n"/>
    </row>
    <row r="399" ht="15.75" customHeight="1" s="99">
      <c r="A399" s="41" t="n">
        <v>395</v>
      </c>
      <c r="B399" s="45" t="n"/>
      <c r="C399" s="47" t="n"/>
      <c r="D399" s="47" t="n"/>
      <c r="E399" s="47" t="n"/>
      <c r="F399" s="62" t="n"/>
      <c r="G399" s="47" t="n"/>
      <c r="H399" s="47" t="n"/>
      <c r="I399" s="50">
        <f>IF(F399="","",IF(I398="",F399,I398+F399))</f>
        <v/>
      </c>
      <c r="J399" s="47" t="n"/>
    </row>
    <row r="400" ht="15.75" customHeight="1" s="99">
      <c r="A400" s="43" t="n">
        <v>396</v>
      </c>
      <c r="B400" s="53" t="n"/>
      <c r="C400" s="55" t="n"/>
      <c r="D400" s="55" t="n"/>
      <c r="E400" s="55" t="n"/>
      <c r="F400" s="63" t="n"/>
      <c r="G400" s="55" t="n"/>
      <c r="H400" s="55" t="n"/>
      <c r="I400" s="58">
        <f>IF(F400="","",IF(I399="",F400,I399+F400))</f>
        <v/>
      </c>
      <c r="J400" s="55" t="n"/>
    </row>
    <row r="401" ht="15.75" customHeight="1" s="99">
      <c r="A401" s="41" t="n">
        <v>397</v>
      </c>
      <c r="B401" s="45" t="n"/>
      <c r="C401" s="47" t="n"/>
      <c r="D401" s="47" t="n"/>
      <c r="E401" s="47" t="n"/>
      <c r="F401" s="62" t="n"/>
      <c r="G401" s="47" t="n"/>
      <c r="H401" s="47" t="n"/>
      <c r="I401" s="50">
        <f>IF(F401="","",IF(I400="",F401,I400+F401))</f>
        <v/>
      </c>
      <c r="J401" s="47" t="n"/>
    </row>
    <row r="402" ht="15.75" customHeight="1" s="99">
      <c r="A402" s="43" t="n">
        <v>398</v>
      </c>
      <c r="B402" s="53" t="n"/>
      <c r="C402" s="55" t="n"/>
      <c r="D402" s="55" t="n"/>
      <c r="E402" s="55" t="n"/>
      <c r="F402" s="63" t="n"/>
      <c r="G402" s="55" t="n"/>
      <c r="H402" s="55" t="n"/>
      <c r="I402" s="58">
        <f>IF(F402="","",IF(I401="",F402,I401+F402))</f>
        <v/>
      </c>
      <c r="J402" s="55" t="n"/>
    </row>
    <row r="403" ht="15.75" customHeight="1" s="99">
      <c r="A403" s="41" t="n">
        <v>399</v>
      </c>
      <c r="B403" s="45" t="n"/>
      <c r="C403" s="47" t="n"/>
      <c r="D403" s="47" t="n"/>
      <c r="E403" s="47" t="n"/>
      <c r="F403" s="62" t="n"/>
      <c r="G403" s="47" t="n"/>
      <c r="H403" s="47" t="n"/>
      <c r="I403" s="50">
        <f>IF(F403="","",IF(I402="",F403,I402+F403))</f>
        <v/>
      </c>
      <c r="J403" s="47" t="n"/>
    </row>
    <row r="404" ht="15.75" customHeight="1" s="99">
      <c r="A404" s="43" t="n">
        <v>400</v>
      </c>
      <c r="B404" s="53" t="n"/>
      <c r="C404" s="55" t="n"/>
      <c r="D404" s="55" t="n"/>
      <c r="E404" s="55" t="n"/>
      <c r="F404" s="63" t="n"/>
      <c r="G404" s="55" t="n"/>
      <c r="H404" s="55" t="n"/>
      <c r="I404" s="58">
        <f>IF(F404="","",IF(I403="",F404,I403+F404))</f>
        <v/>
      </c>
      <c r="J404" s="55" t="n"/>
    </row>
    <row r="405" ht="15.75" customHeight="1" s="99">
      <c r="A405" s="41" t="n">
        <v>401</v>
      </c>
      <c r="B405" s="45" t="n"/>
      <c r="C405" s="47" t="n"/>
      <c r="D405" s="47" t="n"/>
      <c r="E405" s="47" t="n"/>
      <c r="F405" s="62" t="n"/>
      <c r="G405" s="47" t="n"/>
      <c r="H405" s="47" t="n"/>
      <c r="I405" s="50">
        <f>IF(F405="","",IF(I404="",F405,I404+F405))</f>
        <v/>
      </c>
      <c r="J405" s="47" t="n"/>
    </row>
    <row r="406" ht="15.75" customHeight="1" s="99">
      <c r="A406" s="43" t="n">
        <v>402</v>
      </c>
      <c r="B406" s="53" t="n"/>
      <c r="C406" s="55" t="n"/>
      <c r="D406" s="55" t="n"/>
      <c r="E406" s="55" t="n"/>
      <c r="F406" s="63" t="n"/>
      <c r="G406" s="55" t="n"/>
      <c r="H406" s="55" t="n"/>
      <c r="I406" s="58">
        <f>IF(F406="","",IF(I405="",F406,I405+F406))</f>
        <v/>
      </c>
      <c r="J406" s="55" t="n"/>
    </row>
    <row r="407" ht="15.75" customHeight="1" s="99">
      <c r="A407" s="41" t="n">
        <v>403</v>
      </c>
      <c r="B407" s="45" t="n"/>
      <c r="C407" s="47" t="n"/>
      <c r="D407" s="47" t="n"/>
      <c r="E407" s="47" t="n"/>
      <c r="F407" s="62" t="n"/>
      <c r="G407" s="47" t="n"/>
      <c r="H407" s="47" t="n"/>
      <c r="I407" s="50">
        <f>IF(F407="","",IF(I406="",F407,I406+F407))</f>
        <v/>
      </c>
      <c r="J407" s="47" t="n"/>
    </row>
    <row r="408" ht="15.75" customHeight="1" s="99">
      <c r="A408" s="43" t="n">
        <v>404</v>
      </c>
      <c r="B408" s="53" t="n"/>
      <c r="C408" s="55" t="n"/>
      <c r="D408" s="55" t="n"/>
      <c r="E408" s="55" t="n"/>
      <c r="F408" s="63" t="n"/>
      <c r="G408" s="55" t="n"/>
      <c r="H408" s="55" t="n"/>
      <c r="I408" s="58">
        <f>IF(F408="","",IF(I407="",F408,I407+F408))</f>
        <v/>
      </c>
      <c r="J408" s="55" t="n"/>
    </row>
    <row r="409" ht="15.75" customHeight="1" s="99">
      <c r="A409" s="41" t="n">
        <v>405</v>
      </c>
      <c r="B409" s="45" t="n"/>
      <c r="C409" s="47" t="n"/>
      <c r="D409" s="47" t="n"/>
      <c r="E409" s="47" t="n"/>
      <c r="F409" s="62" t="n"/>
      <c r="G409" s="47" t="n"/>
      <c r="H409" s="47" t="n"/>
      <c r="I409" s="50">
        <f>IF(F409="","",IF(I408="",F409,I408+F409))</f>
        <v/>
      </c>
      <c r="J409" s="47" t="n"/>
    </row>
    <row r="410" ht="15.75" customHeight="1" s="99">
      <c r="A410" s="43" t="n">
        <v>406</v>
      </c>
      <c r="B410" s="53" t="n"/>
      <c r="C410" s="55" t="n"/>
      <c r="D410" s="55" t="n"/>
      <c r="E410" s="55" t="n"/>
      <c r="F410" s="63" t="n"/>
      <c r="G410" s="55" t="n"/>
      <c r="H410" s="55" t="n"/>
      <c r="I410" s="58">
        <f>IF(F410="","",IF(I409="",F410,I409+F410))</f>
        <v/>
      </c>
      <c r="J410" s="55" t="n"/>
    </row>
    <row r="411" ht="15.75" customHeight="1" s="99">
      <c r="A411" s="41" t="n">
        <v>407</v>
      </c>
      <c r="B411" s="45" t="n"/>
      <c r="C411" s="47" t="n"/>
      <c r="D411" s="47" t="n"/>
      <c r="E411" s="47" t="n"/>
      <c r="F411" s="62" t="n"/>
      <c r="G411" s="47" t="n"/>
      <c r="H411" s="47" t="n"/>
      <c r="I411" s="50">
        <f>IF(F411="","",IF(I410="",F411,I410+F411))</f>
        <v/>
      </c>
      <c r="J411" s="47" t="n"/>
    </row>
    <row r="412" ht="15.75" customHeight="1" s="99">
      <c r="A412" s="43" t="n">
        <v>408</v>
      </c>
      <c r="B412" s="53" t="n"/>
      <c r="C412" s="55" t="n"/>
      <c r="D412" s="55" t="n"/>
      <c r="E412" s="55" t="n"/>
      <c r="F412" s="63" t="n"/>
      <c r="G412" s="55" t="n"/>
      <c r="H412" s="55" t="n"/>
      <c r="I412" s="58">
        <f>IF(F412="","",IF(I411="",F412,I411+F412))</f>
        <v/>
      </c>
      <c r="J412" s="55" t="n"/>
    </row>
    <row r="413" ht="15.75" customHeight="1" s="99">
      <c r="A413" s="41" t="n">
        <v>409</v>
      </c>
      <c r="B413" s="45" t="n"/>
      <c r="C413" s="47" t="n"/>
      <c r="D413" s="47" t="n"/>
      <c r="E413" s="47" t="n"/>
      <c r="F413" s="62" t="n"/>
      <c r="G413" s="47" t="n"/>
      <c r="H413" s="47" t="n"/>
      <c r="I413" s="50">
        <f>IF(F413="","",IF(I412="",F413,I412+F413))</f>
        <v/>
      </c>
      <c r="J413" s="47" t="n"/>
    </row>
    <row r="414" ht="15.75" customHeight="1" s="99">
      <c r="A414" s="43" t="n">
        <v>410</v>
      </c>
      <c r="B414" s="53" t="n"/>
      <c r="C414" s="55" t="n"/>
      <c r="D414" s="55" t="n"/>
      <c r="E414" s="55" t="n"/>
      <c r="F414" s="63" t="n"/>
      <c r="G414" s="55" t="n"/>
      <c r="H414" s="55" t="n"/>
      <c r="I414" s="58">
        <f>IF(F414="","",IF(I413="",F414,I413+F414))</f>
        <v/>
      </c>
      <c r="J414" s="55" t="n"/>
    </row>
    <row r="415" ht="15.75" customHeight="1" s="99">
      <c r="A415" s="41" t="n">
        <v>411</v>
      </c>
      <c r="B415" s="45" t="n"/>
      <c r="C415" s="47" t="n"/>
      <c r="D415" s="47" t="n"/>
      <c r="E415" s="47" t="n"/>
      <c r="F415" s="62" t="n"/>
      <c r="G415" s="47" t="n"/>
      <c r="H415" s="47" t="n"/>
      <c r="I415" s="50">
        <f>IF(F415="","",IF(I414="",F415,I414+F415))</f>
        <v/>
      </c>
      <c r="J415" s="47" t="n"/>
    </row>
    <row r="416" ht="15.75" customHeight="1" s="99">
      <c r="A416" s="43" t="n">
        <v>412</v>
      </c>
      <c r="B416" s="53" t="n"/>
      <c r="C416" s="55" t="n"/>
      <c r="D416" s="55" t="n"/>
      <c r="E416" s="55" t="n"/>
      <c r="F416" s="63" t="n"/>
      <c r="G416" s="55" t="n"/>
      <c r="H416" s="55" t="n"/>
      <c r="I416" s="58">
        <f>IF(F416="","",IF(I415="",F416,I415+F416))</f>
        <v/>
      </c>
      <c r="J416" s="55" t="n"/>
    </row>
    <row r="417" ht="15.75" customHeight="1" s="99">
      <c r="A417" s="41" t="n">
        <v>413</v>
      </c>
      <c r="B417" s="45" t="n"/>
      <c r="C417" s="47" t="n"/>
      <c r="D417" s="47" t="n"/>
      <c r="E417" s="47" t="n"/>
      <c r="F417" s="62" t="n"/>
      <c r="G417" s="47" t="n"/>
      <c r="H417" s="47" t="n"/>
      <c r="I417" s="50">
        <f>IF(F417="","",IF(I416="",F417,I416+F417))</f>
        <v/>
      </c>
      <c r="J417" s="47" t="n"/>
    </row>
    <row r="418" ht="15.75" customHeight="1" s="99">
      <c r="A418" s="43" t="n">
        <v>414</v>
      </c>
      <c r="B418" s="53" t="n"/>
      <c r="C418" s="55" t="n"/>
      <c r="D418" s="55" t="n"/>
      <c r="E418" s="55" t="n"/>
      <c r="F418" s="63" t="n"/>
      <c r="G418" s="55" t="n"/>
      <c r="H418" s="55" t="n"/>
      <c r="I418" s="58">
        <f>IF(F418="","",IF(I417="",F418,I417+F418))</f>
        <v/>
      </c>
      <c r="J418" s="55" t="n"/>
    </row>
    <row r="419" ht="15.75" customHeight="1" s="99">
      <c r="A419" s="41" t="n">
        <v>415</v>
      </c>
      <c r="B419" s="45" t="n"/>
      <c r="C419" s="47" t="n"/>
      <c r="D419" s="47" t="n"/>
      <c r="E419" s="47" t="n"/>
      <c r="F419" s="62" t="n"/>
      <c r="G419" s="47" t="n"/>
      <c r="H419" s="47" t="n"/>
      <c r="I419" s="50">
        <f>IF(F419="","",IF(I418="",F419,I418+F419))</f>
        <v/>
      </c>
      <c r="J419" s="47" t="n"/>
    </row>
    <row r="420" ht="15.75" customHeight="1" s="99">
      <c r="A420" s="43" t="n">
        <v>416</v>
      </c>
      <c r="B420" s="53" t="n"/>
      <c r="C420" s="55" t="n"/>
      <c r="D420" s="55" t="n"/>
      <c r="E420" s="55" t="n"/>
      <c r="F420" s="63" t="n"/>
      <c r="G420" s="55" t="n"/>
      <c r="H420" s="55" t="n"/>
      <c r="I420" s="58">
        <f>IF(F420="","",IF(I419="",F420,I419+F420))</f>
        <v/>
      </c>
      <c r="J420" s="55" t="n"/>
    </row>
    <row r="421" ht="15.75" customHeight="1" s="99">
      <c r="A421" s="41" t="n">
        <v>417</v>
      </c>
      <c r="B421" s="45" t="n"/>
      <c r="C421" s="47" t="n"/>
      <c r="D421" s="47" t="n"/>
      <c r="E421" s="47" t="n"/>
      <c r="F421" s="62" t="n"/>
      <c r="G421" s="47" t="n"/>
      <c r="H421" s="47" t="n"/>
      <c r="I421" s="50">
        <f>IF(F421="","",IF(I420="",F421,I420+F421))</f>
        <v/>
      </c>
      <c r="J421" s="47" t="n"/>
    </row>
    <row r="422" ht="15.75" customHeight="1" s="99">
      <c r="A422" s="43" t="n">
        <v>418</v>
      </c>
      <c r="B422" s="53" t="n"/>
      <c r="C422" s="55" t="n"/>
      <c r="D422" s="55" t="n"/>
      <c r="E422" s="55" t="n"/>
      <c r="F422" s="63" t="n"/>
      <c r="G422" s="55" t="n"/>
      <c r="H422" s="55" t="n"/>
      <c r="I422" s="58">
        <f>IF(F422="","",IF(I421="",F422,I421+F422))</f>
        <v/>
      </c>
      <c r="J422" s="55" t="n"/>
    </row>
    <row r="423" ht="15.75" customHeight="1" s="99">
      <c r="A423" s="41" t="n">
        <v>419</v>
      </c>
      <c r="B423" s="45" t="n"/>
      <c r="C423" s="47" t="n"/>
      <c r="D423" s="47" t="n"/>
      <c r="E423" s="47" t="n"/>
      <c r="F423" s="62" t="n"/>
      <c r="G423" s="47" t="n"/>
      <c r="H423" s="47" t="n"/>
      <c r="I423" s="50">
        <f>IF(F423="","",IF(I422="",F423,I422+F423))</f>
        <v/>
      </c>
      <c r="J423" s="47" t="n"/>
    </row>
    <row r="424" ht="15.75" customHeight="1" s="99">
      <c r="A424" s="43" t="n">
        <v>420</v>
      </c>
      <c r="B424" s="53" t="n"/>
      <c r="C424" s="55" t="n"/>
      <c r="D424" s="55" t="n"/>
      <c r="E424" s="55" t="n"/>
      <c r="F424" s="63" t="n"/>
      <c r="G424" s="55" t="n"/>
      <c r="H424" s="55" t="n"/>
      <c r="I424" s="58">
        <f>IF(F424="","",IF(I423="",F424,I423+F424))</f>
        <v/>
      </c>
      <c r="J424" s="55" t="n"/>
    </row>
    <row r="425" ht="15.75" customHeight="1" s="99">
      <c r="A425" s="41" t="n">
        <v>421</v>
      </c>
      <c r="B425" s="45" t="n"/>
      <c r="C425" s="47" t="n"/>
      <c r="D425" s="47" t="n"/>
      <c r="E425" s="47" t="n"/>
      <c r="F425" s="62" t="n"/>
      <c r="G425" s="47" t="n"/>
      <c r="H425" s="47" t="n"/>
      <c r="I425" s="50">
        <f>IF(F425="","",IF(I424="",F425,I424+F425))</f>
        <v/>
      </c>
      <c r="J425" s="47" t="n"/>
    </row>
    <row r="426" ht="15.75" customHeight="1" s="99">
      <c r="A426" s="43" t="n">
        <v>422</v>
      </c>
      <c r="B426" s="53" t="n"/>
      <c r="C426" s="55" t="n"/>
      <c r="D426" s="55" t="n"/>
      <c r="E426" s="55" t="n"/>
      <c r="F426" s="63" t="n"/>
      <c r="G426" s="55" t="n"/>
      <c r="H426" s="55" t="n"/>
      <c r="I426" s="58">
        <f>IF(F426="","",IF(I425="",F426,I425+F426))</f>
        <v/>
      </c>
      <c r="J426" s="55" t="n"/>
    </row>
    <row r="427" ht="15.75" customHeight="1" s="99">
      <c r="A427" s="41" t="n">
        <v>423</v>
      </c>
      <c r="B427" s="45" t="n"/>
      <c r="C427" s="47" t="n"/>
      <c r="D427" s="47" t="n"/>
      <c r="E427" s="47" t="n"/>
      <c r="F427" s="62" t="n"/>
      <c r="G427" s="47" t="n"/>
      <c r="H427" s="47" t="n"/>
      <c r="I427" s="50">
        <f>IF(F427="","",IF(I426="",F427,I426+F427))</f>
        <v/>
      </c>
      <c r="J427" s="47" t="n"/>
    </row>
    <row r="428" ht="15.75" customHeight="1" s="99">
      <c r="A428" s="43" t="n">
        <v>424</v>
      </c>
      <c r="B428" s="53" t="n"/>
      <c r="C428" s="55" t="n"/>
      <c r="D428" s="55" t="n"/>
      <c r="E428" s="55" t="n"/>
      <c r="F428" s="63" t="n"/>
      <c r="G428" s="55" t="n"/>
      <c r="H428" s="55" t="n"/>
      <c r="I428" s="58">
        <f>IF(F428="","",IF(I427="",F428,I427+F428))</f>
        <v/>
      </c>
      <c r="J428" s="55" t="n"/>
    </row>
    <row r="429" ht="15.75" customHeight="1" s="99">
      <c r="A429" s="41" t="n">
        <v>425</v>
      </c>
      <c r="B429" s="45" t="n"/>
      <c r="C429" s="47" t="n"/>
      <c r="D429" s="47" t="n"/>
      <c r="E429" s="47" t="n"/>
      <c r="F429" s="62" t="n"/>
      <c r="G429" s="47" t="n"/>
      <c r="H429" s="47" t="n"/>
      <c r="I429" s="50">
        <f>IF(F429="","",IF(I428="",F429,I428+F429))</f>
        <v/>
      </c>
      <c r="J429" s="47" t="n"/>
    </row>
    <row r="430" ht="15.75" customHeight="1" s="99">
      <c r="A430" s="43" t="n">
        <v>426</v>
      </c>
      <c r="B430" s="53" t="n"/>
      <c r="C430" s="55" t="n"/>
      <c r="D430" s="55" t="n"/>
      <c r="E430" s="55" t="n"/>
      <c r="F430" s="63" t="n"/>
      <c r="G430" s="55" t="n"/>
      <c r="H430" s="55" t="n"/>
      <c r="I430" s="58">
        <f>IF(F430="","",IF(I429="",F430,I429+F430))</f>
        <v/>
      </c>
      <c r="J430" s="55" t="n"/>
    </row>
    <row r="431" ht="15.75" customHeight="1" s="99">
      <c r="A431" s="41" t="n">
        <v>427</v>
      </c>
      <c r="B431" s="45" t="n"/>
      <c r="C431" s="47" t="n"/>
      <c r="D431" s="47" t="n"/>
      <c r="E431" s="47" t="n"/>
      <c r="F431" s="62" t="n"/>
      <c r="G431" s="47" t="n"/>
      <c r="H431" s="47" t="n"/>
      <c r="I431" s="50">
        <f>IF(F431="","",IF(I430="",F431,I430+F431))</f>
        <v/>
      </c>
      <c r="J431" s="47" t="n"/>
    </row>
    <row r="432" ht="15.75" customHeight="1" s="99">
      <c r="A432" s="43" t="n">
        <v>428</v>
      </c>
      <c r="B432" s="53" t="n"/>
      <c r="C432" s="55" t="n"/>
      <c r="D432" s="55" t="n"/>
      <c r="E432" s="55" t="n"/>
      <c r="F432" s="63" t="n"/>
      <c r="G432" s="55" t="n"/>
      <c r="H432" s="55" t="n"/>
      <c r="I432" s="58">
        <f>IF(F432="","",IF(I431="",F432,I431+F432))</f>
        <v/>
      </c>
      <c r="J432" s="55" t="n"/>
    </row>
    <row r="433" ht="15.75" customHeight="1" s="99">
      <c r="A433" s="41" t="n">
        <v>429</v>
      </c>
      <c r="B433" s="45" t="n"/>
      <c r="C433" s="47" t="n"/>
      <c r="D433" s="47" t="n"/>
      <c r="E433" s="47" t="n"/>
      <c r="F433" s="62" t="n"/>
      <c r="G433" s="47" t="n"/>
      <c r="H433" s="47" t="n"/>
      <c r="I433" s="50">
        <f>IF(F433="","",IF(I432="",F433,I432+F433))</f>
        <v/>
      </c>
      <c r="J433" s="47" t="n"/>
    </row>
    <row r="434" ht="15.75" customHeight="1" s="99">
      <c r="A434" s="43" t="n">
        <v>430</v>
      </c>
      <c r="B434" s="53" t="n"/>
      <c r="C434" s="55" t="n"/>
      <c r="D434" s="55" t="n"/>
      <c r="E434" s="55" t="n"/>
      <c r="F434" s="63" t="n"/>
      <c r="G434" s="55" t="n"/>
      <c r="H434" s="55" t="n"/>
      <c r="I434" s="58">
        <f>IF(F434="","",IF(I433="",F434,I433+F434))</f>
        <v/>
      </c>
      <c r="J434" s="55" t="n"/>
    </row>
    <row r="435" ht="15.75" customHeight="1" s="99">
      <c r="A435" s="41" t="n">
        <v>431</v>
      </c>
      <c r="B435" s="45" t="n"/>
      <c r="C435" s="47" t="n"/>
      <c r="D435" s="47" t="n"/>
      <c r="E435" s="47" t="n"/>
      <c r="F435" s="62" t="n"/>
      <c r="G435" s="47" t="n"/>
      <c r="H435" s="47" t="n"/>
      <c r="I435" s="50">
        <f>IF(F435="","",IF(I434="",F435,I434+F435))</f>
        <v/>
      </c>
      <c r="J435" s="47" t="n"/>
    </row>
    <row r="436" ht="15.75" customHeight="1" s="99">
      <c r="A436" s="43" t="n">
        <v>432</v>
      </c>
      <c r="B436" s="53" t="n"/>
      <c r="C436" s="55" t="n"/>
      <c r="D436" s="55" t="n"/>
      <c r="E436" s="55" t="n"/>
      <c r="F436" s="63" t="n"/>
      <c r="G436" s="55" t="n"/>
      <c r="H436" s="55" t="n"/>
      <c r="I436" s="58">
        <f>IF(F436="","",IF(I435="",F436,I435+F436))</f>
        <v/>
      </c>
      <c r="J436" s="55" t="n"/>
    </row>
    <row r="437" ht="15.75" customHeight="1" s="99">
      <c r="A437" s="41" t="n">
        <v>433</v>
      </c>
      <c r="B437" s="45" t="n"/>
      <c r="C437" s="47" t="n"/>
      <c r="D437" s="47" t="n"/>
      <c r="E437" s="47" t="n"/>
      <c r="F437" s="62" t="n"/>
      <c r="G437" s="47" t="n"/>
      <c r="H437" s="47" t="n"/>
      <c r="I437" s="50">
        <f>IF(F437="","",IF(I436="",F437,I436+F437))</f>
        <v/>
      </c>
      <c r="J437" s="47" t="n"/>
    </row>
    <row r="438" ht="15.75" customHeight="1" s="99">
      <c r="A438" s="43" t="n">
        <v>434</v>
      </c>
      <c r="B438" s="53" t="n"/>
      <c r="C438" s="55" t="n"/>
      <c r="D438" s="55" t="n"/>
      <c r="E438" s="55" t="n"/>
      <c r="F438" s="63" t="n"/>
      <c r="G438" s="55" t="n"/>
      <c r="H438" s="55" t="n"/>
      <c r="I438" s="58">
        <f>IF(F438="","",IF(I437="",F438,I437+F438))</f>
        <v/>
      </c>
      <c r="J438" s="55" t="n"/>
    </row>
    <row r="439" ht="15.75" customHeight="1" s="99">
      <c r="A439" s="41" t="n">
        <v>435</v>
      </c>
      <c r="B439" s="45" t="n"/>
      <c r="C439" s="47" t="n"/>
      <c r="D439" s="47" t="n"/>
      <c r="E439" s="47" t="n"/>
      <c r="F439" s="62" t="n"/>
      <c r="G439" s="47" t="n"/>
      <c r="H439" s="47" t="n"/>
      <c r="I439" s="50">
        <f>IF(F439="","",IF(I438="",F439,I438+F439))</f>
        <v/>
      </c>
      <c r="J439" s="47" t="n"/>
    </row>
    <row r="440" ht="15.75" customHeight="1" s="99">
      <c r="A440" s="43" t="n">
        <v>436</v>
      </c>
      <c r="B440" s="53" t="n"/>
      <c r="C440" s="55" t="n"/>
      <c r="D440" s="55" t="n"/>
      <c r="E440" s="55" t="n"/>
      <c r="F440" s="63" t="n"/>
      <c r="G440" s="55" t="n"/>
      <c r="H440" s="55" t="n"/>
      <c r="I440" s="58">
        <f>IF(F440="","",IF(I439="",F440,I439+F440))</f>
        <v/>
      </c>
      <c r="J440" s="55" t="n"/>
    </row>
    <row r="441" ht="15.75" customHeight="1" s="99">
      <c r="A441" s="41" t="n">
        <v>437</v>
      </c>
      <c r="B441" s="45" t="n"/>
      <c r="C441" s="47" t="n"/>
      <c r="D441" s="47" t="n"/>
      <c r="E441" s="47" t="n"/>
      <c r="F441" s="62" t="n"/>
      <c r="G441" s="47" t="n"/>
      <c r="H441" s="47" t="n"/>
      <c r="I441" s="50">
        <f>IF(F441="","",IF(I440="",F441,I440+F441))</f>
        <v/>
      </c>
      <c r="J441" s="47" t="n"/>
    </row>
    <row r="442" ht="15.75" customHeight="1" s="99">
      <c r="A442" s="43" t="n">
        <v>438</v>
      </c>
      <c r="B442" s="53" t="n"/>
      <c r="C442" s="55" t="n"/>
      <c r="D442" s="55" t="n"/>
      <c r="E442" s="55" t="n"/>
      <c r="F442" s="63" t="n"/>
      <c r="G442" s="55" t="n"/>
      <c r="H442" s="55" t="n"/>
      <c r="I442" s="58">
        <f>IF(F442="","",IF(I441="",F442,I441+F442))</f>
        <v/>
      </c>
      <c r="J442" s="55" t="n"/>
    </row>
    <row r="443" ht="15.75" customHeight="1" s="99">
      <c r="A443" s="41" t="n">
        <v>439</v>
      </c>
      <c r="B443" s="45" t="n"/>
      <c r="C443" s="47" t="n"/>
      <c r="D443" s="47" t="n"/>
      <c r="E443" s="47" t="n"/>
      <c r="F443" s="62" t="n"/>
      <c r="G443" s="47" t="n"/>
      <c r="H443" s="47" t="n"/>
      <c r="I443" s="50">
        <f>IF(F443="","",IF(I442="",F443,I442+F443))</f>
        <v/>
      </c>
      <c r="J443" s="47" t="n"/>
    </row>
    <row r="444" ht="15.75" customHeight="1" s="99">
      <c r="A444" s="43" t="n">
        <v>440</v>
      </c>
      <c r="B444" s="53" t="n"/>
      <c r="C444" s="55" t="n"/>
      <c r="D444" s="55" t="n"/>
      <c r="E444" s="55" t="n"/>
      <c r="F444" s="63" t="n"/>
      <c r="G444" s="55" t="n"/>
      <c r="H444" s="55" t="n"/>
      <c r="I444" s="58">
        <f>IF(F444="","",IF(I443="",F444,I443+F444))</f>
        <v/>
      </c>
      <c r="J444" s="55" t="n"/>
    </row>
    <row r="445" ht="15.75" customHeight="1" s="99">
      <c r="A445" s="41" t="n">
        <v>441</v>
      </c>
      <c r="B445" s="45" t="n"/>
      <c r="C445" s="47" t="n"/>
      <c r="D445" s="47" t="n"/>
      <c r="E445" s="47" t="n"/>
      <c r="F445" s="62" t="n"/>
      <c r="G445" s="47" t="n"/>
      <c r="H445" s="47" t="n"/>
      <c r="I445" s="50">
        <f>IF(F445="","",IF(I444="",F445,I444+F445))</f>
        <v/>
      </c>
      <c r="J445" s="47" t="n"/>
    </row>
    <row r="446" ht="15.75" customHeight="1" s="99">
      <c r="A446" s="43" t="n">
        <v>442</v>
      </c>
      <c r="B446" s="53" t="n"/>
      <c r="C446" s="55" t="n"/>
      <c r="D446" s="55" t="n"/>
      <c r="E446" s="55" t="n"/>
      <c r="F446" s="63" t="n"/>
      <c r="G446" s="55" t="n"/>
      <c r="H446" s="55" t="n"/>
      <c r="I446" s="58">
        <f>IF(F446="","",IF(I445="",F446,I445+F446))</f>
        <v/>
      </c>
      <c r="J446" s="55" t="n"/>
    </row>
    <row r="447" ht="15.75" customHeight="1" s="99">
      <c r="A447" s="41" t="n">
        <v>443</v>
      </c>
      <c r="B447" s="45" t="n"/>
      <c r="C447" s="47" t="n"/>
      <c r="D447" s="47" t="n"/>
      <c r="E447" s="47" t="n"/>
      <c r="F447" s="62" t="n"/>
      <c r="G447" s="47" t="n"/>
      <c r="H447" s="47" t="n"/>
      <c r="I447" s="50">
        <f>IF(F447="","",IF(I446="",F447,I446+F447))</f>
        <v/>
      </c>
      <c r="J447" s="47" t="n"/>
    </row>
    <row r="448" ht="15.75" customHeight="1" s="99">
      <c r="A448" s="43" t="n">
        <v>444</v>
      </c>
      <c r="B448" s="53" t="n"/>
      <c r="C448" s="55" t="n"/>
      <c r="D448" s="55" t="n"/>
      <c r="E448" s="55" t="n"/>
      <c r="F448" s="63" t="n"/>
      <c r="G448" s="55" t="n"/>
      <c r="H448" s="55" t="n"/>
      <c r="I448" s="58">
        <f>IF(F448="","",IF(I447="",F448,I447+F448))</f>
        <v/>
      </c>
      <c r="J448" s="55" t="n"/>
    </row>
    <row r="449" ht="15.75" customHeight="1" s="99">
      <c r="A449" s="41" t="n">
        <v>445</v>
      </c>
      <c r="B449" s="45" t="n"/>
      <c r="C449" s="47" t="n"/>
      <c r="D449" s="47" t="n"/>
      <c r="E449" s="47" t="n"/>
      <c r="F449" s="62" t="n"/>
      <c r="G449" s="47" t="n"/>
      <c r="H449" s="47" t="n"/>
      <c r="I449" s="50">
        <f>IF(F449="","",IF(I448="",F449,I448+F449))</f>
        <v/>
      </c>
      <c r="J449" s="47" t="n"/>
    </row>
    <row r="450" ht="15.75" customHeight="1" s="99">
      <c r="A450" s="43" t="n">
        <v>446</v>
      </c>
      <c r="B450" s="53" t="n"/>
      <c r="C450" s="55" t="n"/>
      <c r="D450" s="55" t="n"/>
      <c r="E450" s="55" t="n"/>
      <c r="F450" s="63" t="n"/>
      <c r="G450" s="55" t="n"/>
      <c r="H450" s="55" t="n"/>
      <c r="I450" s="58">
        <f>IF(F450="","",IF(I449="",F450,I449+F450))</f>
        <v/>
      </c>
      <c r="J450" s="55" t="n"/>
    </row>
    <row r="451" ht="15.75" customHeight="1" s="99">
      <c r="A451" s="41" t="n">
        <v>447</v>
      </c>
      <c r="B451" s="45" t="n"/>
      <c r="C451" s="47" t="n"/>
      <c r="D451" s="47" t="n"/>
      <c r="E451" s="47" t="n"/>
      <c r="F451" s="62" t="n"/>
      <c r="G451" s="47" t="n"/>
      <c r="H451" s="47" t="n"/>
      <c r="I451" s="50">
        <f>IF(F451="","",IF(I450="",F451,I450+F451))</f>
        <v/>
      </c>
      <c r="J451" s="47" t="n"/>
    </row>
    <row r="452" ht="15.75" customHeight="1" s="99">
      <c r="A452" s="43" t="n">
        <v>448</v>
      </c>
      <c r="B452" s="53" t="n"/>
      <c r="C452" s="55" t="n"/>
      <c r="D452" s="55" t="n"/>
      <c r="E452" s="55" t="n"/>
      <c r="F452" s="63" t="n"/>
      <c r="G452" s="55" t="n"/>
      <c r="H452" s="55" t="n"/>
      <c r="I452" s="58">
        <f>IF(F452="","",IF(I451="",F452,I451+F452))</f>
        <v/>
      </c>
      <c r="J452" s="55" t="n"/>
    </row>
    <row r="453" ht="15.75" customHeight="1" s="99">
      <c r="A453" s="41" t="n">
        <v>449</v>
      </c>
      <c r="B453" s="45" t="n"/>
      <c r="C453" s="47" t="n"/>
      <c r="D453" s="47" t="n"/>
      <c r="E453" s="47" t="n"/>
      <c r="F453" s="62" t="n"/>
      <c r="G453" s="47" t="n"/>
      <c r="H453" s="47" t="n"/>
      <c r="I453" s="50">
        <f>IF(F453="","",IF(I452="",F453,I452+F453))</f>
        <v/>
      </c>
      <c r="J453" s="47" t="n"/>
    </row>
    <row r="454" ht="15.75" customHeight="1" s="99">
      <c r="A454" s="43" t="n">
        <v>450</v>
      </c>
      <c r="B454" s="53" t="n"/>
      <c r="C454" s="55" t="n"/>
      <c r="D454" s="55" t="n"/>
      <c r="E454" s="55" t="n"/>
      <c r="F454" s="63" t="n"/>
      <c r="G454" s="55" t="n"/>
      <c r="H454" s="55" t="n"/>
      <c r="I454" s="58">
        <f>IF(F454="","",IF(I453="",F454,I453+F454))</f>
        <v/>
      </c>
      <c r="J454" s="55" t="n"/>
    </row>
    <row r="455" ht="15.75" customHeight="1" s="99">
      <c r="A455" s="41" t="n">
        <v>451</v>
      </c>
      <c r="B455" s="45" t="n"/>
      <c r="C455" s="47" t="n"/>
      <c r="D455" s="47" t="n"/>
      <c r="E455" s="47" t="n"/>
      <c r="F455" s="62" t="n"/>
      <c r="G455" s="47" t="n"/>
      <c r="H455" s="47" t="n"/>
      <c r="I455" s="50">
        <f>IF(F455="","",IF(I454="",F455,I454+F455))</f>
        <v/>
      </c>
      <c r="J455" s="47" t="n"/>
    </row>
    <row r="456" ht="15.75" customHeight="1" s="99">
      <c r="A456" s="43" t="n">
        <v>452</v>
      </c>
      <c r="B456" s="53" t="n"/>
      <c r="C456" s="55" t="n"/>
      <c r="D456" s="55" t="n"/>
      <c r="E456" s="55" t="n"/>
      <c r="F456" s="63" t="n"/>
      <c r="G456" s="55" t="n"/>
      <c r="H456" s="55" t="n"/>
      <c r="I456" s="58">
        <f>IF(F456="","",IF(I455="",F456,I455+F456))</f>
        <v/>
      </c>
      <c r="J456" s="55" t="n"/>
    </row>
    <row r="457" ht="15.75" customHeight="1" s="99">
      <c r="A457" s="41" t="n">
        <v>453</v>
      </c>
      <c r="B457" s="45" t="n"/>
      <c r="C457" s="47" t="n"/>
      <c r="D457" s="47" t="n"/>
      <c r="E457" s="47" t="n"/>
      <c r="F457" s="62" t="n"/>
      <c r="G457" s="47" t="n"/>
      <c r="H457" s="47" t="n"/>
      <c r="I457" s="50">
        <f>IF(F457="","",IF(I456="",F457,I456+F457))</f>
        <v/>
      </c>
      <c r="J457" s="47" t="n"/>
    </row>
    <row r="458" ht="15.75" customHeight="1" s="99">
      <c r="A458" s="43" t="n">
        <v>454</v>
      </c>
      <c r="B458" s="53" t="n"/>
      <c r="C458" s="55" t="n"/>
      <c r="D458" s="55" t="n"/>
      <c r="E458" s="55" t="n"/>
      <c r="F458" s="63" t="n"/>
      <c r="G458" s="55" t="n"/>
      <c r="H458" s="55" t="n"/>
      <c r="I458" s="58">
        <f>IF(F458="","",IF(I457="",F458,I457+F458))</f>
        <v/>
      </c>
      <c r="J458" s="55" t="n"/>
    </row>
    <row r="459" ht="15.75" customHeight="1" s="99">
      <c r="A459" s="41" t="n">
        <v>455</v>
      </c>
      <c r="B459" s="45" t="n"/>
      <c r="C459" s="47" t="n"/>
      <c r="D459" s="47" t="n"/>
      <c r="E459" s="47" t="n"/>
      <c r="F459" s="62" t="n"/>
      <c r="G459" s="47" t="n"/>
      <c r="H459" s="47" t="n"/>
      <c r="I459" s="50">
        <f>IF(F459="","",IF(I458="",F459,I458+F459))</f>
        <v/>
      </c>
      <c r="J459" s="47" t="n"/>
    </row>
    <row r="460" ht="15.75" customHeight="1" s="99">
      <c r="A460" s="43" t="n">
        <v>456</v>
      </c>
      <c r="B460" s="53" t="n"/>
      <c r="C460" s="55" t="n"/>
      <c r="D460" s="55" t="n"/>
      <c r="E460" s="55" t="n"/>
      <c r="F460" s="63" t="n"/>
      <c r="G460" s="55" t="n"/>
      <c r="H460" s="55" t="n"/>
      <c r="I460" s="58">
        <f>IF(F460="","",IF(I459="",F460,I459+F460))</f>
        <v/>
      </c>
      <c r="J460" s="55" t="n"/>
    </row>
    <row r="461" ht="15.75" customHeight="1" s="99">
      <c r="A461" s="41" t="n">
        <v>457</v>
      </c>
      <c r="B461" s="45" t="n"/>
      <c r="C461" s="47" t="n"/>
      <c r="D461" s="47" t="n"/>
      <c r="E461" s="47" t="n"/>
      <c r="F461" s="62" t="n"/>
      <c r="G461" s="47" t="n"/>
      <c r="H461" s="47" t="n"/>
      <c r="I461" s="50">
        <f>IF(F461="","",IF(I460="",F461,I460+F461))</f>
        <v/>
      </c>
      <c r="J461" s="47" t="n"/>
    </row>
    <row r="462" ht="15.75" customHeight="1" s="99">
      <c r="A462" s="43" t="n">
        <v>458</v>
      </c>
      <c r="B462" s="53" t="n"/>
      <c r="C462" s="55" t="n"/>
      <c r="D462" s="55" t="n"/>
      <c r="E462" s="55" t="n"/>
      <c r="F462" s="63" t="n"/>
      <c r="G462" s="55" t="n"/>
      <c r="H462" s="55" t="n"/>
      <c r="I462" s="58">
        <f>IF(F462="","",IF(I461="",F462,I461+F462))</f>
        <v/>
      </c>
      <c r="J462" s="55" t="n"/>
    </row>
    <row r="463" ht="15.75" customHeight="1" s="99">
      <c r="A463" s="41" t="n">
        <v>459</v>
      </c>
      <c r="B463" s="45" t="n"/>
      <c r="C463" s="47" t="n"/>
      <c r="D463" s="47" t="n"/>
      <c r="E463" s="47" t="n"/>
      <c r="F463" s="62" t="n"/>
      <c r="G463" s="47" t="n"/>
      <c r="H463" s="47" t="n"/>
      <c r="I463" s="50">
        <f>IF(F463="","",IF(I462="",F463,I462+F463))</f>
        <v/>
      </c>
      <c r="J463" s="47" t="n"/>
    </row>
    <row r="464" ht="15.75" customHeight="1" s="99">
      <c r="A464" s="43" t="n">
        <v>460</v>
      </c>
      <c r="B464" s="53" t="n"/>
      <c r="C464" s="55" t="n"/>
      <c r="D464" s="55" t="n"/>
      <c r="E464" s="55" t="n"/>
      <c r="F464" s="63" t="n"/>
      <c r="G464" s="55" t="n"/>
      <c r="H464" s="55" t="n"/>
      <c r="I464" s="58">
        <f>IF(F464="","",IF(I463="",F464,I463+F464))</f>
        <v/>
      </c>
      <c r="J464" s="55" t="n"/>
    </row>
    <row r="465" ht="15.75" customHeight="1" s="99">
      <c r="A465" s="41" t="n">
        <v>461</v>
      </c>
      <c r="B465" s="45" t="n"/>
      <c r="C465" s="47" t="n"/>
      <c r="D465" s="47" t="n"/>
      <c r="E465" s="47" t="n"/>
      <c r="F465" s="62" t="n"/>
      <c r="G465" s="47" t="n"/>
      <c r="H465" s="47" t="n"/>
      <c r="I465" s="50">
        <f>IF(F465="","",IF(I464="",F465,I464+F465))</f>
        <v/>
      </c>
      <c r="J465" s="47" t="n"/>
    </row>
    <row r="466" ht="15.75" customHeight="1" s="99">
      <c r="A466" s="43" t="n">
        <v>462</v>
      </c>
      <c r="B466" s="53" t="n"/>
      <c r="C466" s="55" t="n"/>
      <c r="D466" s="55" t="n"/>
      <c r="E466" s="55" t="n"/>
      <c r="F466" s="63" t="n"/>
      <c r="G466" s="55" t="n"/>
      <c r="H466" s="55" t="n"/>
      <c r="I466" s="58">
        <f>IF(F466="","",IF(I465="",F466,I465+F466))</f>
        <v/>
      </c>
      <c r="J466" s="55" t="n"/>
    </row>
    <row r="467" ht="15.75" customHeight="1" s="99">
      <c r="A467" s="41" t="n">
        <v>463</v>
      </c>
      <c r="B467" s="45" t="n"/>
      <c r="C467" s="47" t="n"/>
      <c r="D467" s="47" t="n"/>
      <c r="E467" s="47" t="n"/>
      <c r="F467" s="62" t="n"/>
      <c r="G467" s="47" t="n"/>
      <c r="H467" s="47" t="n"/>
      <c r="I467" s="50">
        <f>IF(F467="","",IF(I466="",F467,I466+F467))</f>
        <v/>
      </c>
      <c r="J467" s="47" t="n"/>
    </row>
    <row r="468" ht="15.75" customHeight="1" s="99">
      <c r="A468" s="43" t="n">
        <v>464</v>
      </c>
      <c r="B468" s="53" t="n"/>
      <c r="C468" s="55" t="n"/>
      <c r="D468" s="55" t="n"/>
      <c r="E468" s="55" t="n"/>
      <c r="F468" s="63" t="n"/>
      <c r="G468" s="55" t="n"/>
      <c r="H468" s="55" t="n"/>
      <c r="I468" s="58">
        <f>IF(F468="","",IF(I467="",F468,I467+F468))</f>
        <v/>
      </c>
      <c r="J468" s="55" t="n"/>
    </row>
    <row r="469" ht="15.75" customHeight="1" s="99">
      <c r="A469" s="41" t="n">
        <v>465</v>
      </c>
      <c r="B469" s="45" t="n"/>
      <c r="C469" s="47" t="n"/>
      <c r="D469" s="47" t="n"/>
      <c r="E469" s="47" t="n"/>
      <c r="F469" s="62" t="n"/>
      <c r="G469" s="47" t="n"/>
      <c r="H469" s="47" t="n"/>
      <c r="I469" s="50">
        <f>IF(F469="","",IF(I468="",F469,I468+F469))</f>
        <v/>
      </c>
      <c r="J469" s="47" t="n"/>
    </row>
    <row r="470" ht="15.75" customHeight="1" s="99">
      <c r="A470" s="43" t="n">
        <v>466</v>
      </c>
      <c r="B470" s="53" t="n"/>
      <c r="C470" s="55" t="n"/>
      <c r="D470" s="55" t="n"/>
      <c r="E470" s="55" t="n"/>
      <c r="F470" s="63" t="n"/>
      <c r="G470" s="55" t="n"/>
      <c r="H470" s="55" t="n"/>
      <c r="I470" s="58">
        <f>IF(F470="","",IF(I469="",F470,I469+F470))</f>
        <v/>
      </c>
      <c r="J470" s="55" t="n"/>
    </row>
    <row r="471" ht="15.75" customHeight="1" s="99">
      <c r="A471" s="41" t="n">
        <v>467</v>
      </c>
      <c r="B471" s="45" t="n"/>
      <c r="C471" s="47" t="n"/>
      <c r="D471" s="47" t="n"/>
      <c r="E471" s="47" t="n"/>
      <c r="F471" s="62" t="n"/>
      <c r="G471" s="47" t="n"/>
      <c r="H471" s="47" t="n"/>
      <c r="I471" s="50">
        <f>IF(F471="","",IF(I470="",F471,I470+F471))</f>
        <v/>
      </c>
      <c r="J471" s="47" t="n"/>
    </row>
    <row r="472" ht="15.75" customHeight="1" s="99">
      <c r="A472" s="43" t="n">
        <v>468</v>
      </c>
      <c r="B472" s="53" t="n"/>
      <c r="C472" s="55" t="n"/>
      <c r="D472" s="55" t="n"/>
      <c r="E472" s="55" t="n"/>
      <c r="F472" s="63" t="n"/>
      <c r="G472" s="55" t="n"/>
      <c r="H472" s="55" t="n"/>
      <c r="I472" s="58">
        <f>IF(F472="","",IF(I471="",F472,I471+F472))</f>
        <v/>
      </c>
      <c r="J472" s="55" t="n"/>
    </row>
    <row r="473" ht="15.75" customHeight="1" s="99">
      <c r="A473" s="41" t="n">
        <v>469</v>
      </c>
      <c r="B473" s="45" t="n"/>
      <c r="C473" s="47" t="n"/>
      <c r="D473" s="47" t="n"/>
      <c r="E473" s="47" t="n"/>
      <c r="F473" s="62" t="n"/>
      <c r="G473" s="47" t="n"/>
      <c r="H473" s="47" t="n"/>
      <c r="I473" s="50">
        <f>IF(F473="","",IF(I472="",F473,I472+F473))</f>
        <v/>
      </c>
      <c r="J473" s="47" t="n"/>
    </row>
    <row r="474" ht="15.75" customHeight="1" s="99">
      <c r="A474" s="43" t="n">
        <v>470</v>
      </c>
      <c r="B474" s="53" t="n"/>
      <c r="C474" s="55" t="n"/>
      <c r="D474" s="55" t="n"/>
      <c r="E474" s="55" t="n"/>
      <c r="F474" s="63" t="n"/>
      <c r="G474" s="55" t="n"/>
      <c r="H474" s="55" t="n"/>
      <c r="I474" s="58">
        <f>IF(F474="","",IF(I473="",F474,I473+F474))</f>
        <v/>
      </c>
      <c r="J474" s="55" t="n"/>
    </row>
    <row r="475" ht="15.75" customHeight="1" s="99">
      <c r="A475" s="41" t="n">
        <v>471</v>
      </c>
      <c r="B475" s="45" t="n"/>
      <c r="C475" s="47" t="n"/>
      <c r="D475" s="47" t="n"/>
      <c r="E475" s="47" t="n"/>
      <c r="F475" s="62" t="n"/>
      <c r="G475" s="47" t="n"/>
      <c r="H475" s="47" t="n"/>
      <c r="I475" s="50">
        <f>IF(F475="","",IF(I474="",F475,I474+F475))</f>
        <v/>
      </c>
      <c r="J475" s="47" t="n"/>
    </row>
    <row r="476" ht="15.75" customHeight="1" s="99">
      <c r="A476" s="43" t="n">
        <v>472</v>
      </c>
      <c r="B476" s="53" t="n"/>
      <c r="C476" s="55" t="n"/>
      <c r="D476" s="55" t="n"/>
      <c r="E476" s="55" t="n"/>
      <c r="F476" s="63" t="n"/>
      <c r="G476" s="55" t="n"/>
      <c r="H476" s="55" t="n"/>
      <c r="I476" s="58">
        <f>IF(F476="","",IF(I475="",F476,I475+F476))</f>
        <v/>
      </c>
      <c r="J476" s="55" t="n"/>
    </row>
    <row r="477" ht="15.75" customHeight="1" s="99">
      <c r="A477" s="41" t="n">
        <v>473</v>
      </c>
      <c r="B477" s="45" t="n"/>
      <c r="C477" s="47" t="n"/>
      <c r="D477" s="47" t="n"/>
      <c r="E477" s="47" t="n"/>
      <c r="F477" s="62" t="n"/>
      <c r="G477" s="47" t="n"/>
      <c r="H477" s="47" t="n"/>
      <c r="I477" s="50">
        <f>IF(F477="","",IF(I476="",F477,I476+F477))</f>
        <v/>
      </c>
      <c r="J477" s="47" t="n"/>
    </row>
    <row r="478" ht="15.75" customHeight="1" s="99">
      <c r="A478" s="43" t="n">
        <v>474</v>
      </c>
      <c r="B478" s="53" t="n"/>
      <c r="C478" s="55" t="n"/>
      <c r="D478" s="55" t="n"/>
      <c r="E478" s="55" t="n"/>
      <c r="F478" s="63" t="n"/>
      <c r="G478" s="55" t="n"/>
      <c r="H478" s="55" t="n"/>
      <c r="I478" s="58">
        <f>IF(F478="","",IF(I477="",F478,I477+F478))</f>
        <v/>
      </c>
      <c r="J478" s="55" t="n"/>
    </row>
    <row r="479" ht="15.75" customHeight="1" s="99">
      <c r="A479" s="41" t="n">
        <v>475</v>
      </c>
      <c r="B479" s="45" t="n"/>
      <c r="C479" s="47" t="n"/>
      <c r="D479" s="47" t="n"/>
      <c r="E479" s="47" t="n"/>
      <c r="F479" s="62" t="n"/>
      <c r="G479" s="47" t="n"/>
      <c r="H479" s="47" t="n"/>
      <c r="I479" s="50">
        <f>IF(F479="","",IF(I478="",F479,I478+F479))</f>
        <v/>
      </c>
      <c r="J479" s="47" t="n"/>
    </row>
    <row r="480" ht="15.75" customHeight="1" s="99">
      <c r="A480" s="43" t="n">
        <v>476</v>
      </c>
      <c r="B480" s="53" t="n"/>
      <c r="C480" s="55" t="n"/>
      <c r="D480" s="55" t="n"/>
      <c r="E480" s="55" t="n"/>
      <c r="F480" s="63" t="n"/>
      <c r="G480" s="55" t="n"/>
      <c r="H480" s="55" t="n"/>
      <c r="I480" s="58">
        <f>IF(F480="","",IF(I479="",F480,I479+F480))</f>
        <v/>
      </c>
      <c r="J480" s="55" t="n"/>
    </row>
    <row r="481" ht="15.75" customHeight="1" s="99">
      <c r="A481" s="41" t="n">
        <v>477</v>
      </c>
      <c r="B481" s="45" t="n"/>
      <c r="C481" s="47" t="n"/>
      <c r="D481" s="47" t="n"/>
      <c r="E481" s="47" t="n"/>
      <c r="F481" s="62" t="n"/>
      <c r="G481" s="47" t="n"/>
      <c r="H481" s="47" t="n"/>
      <c r="I481" s="50">
        <f>IF(F481="","",IF(I480="",F481,I480+F481))</f>
        <v/>
      </c>
      <c r="J481" s="47" t="n"/>
    </row>
    <row r="482" ht="15.75" customHeight="1" s="99">
      <c r="A482" s="43" t="n">
        <v>478</v>
      </c>
      <c r="B482" s="53" t="n"/>
      <c r="C482" s="55" t="n"/>
      <c r="D482" s="55" t="n"/>
      <c r="E482" s="55" t="n"/>
      <c r="F482" s="63" t="n"/>
      <c r="G482" s="55" t="n"/>
      <c r="H482" s="55" t="n"/>
      <c r="I482" s="58">
        <f>IF(F482="","",IF(I481="",F482,I481+F482))</f>
        <v/>
      </c>
      <c r="J482" s="55" t="n"/>
    </row>
    <row r="483" ht="15.75" customHeight="1" s="99">
      <c r="A483" s="41" t="n">
        <v>479</v>
      </c>
      <c r="B483" s="45" t="n"/>
      <c r="C483" s="47" t="n"/>
      <c r="D483" s="47" t="n"/>
      <c r="E483" s="47" t="n"/>
      <c r="F483" s="62" t="n"/>
      <c r="G483" s="47" t="n"/>
      <c r="H483" s="47" t="n"/>
      <c r="I483" s="50">
        <f>IF(F483="","",IF(I482="",F483,I482+F483))</f>
        <v/>
      </c>
      <c r="J483" s="47" t="n"/>
    </row>
    <row r="484" ht="15.75" customHeight="1" s="99">
      <c r="A484" s="43" t="n">
        <v>480</v>
      </c>
      <c r="B484" s="53" t="n"/>
      <c r="C484" s="55" t="n"/>
      <c r="D484" s="55" t="n"/>
      <c r="E484" s="55" t="n"/>
      <c r="F484" s="63" t="n"/>
      <c r="G484" s="55" t="n"/>
      <c r="H484" s="55" t="n"/>
      <c r="I484" s="58">
        <f>IF(F484="","",IF(I483="",F484,I483+F484))</f>
        <v/>
      </c>
      <c r="J484" s="55" t="n"/>
    </row>
    <row r="485" ht="15.75" customHeight="1" s="99">
      <c r="A485" s="41" t="n">
        <v>481</v>
      </c>
      <c r="B485" s="45" t="n"/>
      <c r="C485" s="47" t="n"/>
      <c r="D485" s="47" t="n"/>
      <c r="E485" s="47" t="n"/>
      <c r="F485" s="62" t="n"/>
      <c r="G485" s="47" t="n"/>
      <c r="H485" s="47" t="n"/>
      <c r="I485" s="50">
        <f>IF(F485="","",IF(I484="",F485,I484+F485))</f>
        <v/>
      </c>
      <c r="J485" s="47" t="n"/>
    </row>
    <row r="486" ht="15.75" customHeight="1" s="99">
      <c r="A486" s="43" t="n">
        <v>482</v>
      </c>
      <c r="B486" s="53" t="n"/>
      <c r="C486" s="55" t="n"/>
      <c r="D486" s="55" t="n"/>
      <c r="E486" s="55" t="n"/>
      <c r="F486" s="63" t="n"/>
      <c r="G486" s="55" t="n"/>
      <c r="H486" s="55" t="n"/>
      <c r="I486" s="58">
        <f>IF(F486="","",IF(I485="",F486,I485+F486))</f>
        <v/>
      </c>
      <c r="J486" s="55" t="n"/>
    </row>
    <row r="487" ht="15.75" customHeight="1" s="99">
      <c r="A487" s="41" t="n">
        <v>483</v>
      </c>
      <c r="B487" s="45" t="n"/>
      <c r="C487" s="47" t="n"/>
      <c r="D487" s="47" t="n"/>
      <c r="E487" s="47" t="n"/>
      <c r="F487" s="62" t="n"/>
      <c r="G487" s="47" t="n"/>
      <c r="H487" s="47" t="n"/>
      <c r="I487" s="50">
        <f>IF(F487="","",IF(I486="",F487,I486+F487))</f>
        <v/>
      </c>
      <c r="J487" s="47" t="n"/>
    </row>
    <row r="488" ht="15.75" customHeight="1" s="99">
      <c r="A488" s="43" t="n">
        <v>484</v>
      </c>
      <c r="B488" s="53" t="n"/>
      <c r="C488" s="55" t="n"/>
      <c r="D488" s="55" t="n"/>
      <c r="E488" s="55" t="n"/>
      <c r="F488" s="63" t="n"/>
      <c r="G488" s="55" t="n"/>
      <c r="H488" s="55" t="n"/>
      <c r="I488" s="58">
        <f>IF(F488="","",IF(I487="",F488,I487+F488))</f>
        <v/>
      </c>
      <c r="J488" s="55" t="n"/>
    </row>
    <row r="489" ht="15.75" customHeight="1" s="99">
      <c r="A489" s="41" t="n">
        <v>485</v>
      </c>
      <c r="B489" s="45" t="n"/>
      <c r="C489" s="47" t="n"/>
      <c r="D489" s="47" t="n"/>
      <c r="E489" s="47" t="n"/>
      <c r="F489" s="62" t="n"/>
      <c r="G489" s="47" t="n"/>
      <c r="H489" s="47" t="n"/>
      <c r="I489" s="50">
        <f>IF(F489="","",IF(I488="",F489,I488+F489))</f>
        <v/>
      </c>
      <c r="J489" s="47" t="n"/>
    </row>
    <row r="490" ht="15.75" customHeight="1" s="99">
      <c r="A490" s="43" t="n">
        <v>486</v>
      </c>
      <c r="B490" s="53" t="n"/>
      <c r="C490" s="55" t="n"/>
      <c r="D490" s="55" t="n"/>
      <c r="E490" s="55" t="n"/>
      <c r="F490" s="63" t="n"/>
      <c r="G490" s="55" t="n"/>
      <c r="H490" s="55" t="n"/>
      <c r="I490" s="58">
        <f>IF(F490="","",IF(I489="",F490,I489+F490))</f>
        <v/>
      </c>
      <c r="J490" s="55" t="n"/>
    </row>
    <row r="491" ht="15.75" customHeight="1" s="99">
      <c r="A491" s="41" t="n">
        <v>487</v>
      </c>
      <c r="B491" s="45" t="n"/>
      <c r="C491" s="47" t="n"/>
      <c r="D491" s="47" t="n"/>
      <c r="E491" s="47" t="n"/>
      <c r="F491" s="62" t="n"/>
      <c r="G491" s="47" t="n"/>
      <c r="H491" s="47" t="n"/>
      <c r="I491" s="50">
        <f>IF(F491="","",IF(I490="",F491,I490+F491))</f>
        <v/>
      </c>
      <c r="J491" s="47" t="n"/>
    </row>
    <row r="492" ht="15.75" customHeight="1" s="99">
      <c r="A492" s="43" t="n">
        <v>488</v>
      </c>
      <c r="B492" s="53" t="n"/>
      <c r="C492" s="55" t="n"/>
      <c r="D492" s="55" t="n"/>
      <c r="E492" s="55" t="n"/>
      <c r="F492" s="63" t="n"/>
      <c r="G492" s="55" t="n"/>
      <c r="H492" s="55" t="n"/>
      <c r="I492" s="58">
        <f>IF(F492="","",IF(I491="",F492,I491+F492))</f>
        <v/>
      </c>
      <c r="J492" s="55" t="n"/>
    </row>
    <row r="493" ht="15.75" customHeight="1" s="99">
      <c r="A493" s="41" t="n">
        <v>489</v>
      </c>
      <c r="B493" s="45" t="n"/>
      <c r="C493" s="47" t="n"/>
      <c r="D493" s="47" t="n"/>
      <c r="E493" s="47" t="n"/>
      <c r="F493" s="62" t="n"/>
      <c r="G493" s="47" t="n"/>
      <c r="H493" s="47" t="n"/>
      <c r="I493" s="50">
        <f>IF(F493="","",IF(I492="",F493,I492+F493))</f>
        <v/>
      </c>
      <c r="J493" s="47" t="n"/>
    </row>
    <row r="494" ht="15.75" customHeight="1" s="99">
      <c r="A494" s="43" t="n">
        <v>490</v>
      </c>
      <c r="B494" s="53" t="n"/>
      <c r="C494" s="55" t="n"/>
      <c r="D494" s="55" t="n"/>
      <c r="E494" s="55" t="n"/>
      <c r="F494" s="63" t="n"/>
      <c r="G494" s="55" t="n"/>
      <c r="H494" s="55" t="n"/>
      <c r="I494" s="58">
        <f>IF(F494="","",IF(I493="",F494,I493+F494))</f>
        <v/>
      </c>
      <c r="J494" s="55" t="n"/>
    </row>
    <row r="495" ht="15.75" customHeight="1" s="99">
      <c r="A495" s="41" t="n">
        <v>491</v>
      </c>
      <c r="B495" s="45" t="n"/>
      <c r="C495" s="47" t="n"/>
      <c r="D495" s="47" t="n"/>
      <c r="E495" s="47" t="n"/>
      <c r="F495" s="62" t="n"/>
      <c r="G495" s="47" t="n"/>
      <c r="H495" s="47" t="n"/>
      <c r="I495" s="50">
        <f>IF(F495="","",IF(I494="",F495,I494+F495))</f>
        <v/>
      </c>
      <c r="J495" s="47" t="n"/>
    </row>
    <row r="496" ht="15.75" customHeight="1" s="99">
      <c r="A496" s="43" t="n">
        <v>492</v>
      </c>
      <c r="B496" s="53" t="n"/>
      <c r="C496" s="55" t="n"/>
      <c r="D496" s="55" t="n"/>
      <c r="E496" s="55" t="n"/>
      <c r="F496" s="63" t="n"/>
      <c r="G496" s="55" t="n"/>
      <c r="H496" s="55" t="n"/>
      <c r="I496" s="58">
        <f>IF(F496="","",IF(I495="",F496,I495+F496))</f>
        <v/>
      </c>
      <c r="J496" s="55" t="n"/>
    </row>
    <row r="497" ht="15.75" customHeight="1" s="99">
      <c r="A497" s="41" t="n">
        <v>493</v>
      </c>
      <c r="B497" s="45" t="n"/>
      <c r="C497" s="47" t="n"/>
      <c r="D497" s="47" t="n"/>
      <c r="E497" s="47" t="n"/>
      <c r="F497" s="62" t="n"/>
      <c r="G497" s="47" t="n"/>
      <c r="H497" s="47" t="n"/>
      <c r="I497" s="50">
        <f>IF(F497="","",IF(I496="",F497,I496+F497))</f>
        <v/>
      </c>
      <c r="J497" s="47" t="n"/>
    </row>
    <row r="498" ht="15.75" customHeight="1" s="99">
      <c r="A498" s="43" t="n">
        <v>494</v>
      </c>
      <c r="B498" s="53" t="n"/>
      <c r="C498" s="55" t="n"/>
      <c r="D498" s="55" t="n"/>
      <c r="E498" s="55" t="n"/>
      <c r="F498" s="63" t="n"/>
      <c r="G498" s="55" t="n"/>
      <c r="H498" s="55" t="n"/>
      <c r="I498" s="58">
        <f>IF(F498="","",IF(I497="",F498,I497+F498))</f>
        <v/>
      </c>
      <c r="J498" s="55" t="n"/>
    </row>
    <row r="499" ht="15.75" customHeight="1" s="99">
      <c r="A499" s="41" t="n">
        <v>495</v>
      </c>
      <c r="B499" s="45" t="n"/>
      <c r="C499" s="47" t="n"/>
      <c r="D499" s="47" t="n"/>
      <c r="E499" s="47" t="n"/>
      <c r="F499" s="62" t="n"/>
      <c r="G499" s="47" t="n"/>
      <c r="H499" s="47" t="n"/>
      <c r="I499" s="50">
        <f>IF(F499="","",IF(I498="",F499,I498+F499))</f>
        <v/>
      </c>
      <c r="J499" s="47" t="n"/>
    </row>
    <row r="500" ht="15.75" customHeight="1" s="99">
      <c r="A500" s="43" t="n">
        <v>496</v>
      </c>
      <c r="B500" s="53" t="n"/>
      <c r="C500" s="55" t="n"/>
      <c r="D500" s="55" t="n"/>
      <c r="E500" s="55" t="n"/>
      <c r="F500" s="63" t="n"/>
      <c r="G500" s="55" t="n"/>
      <c r="H500" s="55" t="n"/>
      <c r="I500" s="58">
        <f>IF(F500="","",IF(I499="",F500,I499+F500))</f>
        <v/>
      </c>
      <c r="J500" s="55" t="n"/>
    </row>
    <row r="501" ht="15.75" customHeight="1" s="99">
      <c r="A501" s="41" t="n">
        <v>497</v>
      </c>
      <c r="B501" s="45" t="n"/>
      <c r="C501" s="47" t="n"/>
      <c r="D501" s="47" t="n"/>
      <c r="E501" s="47" t="n"/>
      <c r="F501" s="62" t="n"/>
      <c r="G501" s="47" t="n"/>
      <c r="H501" s="47" t="n"/>
      <c r="I501" s="50">
        <f>IF(F501="","",IF(I500="",F501,I500+F501))</f>
        <v/>
      </c>
      <c r="J501" s="47" t="n"/>
    </row>
    <row r="502" ht="15.75" customHeight="1" s="99">
      <c r="A502" s="43" t="n">
        <v>498</v>
      </c>
      <c r="B502" s="53" t="n"/>
      <c r="C502" s="55" t="n"/>
      <c r="D502" s="55" t="n"/>
      <c r="E502" s="55" t="n"/>
      <c r="F502" s="63" t="n"/>
      <c r="G502" s="55" t="n"/>
      <c r="H502" s="55" t="n"/>
      <c r="I502" s="58">
        <f>IF(F502="","",IF(I501="",F502,I501+F502))</f>
        <v/>
      </c>
      <c r="J502" s="55" t="n"/>
    </row>
    <row r="503" ht="15.75" customHeight="1" s="99">
      <c r="A503" s="41" t="n">
        <v>499</v>
      </c>
      <c r="B503" s="45" t="n"/>
      <c r="C503" s="47" t="n"/>
      <c r="D503" s="47" t="n"/>
      <c r="E503" s="47" t="n"/>
      <c r="F503" s="62" t="n"/>
      <c r="G503" s="47" t="n"/>
      <c r="H503" s="47" t="n"/>
      <c r="I503" s="50">
        <f>IF(F503="","",IF(I502="",F503,I502+F503))</f>
        <v/>
      </c>
      <c r="J503" s="47" t="n"/>
    </row>
    <row r="504" ht="15.75" customHeight="1" s="99">
      <c r="A504" s="43" t="n">
        <v>500</v>
      </c>
      <c r="B504" s="53" t="n"/>
      <c r="C504" s="55" t="n"/>
      <c r="D504" s="55" t="n"/>
      <c r="E504" s="55" t="n"/>
      <c r="F504" s="63" t="n"/>
      <c r="G504" s="55" t="n"/>
      <c r="H504" s="55" t="n"/>
      <c r="I504" s="58">
        <f>IF(F504="","",IF(I503="",F504,I503+F504))</f>
        <v/>
      </c>
      <c r="J504" s="55" t="n"/>
    </row>
  </sheetData>
  <mergeCells count="2">
    <mergeCell ref="A1:J1"/>
    <mergeCell ref="A2:J2"/>
  </mergeCells>
  <dataValidations count="5">
    <dataValidation sqref="C5:C504" showDropDown="0" showInputMessage="0" showErrorMessage="0" allowBlank="1" type="list">
      <formula1>"1st Shift,2nd Shift,3rd Shift,4th Shift,5th Shift,Daily,Weekly,Monthly,One-time"</formula1>
      <formula2>0</formula2>
    </dataValidation>
    <dataValidation sqref="D5:D504" showDropDown="0" showInputMessage="0" showErrorMessage="0" allowBlank="1" type="list">
      <formula1>"Econ Builder,Sonbhai-Coordinator,Ajay Mahto,Rinku Devi A/c,Chand Ansari,Mukesh Yadav,Daily Labour,Ladies Labour"</formula1>
      <formula2>0</formula2>
    </dataValidation>
    <dataValidation sqref="E5:E504" showDropDown="0" showInputMessage="0" showErrorMessage="0" allowBlank="1" type="list">
      <formula1>"Labour Wages,Labour Food,Transport/Tempo,Mitti Bharai,Dhalai Machine,Brick Work,Visit Charge,Map/Drawing,Tips/Bhoj,Shuttering,Misc"</formula1>
      <formula2>0</formula2>
    </dataValidation>
    <dataValidation sqref="H5:H504" showDropDown="0" showInputMessage="0" showErrorMessage="0" allowBlank="1" type="list">
      <formula1>"Self-GPay,Self-Paytm,Self-Cash,Self-Bank Transfer,Through Sonbhai,Through Engineer,Through Ajay,Papa"</formula1>
      <formula2>0</formula2>
    </dataValidation>
    <dataValidation sqref="G5:G504" showDropDown="0" showInputMessage="0" showErrorMessage="0" allowBlank="1" type="list">
      <formula1>"GPay,Paytm,Cash,Bank Transfer,UPI,Cheque"</formula1>
      <formula2>0</formula2>
    </dataValidation>
  </dataValidations>
  <pageMargins left="0.75" right="0.75" top="1" bottom="1" header="0.511811023622047" footer="0.511811023622047"/>
  <pageSetup orientation="landscape" paperSize="9" horizontalDpi="300" verticalDpi="300"/>
</worksheet>
</file>

<file path=xl/worksheets/sheet9.xml><?xml version="1.0" encoding="utf-8"?>
<worksheet xmlns="http://schemas.openxmlformats.org/spreadsheetml/2006/main">
  <sheetPr>
    <tabColor rgb="FF059669"/>
    <outlinePr summaryBelow="1" summaryRight="1"/>
    <pageSetUpPr/>
  </sheetPr>
  <dimension ref="A1:K2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K1"/>
    </sheetView>
  </sheetViews>
  <sheetFormatPr baseColWidth="10" defaultColWidth="8.6640625" defaultRowHeight="15"/>
  <cols>
    <col width="14" customWidth="1" style="99" min="1" max="1"/>
    <col width="18" customWidth="1" style="99" min="2" max="2"/>
    <col width="14" customWidth="1" style="99" min="3" max="6"/>
    <col width="16" customWidth="1" style="99" min="7" max="9"/>
    <col width="14" customWidth="1" style="99" min="10" max="10"/>
    <col width="16" customWidth="1" style="99" min="11" max="11"/>
  </cols>
  <sheetData>
    <row r="1" ht="17.25" customHeight="1" s="99">
      <c r="A1" s="100" t="inlineStr">
        <is>
          <t>MONTH-WISE EXPENSE SUMMARY</t>
        </is>
      </c>
    </row>
    <row r="2" ht="15.75" customHeight="1" s="99">
      <c r="A2" s="98" t="inlineStr">
        <is>
          <t>Auto-calculated from All Transactions using SUMIFS by month and category.</t>
        </is>
      </c>
    </row>
    <row r="4" ht="26.25" customHeight="1" s="99">
      <c r="A4" s="40" t="inlineStr">
        <is>
          <t>Month</t>
        </is>
      </c>
      <c r="B4" s="40" t="inlineStr">
        <is>
          <t>Building Materials ₹</t>
        </is>
      </c>
      <c r="C4" s="40" t="inlineStr">
        <is>
          <t>Steel / Iron ₹</t>
        </is>
      </c>
      <c r="D4" s="40" t="inlineStr">
        <is>
          <t>Electrical ₹</t>
        </is>
      </c>
      <c r="E4" s="40" t="inlineStr">
        <is>
          <t>Labour ₹</t>
        </is>
      </c>
      <c r="F4" s="40" t="inlineStr">
        <is>
          <t>Professional Fees ₹</t>
        </is>
      </c>
      <c r="G4" s="40" t="inlineStr">
        <is>
          <t>Land Development ₹</t>
        </is>
      </c>
      <c r="H4" s="40" t="inlineStr">
        <is>
          <t>Transport · Food · Misc ₹</t>
        </is>
      </c>
      <c r="I4" s="40" t="inlineStr">
        <is>
          <t>TOTAL ₹</t>
        </is>
      </c>
      <c r="J4" s="40" t="n"/>
      <c r="K4" s="40" t="n"/>
    </row>
    <row r="5" ht="15.75" customHeight="1" s="99">
      <c r="A5" s="74" t="inlineStr">
        <is>
          <t>May-2026</t>
        </is>
      </c>
      <c r="B5" s="75">
        <f>SUMIFS('All Transactions'!O:O,'All Transactions'!C:C,$A5,'All Transactions'!E:E,"Building Materials")</f>
        <v/>
      </c>
      <c r="C5" s="75">
        <f>SUMIFS('All Transactions'!O:O,'All Transactions'!C:C,$A5,'All Transactions'!E:E,"Steel / Iron")</f>
        <v/>
      </c>
      <c r="D5" s="75">
        <f>SUMIFS('All Transactions'!O:O,'All Transactions'!C:C,$A5,'All Transactions'!E:E,"Electrical")</f>
        <v/>
      </c>
      <c r="E5" s="75">
        <f>SUMIFS('All Transactions'!O:O,'All Transactions'!C:C,$A5,'All Transactions'!E:E,"Labour")</f>
        <v/>
      </c>
      <c r="F5" s="75">
        <f>SUMIFS('All Transactions'!O:O,'All Transactions'!C:C,$A5,'All Transactions'!E:E,"Professional Fees")</f>
        <v/>
      </c>
      <c r="G5" s="75">
        <f>SUMIFS('All Transactions'!O:O,'All Transactions'!C:C,$A5,'All Transactions'!E:E,"Land Development")</f>
        <v/>
      </c>
      <c r="H5" s="75">
        <f>SUMIFS('All Transactions'!O:O,'All Transactions'!C:C,$A5,'All Transactions'!E:E,"Transport · Food · Misc")</f>
        <v/>
      </c>
      <c r="I5" s="75">
        <f>SUM(B5:H5)</f>
        <v/>
      </c>
      <c r="J5" s="75" t="n"/>
      <c r="K5" s="76" t="n"/>
    </row>
    <row r="6" ht="15.75" customHeight="1" s="99">
      <c r="A6" s="77" t="inlineStr">
        <is>
          <t>Jun-2026</t>
        </is>
      </c>
      <c r="B6" s="78">
        <f>SUMIFS('All Transactions'!O:O,'All Transactions'!C:C,$A6,'All Transactions'!E:E,"Building Materials")</f>
        <v/>
      </c>
      <c r="C6" s="78">
        <f>SUMIFS('All Transactions'!O:O,'All Transactions'!C:C,$A6,'All Transactions'!E:E,"Steel / Iron")</f>
        <v/>
      </c>
      <c r="D6" s="78">
        <f>SUMIFS('All Transactions'!O:O,'All Transactions'!C:C,$A6,'All Transactions'!E:E,"Electrical")</f>
        <v/>
      </c>
      <c r="E6" s="78">
        <f>SUMIFS('All Transactions'!O:O,'All Transactions'!C:C,$A6,'All Transactions'!E:E,"Labour")</f>
        <v/>
      </c>
      <c r="F6" s="78">
        <f>SUMIFS('All Transactions'!O:O,'All Transactions'!C:C,$A6,'All Transactions'!E:E,"Professional Fees")</f>
        <v/>
      </c>
      <c r="G6" s="78">
        <f>SUMIFS('All Transactions'!O:O,'All Transactions'!C:C,$A6,'All Transactions'!E:E,"Land Development")</f>
        <v/>
      </c>
      <c r="H6" s="78">
        <f>SUMIFS('All Transactions'!O:O,'All Transactions'!C:C,$A6,'All Transactions'!E:E,"Transport · Food · Misc")</f>
        <v/>
      </c>
      <c r="I6" s="78">
        <f>SUM(B6:H6)</f>
        <v/>
      </c>
      <c r="J6" s="78" t="n"/>
      <c r="K6" s="79" t="n"/>
    </row>
    <row r="7" ht="15.75" customHeight="1" s="99">
      <c r="A7" s="74" t="inlineStr">
        <is>
          <t>Jul-2026</t>
        </is>
      </c>
      <c r="B7" s="75">
        <f>SUMIFS('All Transactions'!O:O,'All Transactions'!C:C,$A7,'All Transactions'!E:E,"Building Materials")</f>
        <v/>
      </c>
      <c r="C7" s="75">
        <f>SUMIFS('All Transactions'!O:O,'All Transactions'!C:C,$A7,'All Transactions'!E:E,"Steel / Iron")</f>
        <v/>
      </c>
      <c r="D7" s="75">
        <f>SUMIFS('All Transactions'!O:O,'All Transactions'!C:C,$A7,'All Transactions'!E:E,"Electrical")</f>
        <v/>
      </c>
      <c r="E7" s="75">
        <f>SUMIFS('All Transactions'!O:O,'All Transactions'!C:C,$A7,'All Transactions'!E:E,"Labour")</f>
        <v/>
      </c>
      <c r="F7" s="75">
        <f>SUMIFS('All Transactions'!O:O,'All Transactions'!C:C,$A7,'All Transactions'!E:E,"Professional Fees")</f>
        <v/>
      </c>
      <c r="G7" s="75">
        <f>SUMIFS('All Transactions'!O:O,'All Transactions'!C:C,$A7,'All Transactions'!E:E,"Land Development")</f>
        <v/>
      </c>
      <c r="H7" s="75">
        <f>SUMIFS('All Transactions'!O:O,'All Transactions'!C:C,$A7,'All Transactions'!E:E,"Transport · Food · Misc")</f>
        <v/>
      </c>
      <c r="I7" s="75">
        <f>SUM(B7:H7)</f>
        <v/>
      </c>
      <c r="J7" s="75" t="n"/>
      <c r="K7" s="76" t="n"/>
    </row>
    <row r="8" ht="15.75" customHeight="1" s="99">
      <c r="A8" s="77" t="inlineStr">
        <is>
          <t>Aug-2026</t>
        </is>
      </c>
      <c r="B8" s="78">
        <f>SUMIFS('All Transactions'!O:O,'All Transactions'!C:C,$A8,'All Transactions'!E:E,"Building Materials")</f>
        <v/>
      </c>
      <c r="C8" s="78">
        <f>SUMIFS('All Transactions'!O:O,'All Transactions'!C:C,$A8,'All Transactions'!E:E,"Steel / Iron")</f>
        <v/>
      </c>
      <c r="D8" s="78">
        <f>SUMIFS('All Transactions'!O:O,'All Transactions'!C:C,$A8,'All Transactions'!E:E,"Electrical")</f>
        <v/>
      </c>
      <c r="E8" s="78">
        <f>SUMIFS('All Transactions'!O:O,'All Transactions'!C:C,$A8,'All Transactions'!E:E,"Labour")</f>
        <v/>
      </c>
      <c r="F8" s="78">
        <f>SUMIFS('All Transactions'!O:O,'All Transactions'!C:C,$A8,'All Transactions'!E:E,"Professional Fees")</f>
        <v/>
      </c>
      <c r="G8" s="78">
        <f>SUMIFS('All Transactions'!O:O,'All Transactions'!C:C,$A8,'All Transactions'!E:E,"Land Development")</f>
        <v/>
      </c>
      <c r="H8" s="78">
        <f>SUMIFS('All Transactions'!O:O,'All Transactions'!C:C,$A8,'All Transactions'!E:E,"Transport · Food · Misc")</f>
        <v/>
      </c>
      <c r="I8" s="78">
        <f>SUM(B8:H8)</f>
        <v/>
      </c>
      <c r="J8" s="78" t="n"/>
      <c r="K8" s="79" t="n"/>
    </row>
    <row r="9" ht="15.75" customHeight="1" s="99">
      <c r="A9" s="74" t="inlineStr">
        <is>
          <t>Sep-2026</t>
        </is>
      </c>
      <c r="B9" s="75">
        <f>SUMIFS('All Transactions'!O:O,'All Transactions'!C:C,$A9,'All Transactions'!E:E,"Building Materials")</f>
        <v/>
      </c>
      <c r="C9" s="75">
        <f>SUMIFS('All Transactions'!O:O,'All Transactions'!C:C,$A9,'All Transactions'!E:E,"Steel / Iron")</f>
        <v/>
      </c>
      <c r="D9" s="75">
        <f>SUMIFS('All Transactions'!O:O,'All Transactions'!C:C,$A9,'All Transactions'!E:E,"Electrical")</f>
        <v/>
      </c>
      <c r="E9" s="75">
        <f>SUMIFS('All Transactions'!O:O,'All Transactions'!C:C,$A9,'All Transactions'!E:E,"Labour")</f>
        <v/>
      </c>
      <c r="F9" s="75">
        <f>SUMIFS('All Transactions'!O:O,'All Transactions'!C:C,$A9,'All Transactions'!E:E,"Professional Fees")</f>
        <v/>
      </c>
      <c r="G9" s="75">
        <f>SUMIFS('All Transactions'!O:O,'All Transactions'!C:C,$A9,'All Transactions'!E:E,"Land Development")</f>
        <v/>
      </c>
      <c r="H9" s="75">
        <f>SUMIFS('All Transactions'!O:O,'All Transactions'!C:C,$A9,'All Transactions'!E:E,"Transport · Food · Misc")</f>
        <v/>
      </c>
      <c r="I9" s="75">
        <f>SUM(B9:H9)</f>
        <v/>
      </c>
      <c r="J9" s="75" t="n"/>
      <c r="K9" s="76" t="n"/>
    </row>
    <row r="10" ht="15.75" customHeight="1" s="99">
      <c r="A10" s="77" t="inlineStr">
        <is>
          <t>Oct-2026</t>
        </is>
      </c>
      <c r="B10" s="78">
        <f>SUMIFS('All Transactions'!O:O,'All Transactions'!C:C,$A10,'All Transactions'!E:E,"Building Materials")</f>
        <v/>
      </c>
      <c r="C10" s="78">
        <f>SUMIFS('All Transactions'!O:O,'All Transactions'!C:C,$A10,'All Transactions'!E:E,"Steel / Iron")</f>
        <v/>
      </c>
      <c r="D10" s="78">
        <f>SUMIFS('All Transactions'!O:O,'All Transactions'!C:C,$A10,'All Transactions'!E:E,"Electrical")</f>
        <v/>
      </c>
      <c r="E10" s="78">
        <f>SUMIFS('All Transactions'!O:O,'All Transactions'!C:C,$A10,'All Transactions'!E:E,"Labour")</f>
        <v/>
      </c>
      <c r="F10" s="78">
        <f>SUMIFS('All Transactions'!O:O,'All Transactions'!C:C,$A10,'All Transactions'!E:E,"Professional Fees")</f>
        <v/>
      </c>
      <c r="G10" s="78">
        <f>SUMIFS('All Transactions'!O:O,'All Transactions'!C:C,$A10,'All Transactions'!E:E,"Land Development")</f>
        <v/>
      </c>
      <c r="H10" s="78">
        <f>SUMIFS('All Transactions'!O:O,'All Transactions'!C:C,$A10,'All Transactions'!E:E,"Transport · Food · Misc")</f>
        <v/>
      </c>
      <c r="I10" s="78">
        <f>SUM(B10:H10)</f>
        <v/>
      </c>
      <c r="J10" s="78" t="n"/>
      <c r="K10" s="79" t="n"/>
    </row>
    <row r="11" ht="15.75" customHeight="1" s="99">
      <c r="A11" s="74" t="inlineStr">
        <is>
          <t>Nov-2026</t>
        </is>
      </c>
      <c r="B11" s="75">
        <f>SUMIFS('All Transactions'!O:O,'All Transactions'!C:C,$A11,'All Transactions'!E:E,"Building Materials")</f>
        <v/>
      </c>
      <c r="C11" s="75">
        <f>SUMIFS('All Transactions'!O:O,'All Transactions'!C:C,$A11,'All Transactions'!E:E,"Steel / Iron")</f>
        <v/>
      </c>
      <c r="D11" s="75">
        <f>SUMIFS('All Transactions'!O:O,'All Transactions'!C:C,$A11,'All Transactions'!E:E,"Electrical")</f>
        <v/>
      </c>
      <c r="E11" s="75">
        <f>SUMIFS('All Transactions'!O:O,'All Transactions'!C:C,$A11,'All Transactions'!E:E,"Labour")</f>
        <v/>
      </c>
      <c r="F11" s="75">
        <f>SUMIFS('All Transactions'!O:O,'All Transactions'!C:C,$A11,'All Transactions'!E:E,"Professional Fees")</f>
        <v/>
      </c>
      <c r="G11" s="75">
        <f>SUMIFS('All Transactions'!O:O,'All Transactions'!C:C,$A11,'All Transactions'!E:E,"Land Development")</f>
        <v/>
      </c>
      <c r="H11" s="75">
        <f>SUMIFS('All Transactions'!O:O,'All Transactions'!C:C,$A11,'All Transactions'!E:E,"Transport · Food · Misc")</f>
        <v/>
      </c>
      <c r="I11" s="75">
        <f>SUM(B11:H11)</f>
        <v/>
      </c>
      <c r="J11" s="75" t="n"/>
      <c r="K11" s="76" t="n"/>
    </row>
    <row r="12" ht="15.75" customHeight="1" s="99">
      <c r="A12" s="77" t="inlineStr">
        <is>
          <t>Dec-2026</t>
        </is>
      </c>
      <c r="B12" s="78">
        <f>SUMIFS('All Transactions'!O:O,'All Transactions'!C:C,$A12,'All Transactions'!E:E,"Building Materials")</f>
        <v/>
      </c>
      <c r="C12" s="78">
        <f>SUMIFS('All Transactions'!O:O,'All Transactions'!C:C,$A12,'All Transactions'!E:E,"Steel / Iron")</f>
        <v/>
      </c>
      <c r="D12" s="78">
        <f>SUMIFS('All Transactions'!O:O,'All Transactions'!C:C,$A12,'All Transactions'!E:E,"Electrical")</f>
        <v/>
      </c>
      <c r="E12" s="78">
        <f>SUMIFS('All Transactions'!O:O,'All Transactions'!C:C,$A12,'All Transactions'!E:E,"Labour")</f>
        <v/>
      </c>
      <c r="F12" s="78">
        <f>SUMIFS('All Transactions'!O:O,'All Transactions'!C:C,$A12,'All Transactions'!E:E,"Professional Fees")</f>
        <v/>
      </c>
      <c r="G12" s="78">
        <f>SUMIFS('All Transactions'!O:O,'All Transactions'!C:C,$A12,'All Transactions'!E:E,"Land Development")</f>
        <v/>
      </c>
      <c r="H12" s="78">
        <f>SUMIFS('All Transactions'!O:O,'All Transactions'!C:C,$A12,'All Transactions'!E:E,"Transport · Food · Misc")</f>
        <v/>
      </c>
      <c r="I12" s="78">
        <f>SUM(B12:H12)</f>
        <v/>
      </c>
      <c r="J12" s="78" t="n"/>
      <c r="K12" s="79" t="n"/>
    </row>
    <row r="13" ht="15.75" customHeight="1" s="99">
      <c r="A13" s="74" t="inlineStr">
        <is>
          <t>Jan-2027</t>
        </is>
      </c>
      <c r="B13" s="75">
        <f>SUMIFS('All Transactions'!O:O,'All Transactions'!C:C,$A13,'All Transactions'!E:E,"Building Materials")</f>
        <v/>
      </c>
      <c r="C13" s="75">
        <f>SUMIFS('All Transactions'!O:O,'All Transactions'!C:C,$A13,'All Transactions'!E:E,"Steel / Iron")</f>
        <v/>
      </c>
      <c r="D13" s="75">
        <f>SUMIFS('All Transactions'!O:O,'All Transactions'!C:C,$A13,'All Transactions'!E:E,"Electrical")</f>
        <v/>
      </c>
      <c r="E13" s="75">
        <f>SUMIFS('All Transactions'!O:O,'All Transactions'!C:C,$A13,'All Transactions'!E:E,"Labour")</f>
        <v/>
      </c>
      <c r="F13" s="75">
        <f>SUMIFS('All Transactions'!O:O,'All Transactions'!C:C,$A13,'All Transactions'!E:E,"Professional Fees")</f>
        <v/>
      </c>
      <c r="G13" s="75">
        <f>SUMIFS('All Transactions'!O:O,'All Transactions'!C:C,$A13,'All Transactions'!E:E,"Land Development")</f>
        <v/>
      </c>
      <c r="H13" s="75">
        <f>SUMIFS('All Transactions'!O:O,'All Transactions'!C:C,$A13,'All Transactions'!E:E,"Transport · Food · Misc")</f>
        <v/>
      </c>
      <c r="I13" s="75">
        <f>SUM(B13:H13)</f>
        <v/>
      </c>
      <c r="J13" s="75" t="n"/>
      <c r="K13" s="76" t="n"/>
    </row>
    <row r="14" ht="15.75" customHeight="1" s="99">
      <c r="A14" s="77" t="inlineStr">
        <is>
          <t>Feb-2027</t>
        </is>
      </c>
      <c r="B14" s="78">
        <f>SUMIFS('All Transactions'!O:O,'All Transactions'!C:C,$A14,'All Transactions'!E:E,"Building Materials")</f>
        <v/>
      </c>
      <c r="C14" s="78">
        <f>SUMIFS('All Transactions'!O:O,'All Transactions'!C:C,$A14,'All Transactions'!E:E,"Steel / Iron")</f>
        <v/>
      </c>
      <c r="D14" s="78">
        <f>SUMIFS('All Transactions'!O:O,'All Transactions'!C:C,$A14,'All Transactions'!E:E,"Electrical")</f>
        <v/>
      </c>
      <c r="E14" s="78">
        <f>SUMIFS('All Transactions'!O:O,'All Transactions'!C:C,$A14,'All Transactions'!E:E,"Labour")</f>
        <v/>
      </c>
      <c r="F14" s="78">
        <f>SUMIFS('All Transactions'!O:O,'All Transactions'!C:C,$A14,'All Transactions'!E:E,"Professional Fees")</f>
        <v/>
      </c>
      <c r="G14" s="78">
        <f>SUMIFS('All Transactions'!O:O,'All Transactions'!C:C,$A14,'All Transactions'!E:E,"Land Development")</f>
        <v/>
      </c>
      <c r="H14" s="78">
        <f>SUMIFS('All Transactions'!O:O,'All Transactions'!C:C,$A14,'All Transactions'!E:E,"Transport · Food · Misc")</f>
        <v/>
      </c>
      <c r="I14" s="78">
        <f>SUM(B14:H14)</f>
        <v/>
      </c>
      <c r="J14" s="78" t="n"/>
      <c r="K14" s="79" t="n"/>
    </row>
    <row r="15" ht="15.75" customHeight="1" s="99">
      <c r="A15" s="74" t="inlineStr">
        <is>
          <t>Mar-2027</t>
        </is>
      </c>
      <c r="B15" s="75">
        <f>SUMIFS('All Transactions'!O:O,'All Transactions'!C:C,$A15,'All Transactions'!E:E,"Building Materials")</f>
        <v/>
      </c>
      <c r="C15" s="75">
        <f>SUMIFS('All Transactions'!O:O,'All Transactions'!C:C,$A15,'All Transactions'!E:E,"Steel / Iron")</f>
        <v/>
      </c>
      <c r="D15" s="75">
        <f>SUMIFS('All Transactions'!O:O,'All Transactions'!C:C,$A15,'All Transactions'!E:E,"Electrical")</f>
        <v/>
      </c>
      <c r="E15" s="75">
        <f>SUMIFS('All Transactions'!O:O,'All Transactions'!C:C,$A15,'All Transactions'!E:E,"Labour")</f>
        <v/>
      </c>
      <c r="F15" s="75">
        <f>SUMIFS('All Transactions'!O:O,'All Transactions'!C:C,$A15,'All Transactions'!E:E,"Professional Fees")</f>
        <v/>
      </c>
      <c r="G15" s="75">
        <f>SUMIFS('All Transactions'!O:O,'All Transactions'!C:C,$A15,'All Transactions'!E:E,"Land Development")</f>
        <v/>
      </c>
      <c r="H15" s="75">
        <f>SUMIFS('All Transactions'!O:O,'All Transactions'!C:C,$A15,'All Transactions'!E:E,"Transport · Food · Misc")</f>
        <v/>
      </c>
      <c r="I15" s="75">
        <f>SUM(B15:H15)</f>
        <v/>
      </c>
      <c r="J15" s="75" t="n"/>
      <c r="K15" s="76" t="n"/>
    </row>
    <row r="16" ht="15.75" customHeight="1" s="99">
      <c r="A16" s="77" t="inlineStr">
        <is>
          <t>Apr-2027</t>
        </is>
      </c>
      <c r="B16" s="78">
        <f>SUMIFS('All Transactions'!O:O,'All Transactions'!C:C,$A16,'All Transactions'!E:E,"Building Materials")</f>
        <v/>
      </c>
      <c r="C16" s="78">
        <f>SUMIFS('All Transactions'!O:O,'All Transactions'!C:C,$A16,'All Transactions'!E:E,"Steel / Iron")</f>
        <v/>
      </c>
      <c r="D16" s="78">
        <f>SUMIFS('All Transactions'!O:O,'All Transactions'!C:C,$A16,'All Transactions'!E:E,"Electrical")</f>
        <v/>
      </c>
      <c r="E16" s="78">
        <f>SUMIFS('All Transactions'!O:O,'All Transactions'!C:C,$A16,'All Transactions'!E:E,"Labour")</f>
        <v/>
      </c>
      <c r="F16" s="78">
        <f>SUMIFS('All Transactions'!O:O,'All Transactions'!C:C,$A16,'All Transactions'!E:E,"Professional Fees")</f>
        <v/>
      </c>
      <c r="G16" s="78">
        <f>SUMIFS('All Transactions'!O:O,'All Transactions'!C:C,$A16,'All Transactions'!E:E,"Land Development")</f>
        <v/>
      </c>
      <c r="H16" s="78">
        <f>SUMIFS('All Transactions'!O:O,'All Transactions'!C:C,$A16,'All Transactions'!E:E,"Transport · Food · Misc")</f>
        <v/>
      </c>
      <c r="I16" s="78">
        <f>SUM(B16:H16)</f>
        <v/>
      </c>
      <c r="J16" s="78" t="n"/>
      <c r="K16" s="79" t="n"/>
    </row>
    <row r="17" ht="15.75" customHeight="1" s="99">
      <c r="A17" s="74" t="inlineStr">
        <is>
          <t>May-2027</t>
        </is>
      </c>
      <c r="B17" s="75">
        <f>SUMIFS('All Transactions'!O:O,'All Transactions'!C:C,$A17,'All Transactions'!E:E,"Building Materials")</f>
        <v/>
      </c>
      <c r="C17" s="75">
        <f>SUMIFS('All Transactions'!O:O,'All Transactions'!C:C,$A17,'All Transactions'!E:E,"Steel / Iron")</f>
        <v/>
      </c>
      <c r="D17" s="75">
        <f>SUMIFS('All Transactions'!O:O,'All Transactions'!C:C,$A17,'All Transactions'!E:E,"Electrical")</f>
        <v/>
      </c>
      <c r="E17" s="75">
        <f>SUMIFS('All Transactions'!O:O,'All Transactions'!C:C,$A17,'All Transactions'!E:E,"Labour")</f>
        <v/>
      </c>
      <c r="F17" s="75">
        <f>SUMIFS('All Transactions'!O:O,'All Transactions'!C:C,$A17,'All Transactions'!E:E,"Professional Fees")</f>
        <v/>
      </c>
      <c r="G17" s="75">
        <f>SUMIFS('All Transactions'!O:O,'All Transactions'!C:C,$A17,'All Transactions'!E:E,"Land Development")</f>
        <v/>
      </c>
      <c r="H17" s="75">
        <f>SUMIFS('All Transactions'!O:O,'All Transactions'!C:C,$A17,'All Transactions'!E:E,"Transport · Food · Misc")</f>
        <v/>
      </c>
      <c r="I17" s="75">
        <f>SUM(B17:H17)</f>
        <v/>
      </c>
      <c r="J17" s="75" t="n"/>
      <c r="K17" s="76" t="n"/>
    </row>
    <row r="18" ht="15.75" customHeight="1" s="99">
      <c r="A18" s="77" t="inlineStr">
        <is>
          <t>Jun-2027</t>
        </is>
      </c>
      <c r="B18" s="78">
        <f>SUMIFS('All Transactions'!O:O,'All Transactions'!C:C,$A18,'All Transactions'!E:E,"Building Materials")</f>
        <v/>
      </c>
      <c r="C18" s="78">
        <f>SUMIFS('All Transactions'!O:O,'All Transactions'!C:C,$A18,'All Transactions'!E:E,"Steel / Iron")</f>
        <v/>
      </c>
      <c r="D18" s="78">
        <f>SUMIFS('All Transactions'!O:O,'All Transactions'!C:C,$A18,'All Transactions'!E:E,"Electrical")</f>
        <v/>
      </c>
      <c r="E18" s="78">
        <f>SUMIFS('All Transactions'!O:O,'All Transactions'!C:C,$A18,'All Transactions'!E:E,"Labour")</f>
        <v/>
      </c>
      <c r="F18" s="78">
        <f>SUMIFS('All Transactions'!O:O,'All Transactions'!C:C,$A18,'All Transactions'!E:E,"Professional Fees")</f>
        <v/>
      </c>
      <c r="G18" s="78">
        <f>SUMIFS('All Transactions'!O:O,'All Transactions'!C:C,$A18,'All Transactions'!E:E,"Land Development")</f>
        <v/>
      </c>
      <c r="H18" s="78">
        <f>SUMIFS('All Transactions'!O:O,'All Transactions'!C:C,$A18,'All Transactions'!E:E,"Transport · Food · Misc")</f>
        <v/>
      </c>
      <c r="I18" s="78">
        <f>SUM(B18:H18)</f>
        <v/>
      </c>
      <c r="J18" s="78" t="n"/>
      <c r="K18" s="79" t="n"/>
    </row>
    <row r="19" ht="15.75" customHeight="1" s="99">
      <c r="A19" s="74" t="inlineStr">
        <is>
          <t>Jul-2027</t>
        </is>
      </c>
      <c r="B19" s="75">
        <f>SUMIFS('All Transactions'!O:O,'All Transactions'!C:C,$A19,'All Transactions'!E:E,"Building Materials")</f>
        <v/>
      </c>
      <c r="C19" s="75">
        <f>SUMIFS('All Transactions'!O:O,'All Transactions'!C:C,$A19,'All Transactions'!E:E,"Steel / Iron")</f>
        <v/>
      </c>
      <c r="D19" s="75">
        <f>SUMIFS('All Transactions'!O:O,'All Transactions'!C:C,$A19,'All Transactions'!E:E,"Electrical")</f>
        <v/>
      </c>
      <c r="E19" s="75">
        <f>SUMIFS('All Transactions'!O:O,'All Transactions'!C:C,$A19,'All Transactions'!E:E,"Labour")</f>
        <v/>
      </c>
      <c r="F19" s="75">
        <f>SUMIFS('All Transactions'!O:O,'All Transactions'!C:C,$A19,'All Transactions'!E:E,"Professional Fees")</f>
        <v/>
      </c>
      <c r="G19" s="75">
        <f>SUMIFS('All Transactions'!O:O,'All Transactions'!C:C,$A19,'All Transactions'!E:E,"Land Development")</f>
        <v/>
      </c>
      <c r="H19" s="75">
        <f>SUMIFS('All Transactions'!O:O,'All Transactions'!C:C,$A19,'All Transactions'!E:E,"Transport · Food · Misc")</f>
        <v/>
      </c>
      <c r="I19" s="75">
        <f>SUM(B19:H19)</f>
        <v/>
      </c>
      <c r="J19" s="75" t="n"/>
      <c r="K19" s="76" t="n"/>
    </row>
    <row r="20" ht="15.75" customHeight="1" s="99">
      <c r="A20" s="77" t="inlineStr">
        <is>
          <t>Aug-2027</t>
        </is>
      </c>
      <c r="B20" s="78">
        <f>SUMIFS('All Transactions'!O:O,'All Transactions'!C:C,$A20,'All Transactions'!E:E,"Building Materials")</f>
        <v/>
      </c>
      <c r="C20" s="78">
        <f>SUMIFS('All Transactions'!O:O,'All Transactions'!C:C,$A20,'All Transactions'!E:E,"Steel / Iron")</f>
        <v/>
      </c>
      <c r="D20" s="78">
        <f>SUMIFS('All Transactions'!O:O,'All Transactions'!C:C,$A20,'All Transactions'!E:E,"Electrical")</f>
        <v/>
      </c>
      <c r="E20" s="78">
        <f>SUMIFS('All Transactions'!O:O,'All Transactions'!C:C,$A20,'All Transactions'!E:E,"Labour")</f>
        <v/>
      </c>
      <c r="F20" s="78">
        <f>SUMIFS('All Transactions'!O:O,'All Transactions'!C:C,$A20,'All Transactions'!E:E,"Professional Fees")</f>
        <v/>
      </c>
      <c r="G20" s="78">
        <f>SUMIFS('All Transactions'!O:O,'All Transactions'!C:C,$A20,'All Transactions'!E:E,"Land Development")</f>
        <v/>
      </c>
      <c r="H20" s="78">
        <f>SUMIFS('All Transactions'!O:O,'All Transactions'!C:C,$A20,'All Transactions'!E:E,"Transport · Food · Misc")</f>
        <v/>
      </c>
      <c r="I20" s="78">
        <f>SUM(B20:H20)</f>
        <v/>
      </c>
      <c r="J20" s="78" t="n"/>
      <c r="K20" s="79" t="n"/>
    </row>
    <row r="21" ht="15.75" customHeight="1" s="99">
      <c r="A21" s="74" t="inlineStr">
        <is>
          <t>Sep-2027</t>
        </is>
      </c>
      <c r="B21" s="75">
        <f>SUMIFS('All Transactions'!O:O,'All Transactions'!C:C,$A21,'All Transactions'!E:E,"Building Materials")</f>
        <v/>
      </c>
      <c r="C21" s="75">
        <f>SUMIFS('All Transactions'!O:O,'All Transactions'!C:C,$A21,'All Transactions'!E:E,"Steel / Iron")</f>
        <v/>
      </c>
      <c r="D21" s="75">
        <f>SUMIFS('All Transactions'!O:O,'All Transactions'!C:C,$A21,'All Transactions'!E:E,"Electrical")</f>
        <v/>
      </c>
      <c r="E21" s="75">
        <f>SUMIFS('All Transactions'!O:O,'All Transactions'!C:C,$A21,'All Transactions'!E:E,"Labour")</f>
        <v/>
      </c>
      <c r="F21" s="75">
        <f>SUMIFS('All Transactions'!O:O,'All Transactions'!C:C,$A21,'All Transactions'!E:E,"Professional Fees")</f>
        <v/>
      </c>
      <c r="G21" s="75">
        <f>SUMIFS('All Transactions'!O:O,'All Transactions'!C:C,$A21,'All Transactions'!E:E,"Land Development")</f>
        <v/>
      </c>
      <c r="H21" s="75">
        <f>SUMIFS('All Transactions'!O:O,'All Transactions'!C:C,$A21,'All Transactions'!E:E,"Transport · Food · Misc")</f>
        <v/>
      </c>
      <c r="I21" s="75">
        <f>SUM(B21:H21)</f>
        <v/>
      </c>
      <c r="J21" s="75" t="n"/>
      <c r="K21" s="76" t="n"/>
    </row>
    <row r="22" ht="15.75" customHeight="1" s="99">
      <c r="A22" s="77" t="inlineStr">
        <is>
          <t>Oct-2027</t>
        </is>
      </c>
      <c r="B22" s="78">
        <f>SUMIFS('All Transactions'!O:O,'All Transactions'!C:C,$A22,'All Transactions'!E:E,"Building Materials")</f>
        <v/>
      </c>
      <c r="C22" s="78">
        <f>SUMIFS('All Transactions'!O:O,'All Transactions'!C:C,$A22,'All Transactions'!E:E,"Steel / Iron")</f>
        <v/>
      </c>
      <c r="D22" s="78">
        <f>SUMIFS('All Transactions'!O:O,'All Transactions'!C:C,$A22,'All Transactions'!E:E,"Electrical")</f>
        <v/>
      </c>
      <c r="E22" s="78">
        <f>SUMIFS('All Transactions'!O:O,'All Transactions'!C:C,$A22,'All Transactions'!E:E,"Labour")</f>
        <v/>
      </c>
      <c r="F22" s="78">
        <f>SUMIFS('All Transactions'!O:O,'All Transactions'!C:C,$A22,'All Transactions'!E:E,"Professional Fees")</f>
        <v/>
      </c>
      <c r="G22" s="78">
        <f>SUMIFS('All Transactions'!O:O,'All Transactions'!C:C,$A22,'All Transactions'!E:E,"Land Development")</f>
        <v/>
      </c>
      <c r="H22" s="78">
        <f>SUMIFS('All Transactions'!O:O,'All Transactions'!C:C,$A22,'All Transactions'!E:E,"Transport · Food · Misc")</f>
        <v/>
      </c>
      <c r="I22" s="78">
        <f>SUM(B22:H22)</f>
        <v/>
      </c>
      <c r="J22" s="78" t="n"/>
      <c r="K22" s="79" t="n"/>
    </row>
    <row r="23" ht="15.75" customHeight="1" s="99">
      <c r="A23" s="74" t="inlineStr">
        <is>
          <t>Nov-2027</t>
        </is>
      </c>
      <c r="B23" s="75">
        <f>SUMIFS('All Transactions'!O:O,'All Transactions'!C:C,$A23,'All Transactions'!E:E,"Building Materials")</f>
        <v/>
      </c>
      <c r="C23" s="75">
        <f>SUMIFS('All Transactions'!O:O,'All Transactions'!C:C,$A23,'All Transactions'!E:E,"Steel / Iron")</f>
        <v/>
      </c>
      <c r="D23" s="75">
        <f>SUMIFS('All Transactions'!O:O,'All Transactions'!C:C,$A23,'All Transactions'!E:E,"Electrical")</f>
        <v/>
      </c>
      <c r="E23" s="75">
        <f>SUMIFS('All Transactions'!O:O,'All Transactions'!C:C,$A23,'All Transactions'!E:E,"Labour")</f>
        <v/>
      </c>
      <c r="F23" s="75">
        <f>SUMIFS('All Transactions'!O:O,'All Transactions'!C:C,$A23,'All Transactions'!E:E,"Professional Fees")</f>
        <v/>
      </c>
      <c r="G23" s="75">
        <f>SUMIFS('All Transactions'!O:O,'All Transactions'!C:C,$A23,'All Transactions'!E:E,"Land Development")</f>
        <v/>
      </c>
      <c r="H23" s="75">
        <f>SUMIFS('All Transactions'!O:O,'All Transactions'!C:C,$A23,'All Transactions'!E:E,"Transport · Food · Misc")</f>
        <v/>
      </c>
      <c r="I23" s="75">
        <f>SUM(B23:H23)</f>
        <v/>
      </c>
      <c r="J23" s="75" t="n"/>
      <c r="K23" s="76" t="n"/>
    </row>
    <row r="24" ht="15.75" customHeight="1" s="99">
      <c r="A24" s="77" t="inlineStr">
        <is>
          <t>Dec-2027</t>
        </is>
      </c>
      <c r="B24" s="78">
        <f>SUMIFS('All Transactions'!O:O,'All Transactions'!C:C,$A24,'All Transactions'!E:E,"Building Materials")</f>
        <v/>
      </c>
      <c r="C24" s="78">
        <f>SUMIFS('All Transactions'!O:O,'All Transactions'!C:C,$A24,'All Transactions'!E:E,"Steel / Iron")</f>
        <v/>
      </c>
      <c r="D24" s="78">
        <f>SUMIFS('All Transactions'!O:O,'All Transactions'!C:C,$A24,'All Transactions'!E:E,"Electrical")</f>
        <v/>
      </c>
      <c r="E24" s="78">
        <f>SUMIFS('All Transactions'!O:O,'All Transactions'!C:C,$A24,'All Transactions'!E:E,"Labour")</f>
        <v/>
      </c>
      <c r="F24" s="78">
        <f>SUMIFS('All Transactions'!O:O,'All Transactions'!C:C,$A24,'All Transactions'!E:E,"Professional Fees")</f>
        <v/>
      </c>
      <c r="G24" s="78">
        <f>SUMIFS('All Transactions'!O:O,'All Transactions'!C:C,$A24,'All Transactions'!E:E,"Land Development")</f>
        <v/>
      </c>
      <c r="H24" s="78">
        <f>SUMIFS('All Transactions'!O:O,'All Transactions'!C:C,$A24,'All Transactions'!E:E,"Transport · Food · Misc")</f>
        <v/>
      </c>
      <c r="I24" s="78">
        <f>SUM(B24:H24)</f>
        <v/>
      </c>
      <c r="J24" s="78" t="n"/>
      <c r="K24" s="79" t="n"/>
    </row>
    <row r="25" ht="15.75" customHeight="1" s="99">
      <c r="A25" s="80" t="inlineStr">
        <is>
          <t>TOTAL</t>
        </is>
      </c>
      <c r="B25" s="81">
        <f>SUM(B5:B24)</f>
        <v/>
      </c>
      <c r="C25" s="81">
        <f>SUM(C5:C24)</f>
        <v/>
      </c>
      <c r="D25" s="81">
        <f>SUM(D5:D24)</f>
        <v/>
      </c>
      <c r="E25" s="81">
        <f>SUM(E5:E24)</f>
        <v/>
      </c>
      <c r="F25" s="81">
        <f>SUM(F5:F24)</f>
        <v/>
      </c>
      <c r="G25" s="81">
        <f>SUM(G5:G24)</f>
        <v/>
      </c>
      <c r="H25" s="81">
        <f>SUM(H5:H24)</f>
        <v/>
      </c>
      <c r="I25" s="81">
        <f>SUM(I5:I24)</f>
        <v/>
      </c>
      <c r="J25" s="81" t="n"/>
      <c r="K25" s="81" t="n"/>
    </row>
    <row r="26" ht="15" customHeight="1" s="99">
      <c r="A26" s="74" t="n"/>
      <c r="B26" s="74" t="n"/>
      <c r="C26" s="74" t="n"/>
      <c r="D26" s="74" t="n"/>
      <c r="E26" s="74" t="n"/>
      <c r="F26" s="74" t="n"/>
      <c r="G26" s="74" t="n"/>
      <c r="H26" s="74" t="n"/>
      <c r="I26" s="74" t="n"/>
      <c r="J26" s="74" t="n"/>
      <c r="K26" s="74" t="n"/>
    </row>
    <row r="27" ht="15" customHeight="1" s="99">
      <c r="A27" s="74" t="n"/>
      <c r="B27" s="74" t="n"/>
      <c r="C27" s="74" t="n"/>
      <c r="D27" s="74" t="n"/>
      <c r="E27" s="74" t="n"/>
      <c r="F27" s="74" t="n"/>
      <c r="G27" s="74" t="n"/>
      <c r="H27" s="74" t="n"/>
      <c r="I27" s="74" t="n"/>
      <c r="J27" s="74" t="n"/>
      <c r="K27" s="74" t="n"/>
    </row>
    <row r="28" ht="15" customHeight="1" s="99">
      <c r="A28" s="74" t="n"/>
      <c r="B28" s="74" t="n"/>
      <c r="C28" s="74" t="n"/>
      <c r="D28" s="74" t="n"/>
      <c r="E28" s="74" t="n"/>
      <c r="F28" s="74" t="n"/>
      <c r="G28" s="74" t="n"/>
      <c r="H28" s="74" t="n"/>
      <c r="I28" s="74" t="n"/>
      <c r="J28" s="74" t="n"/>
      <c r="K28" s="74" t="n"/>
    </row>
    <row r="29" ht="15" customHeight="1" s="99">
      <c r="A29" s="74" t="n"/>
      <c r="B29" s="74" t="n"/>
      <c r="C29" s="74" t="n"/>
      <c r="D29" s="74" t="n"/>
      <c r="E29" s="74" t="n"/>
      <c r="F29" s="74" t="n"/>
      <c r="G29" s="74" t="n"/>
      <c r="H29" s="74" t="n"/>
      <c r="I29" s="74" t="n"/>
      <c r="J29" s="74" t="n"/>
      <c r="K29" s="74" t="n"/>
    </row>
  </sheetData>
  <mergeCells count="2">
    <mergeCell ref="A2:K2"/>
    <mergeCell ref="A1:K1"/>
  </mergeCells>
  <pageMargins left="0.75" right="0.75" top="1" bottom="1" header="0.511811023622047" footer="0.511811023622047"/>
  <pageSetup orientation="landscape" paperSize="9" horizontalDpi="300" verticalDpi="300"/>
</worksheet>
</file>

<file path=xl/worksheets/sheet10.xml><?xml version="1.0" encoding="utf-8"?>
<worksheet xmlns="http://schemas.openxmlformats.org/spreadsheetml/2006/main">
  <sheetPr>
    <tabColor rgb="FFB45309"/>
    <outlinePr summaryBelow="1" summaryRight="1"/>
    <pageSetUpPr/>
  </sheetPr>
  <dimension ref="A1:I24"/>
  <sheetViews>
    <sheetView zoomScaleNormal="100" workbookViewId="0">
      <pane ySplit="4" topLeftCell="A5" activePane="bottomLeft" state="frozen"/>
      <selection pane="bottomLeft" activeCell="C15" sqref="C15"/>
    </sheetView>
  </sheetViews>
  <sheetFormatPr baseColWidth="10" defaultColWidth="8.6640625" defaultRowHeight="15"/>
  <cols>
    <col width="26" customWidth="1" style="99" min="1" max="1"/>
    <col width="12" customWidth="1" style="99" min="2" max="2"/>
    <col width="16" customWidth="1" style="99" min="3" max="5"/>
    <col width="14" customWidth="1" style="99" min="6" max="6"/>
    <col width="12" customWidth="1" style="99" min="7" max="7"/>
    <col width="22" customWidth="1" style="99" min="8" max="8"/>
  </cols>
  <sheetData>
    <row r="1" ht="17.25" customHeight="1" s="99">
      <c r="A1" s="126" t="inlineStr">
        <is>
          <t>VENDOR-WISE PAYMENT SUMMARY</t>
        </is>
      </c>
      <c r="I1" s="82" t="n"/>
    </row>
    <row r="2" ht="15.75" customHeight="1" s="99">
      <c r="A2" s="125" t="inlineStr">
        <is>
          <t>Billed from All Transactions | Paid from Payment Tracker | Pending = Billed - Paid</t>
        </is>
      </c>
      <c r="I2" s="82" t="n"/>
    </row>
    <row r="3" ht="15" customHeight="1" s="99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</row>
    <row r="4" ht="26.25" customHeight="1" s="99">
      <c r="A4" s="83" t="inlineStr">
        <is>
          <t>Vendor</t>
        </is>
      </c>
      <c r="B4" s="83" t="inlineStr">
        <is>
          <t>Txn Count</t>
        </is>
      </c>
      <c r="C4" s="83" t="inlineStr">
        <is>
          <t>Total Billed ₹</t>
        </is>
      </c>
      <c r="D4" s="83" t="inlineStr">
        <is>
          <t>Total Paid ₹</t>
        </is>
      </c>
      <c r="E4" s="83" t="inlineStr">
        <is>
          <t>Pending ₹</t>
        </is>
      </c>
      <c r="F4" s="83" t="inlineStr">
        <is>
          <t>Status</t>
        </is>
      </c>
      <c r="G4" s="83" t="inlineStr">
        <is>
          <t>% of Billed</t>
        </is>
      </c>
      <c r="H4" s="83" t="inlineStr">
        <is>
          <t>Top Category</t>
        </is>
      </c>
      <c r="I4" s="82" t="n"/>
    </row>
    <row r="5" ht="15.75" customHeight="1" s="99">
      <c r="A5" s="77" t="inlineStr">
        <is>
          <t>Pappu Hardware</t>
        </is>
      </c>
      <c r="B5" s="87">
        <f>COUNTIF('All Transactions'!H:H,A5)</f>
        <v/>
      </c>
      <c r="C5" s="87">
        <f>SUMIF('All Transactions'!H:H,A5,'All Transactions'!O:O)</f>
        <v/>
      </c>
      <c r="D5" s="87">
        <f>SUMIF('Payment Tracker'!D:D,A5,'Payment Tracker'!G:G)</f>
        <v/>
      </c>
      <c r="E5" s="97">
        <f>C5-D5</f>
        <v/>
      </c>
      <c r="F5" s="89">
        <f>IF(E5&gt;0,"⚠️ DUE",IF(E5&lt;0,"🔵 ADV","✅ PAID"))</f>
        <v/>
      </c>
      <c r="G5" s="90" t="n"/>
      <c r="H5" s="77" t="n"/>
      <c r="I5" s="82" t="n"/>
    </row>
    <row r="6" ht="15.75" customHeight="1" s="99">
      <c r="A6" s="77" t="inlineStr">
        <is>
          <t>Econ Builder</t>
        </is>
      </c>
      <c r="B6" s="87">
        <f>COUNTIF('All Transactions'!H:H,A6)</f>
        <v/>
      </c>
      <c r="C6" s="87">
        <f>SUMIF('All Transactions'!H:H,A6,'All Transactions'!O:O)</f>
        <v/>
      </c>
      <c r="D6" s="87">
        <f>SUMIF('Payment Tracker'!D:D,A6,'Payment Tracker'!G:G)</f>
        <v/>
      </c>
      <c r="E6" s="97">
        <f>C6-D6</f>
        <v/>
      </c>
      <c r="F6" s="89">
        <f>IF(E6&gt;0,"⚠️ DUE",IF(E6&lt;0,"🔵 ADV","✅ PAID"))</f>
        <v/>
      </c>
      <c r="G6" s="90" t="n"/>
      <c r="H6" s="77" t="n"/>
      <c r="I6" s="82" t="n"/>
    </row>
    <row r="7" ht="15.75" customHeight="1" s="99">
      <c r="A7" s="77" t="inlineStr">
        <is>
          <t>Brick Company</t>
        </is>
      </c>
      <c r="B7" s="87">
        <f>COUNTIF('All Transactions'!H:H,A7)</f>
        <v/>
      </c>
      <c r="C7" s="87">
        <f>SUMIF('All Transactions'!H:H,A7,'All Transactions'!O:O)</f>
        <v/>
      </c>
      <c r="D7" s="87">
        <f>SUMIF('Payment Tracker'!D:D,A7,'Payment Tracker'!G:G)</f>
        <v/>
      </c>
      <c r="E7" s="97">
        <f>C7-D7</f>
        <v/>
      </c>
      <c r="F7" s="89">
        <f>IF(E7&gt;0,"⚠️ DUE",IF(E7&lt;0,"🔵 ADV","✅ PAID"))</f>
        <v/>
      </c>
      <c r="G7" s="90" t="n"/>
      <c r="H7" s="77" t="n"/>
      <c r="I7" s="82" t="n"/>
    </row>
    <row r="8" ht="15.75" customHeight="1" s="99">
      <c r="A8" s="77" t="inlineStr">
        <is>
          <t>Concrete Supplier</t>
        </is>
      </c>
      <c r="B8" s="87">
        <f>COUNTIF('All Transactions'!H:H,A8)</f>
        <v/>
      </c>
      <c r="C8" s="87">
        <f>SUMIF('All Transactions'!H:H,A8,'All Transactions'!O:O)</f>
        <v/>
      </c>
      <c r="D8" s="87">
        <f>SUMIF('Payment Tracker'!D:D,A8,'Payment Tracker'!G:G)</f>
        <v/>
      </c>
      <c r="E8" s="97">
        <f>C8-D8</f>
        <v/>
      </c>
      <c r="F8" s="89">
        <f>IF(E8&gt;0,"⚠️ DUE",IF(E8&lt;0,"🔵 ADV","✅ PAID"))</f>
        <v/>
      </c>
      <c r="G8" s="90" t="n"/>
      <c r="H8" s="77" t="n"/>
      <c r="I8" s="82" t="n"/>
    </row>
    <row r="9" ht="15.75" customHeight="1" s="99">
      <c r="A9" s="77" t="inlineStr">
        <is>
          <t>Sand Truck Wala</t>
        </is>
      </c>
      <c r="B9" s="87">
        <f>COUNTIF('All Transactions'!H:H,A9)</f>
        <v/>
      </c>
      <c r="C9" s="87">
        <f>SUMIF('All Transactions'!H:H,A9,'All Transactions'!O:O)</f>
        <v/>
      </c>
      <c r="D9" s="87">
        <f>SUMIF('Payment Tracker'!D:D,A9,'Payment Tracker'!G:G)</f>
        <v/>
      </c>
      <c r="E9" s="97">
        <f>C9-D9</f>
        <v/>
      </c>
      <c r="F9" s="89">
        <f>IF(E9&gt;0,"⚠️ DUE",IF(E9&lt;0,"🔵 ADV","✅ PAID"))</f>
        <v/>
      </c>
      <c r="G9" s="90" t="n"/>
      <c r="H9" s="77" t="n"/>
      <c r="I9" s="82" t="n"/>
    </row>
    <row r="10" ht="15.75" customHeight="1" s="99">
      <c r="A10" s="77" t="inlineStr">
        <is>
          <t>Mukesh Yadav</t>
        </is>
      </c>
      <c r="B10" s="87">
        <f>COUNTIF('All Transactions'!H:H,A10)</f>
        <v/>
      </c>
      <c r="C10" s="87">
        <f>SUMIF('All Transactions'!H:H,A10,'All Transactions'!O:O)</f>
        <v/>
      </c>
      <c r="D10" s="87">
        <f>SUMIF('Payment Tracker'!D:D,A10,'Payment Tracker'!G:G)</f>
        <v/>
      </c>
      <c r="E10" s="97">
        <f>C10-D10</f>
        <v/>
      </c>
      <c r="F10" s="89">
        <f>IF(E10&gt;0,"⚠️ DUE",IF(E10&lt;0,"🔵 ADV","✅ PAID"))</f>
        <v/>
      </c>
      <c r="G10" s="90" t="n"/>
      <c r="H10" s="77" t="n"/>
      <c r="I10" s="82" t="n"/>
    </row>
    <row r="11" ht="15.75" customHeight="1" s="99">
      <c r="A11" s="77" t="inlineStr">
        <is>
          <t>Daily Labour</t>
        </is>
      </c>
      <c r="B11" s="87">
        <f>COUNTIF('All Transactions'!H:H,A11)</f>
        <v/>
      </c>
      <c r="C11" s="87">
        <f>SUMIF('All Transactions'!H:H,A11,'All Transactions'!O:O)</f>
        <v/>
      </c>
      <c r="D11" s="87">
        <f>SUMIF('Payment Tracker'!D:D,A11,'Payment Tracker'!G:G)</f>
        <v/>
      </c>
      <c r="E11" s="97">
        <f>C11-D11</f>
        <v/>
      </c>
      <c r="F11" s="89">
        <f>IF(E11&gt;0,"⚠️ DUE",IF(E11&lt;0,"🔵 ADV","✅ PAID"))</f>
        <v/>
      </c>
      <c r="G11" s="90" t="n"/>
      <c r="H11" s="77" t="n"/>
      <c r="I11" s="82" t="n"/>
    </row>
    <row r="12" ht="15.75" customHeight="1" s="99">
      <c r="A12" s="77" t="inlineStr">
        <is>
          <t>Khutauna Chirai mill</t>
        </is>
      </c>
      <c r="B12" s="87">
        <f>COUNTIF('All Transactions'!H:H,A12)</f>
        <v/>
      </c>
      <c r="C12" s="87">
        <f>SUMIF('All Transactions'!H:H,A12,'All Transactions'!O:O)</f>
        <v/>
      </c>
      <c r="D12" s="87">
        <f>SUMIF('Payment Tracker'!D:D,A12,'Payment Tracker'!G:G)</f>
        <v/>
      </c>
      <c r="E12" s="97">
        <f>C12-D12</f>
        <v/>
      </c>
      <c r="F12" s="89">
        <f>IF(E12&gt;0,"⚠️ DUE",IF(E12&lt;0,"🔵 ADV","✅ PAID"))</f>
        <v/>
      </c>
      <c r="G12" s="90" t="n"/>
      <c r="H12" s="77" t="n"/>
      <c r="I12" s="82" t="n"/>
    </row>
    <row r="13" ht="15.75" customHeight="1" s="99">
      <c r="A13" s="77" t="inlineStr">
        <is>
          <t>Local Purchase</t>
        </is>
      </c>
      <c r="B13" s="87">
        <f>COUNTIF('All Transactions'!H:H,A13)</f>
        <v/>
      </c>
      <c r="C13" s="87">
        <f>SUMIF('All Transactions'!H:H,A13,'All Transactions'!O:O)</f>
        <v/>
      </c>
      <c r="D13" s="87">
        <f>SUMIF('Payment Tracker'!D:D,A13,'Payment Tracker'!G:G)</f>
        <v/>
      </c>
      <c r="E13" s="97">
        <f>C13-D13</f>
        <v/>
      </c>
      <c r="F13" s="89">
        <f>IF(E13&gt;0,"⚠️ DUE",IF(E13&lt;0,"🔵 ADV","✅ PAID"))</f>
        <v/>
      </c>
      <c r="G13" s="90" t="n"/>
      <c r="H13" s="77" t="n"/>
      <c r="I13" s="82" t="n"/>
    </row>
    <row r="14" ht="15.75" customHeight="1" s="99">
      <c r="A14" s="77" t="inlineStr">
        <is>
          <t>Mittal Electric</t>
        </is>
      </c>
      <c r="B14" s="87">
        <f>COUNTIF('All Transactions'!H:H,A14)</f>
        <v/>
      </c>
      <c r="C14" s="87">
        <f>SUMIF('All Transactions'!H:H,A14,'All Transactions'!O:O)</f>
        <v/>
      </c>
      <c r="D14" s="87">
        <f>SUMIF('Payment Tracker'!D:D,A14,'Payment Tracker'!G:G)</f>
        <v/>
      </c>
      <c r="E14" s="97">
        <f>C14-D14</f>
        <v/>
      </c>
      <c r="F14" s="89">
        <f>IF(E14&gt;0,"⚠️ DUE",IF(E14&lt;0,"🔵 ADV","✅ PAID"))</f>
        <v/>
      </c>
      <c r="G14" s="90" t="n"/>
      <c r="H14" s="77" t="n"/>
      <c r="I14" s="82" t="n"/>
    </row>
    <row r="15" ht="15.75" customHeight="1" s="99">
      <c r="A15" s="77" t="inlineStr">
        <is>
          <t>Naveen Hardware</t>
        </is>
      </c>
      <c r="B15" s="87">
        <f>COUNTIF('All Transactions'!H:H,A15)</f>
        <v/>
      </c>
      <c r="C15" s="87">
        <f>SUMIF('All Transactions'!H:H,A15,'All Transactions'!O:O)</f>
        <v/>
      </c>
      <c r="D15" s="87">
        <f>SUMIF('Payment Tracker'!D:D,A15,'Payment Tracker'!G:G)</f>
        <v/>
      </c>
      <c r="E15" s="97">
        <f>C15-D15</f>
        <v/>
      </c>
      <c r="F15" s="89">
        <f>IF(E15&gt;0,"⚠️ DUE",IF(E15&lt;0,"🔵 ADV","✅ PAID"))</f>
        <v/>
      </c>
      <c r="G15" s="90" t="n"/>
      <c r="H15" s="77" t="n"/>
      <c r="I15" s="82" t="n"/>
    </row>
    <row r="16" ht="15.75" customHeight="1" s="99">
      <c r="A16" s="77" t="inlineStr">
        <is>
          <t>Sonbhai-Coordinator</t>
        </is>
      </c>
      <c r="B16" s="87">
        <f>COUNTIF('All Transactions'!H:H,A16)</f>
        <v/>
      </c>
      <c r="C16" s="87">
        <f>SUMIF('All Transactions'!H:H,A16,'All Transactions'!O:O)</f>
        <v/>
      </c>
      <c r="D16" s="87">
        <f>SUMIF('Payment Tracker'!D:D,A16,'Payment Tracker'!G:G)</f>
        <v/>
      </c>
      <c r="E16" s="97">
        <f>C16-D16</f>
        <v/>
      </c>
      <c r="F16" s="89">
        <f>IF(E16&gt;0,"⚠️ DUE",IF(E16&lt;0,"🔵 ADV","✅ PAID"))</f>
        <v/>
      </c>
      <c r="G16" s="90" t="n"/>
      <c r="H16" s="77" t="n"/>
      <c r="I16" s="82" t="n"/>
    </row>
    <row r="17" ht="15.75" customHeight="1" s="99">
      <c r="A17" s="77" t="inlineStr">
        <is>
          <t>TOTAL</t>
        </is>
      </c>
      <c r="B17" s="87">
        <f>SUM(B5:B16)</f>
        <v/>
      </c>
      <c r="C17" s="87">
        <f>SUM(C5:C16)</f>
        <v/>
      </c>
      <c r="D17" s="87">
        <f>SUM(D5:D16)</f>
        <v/>
      </c>
      <c r="E17" s="97">
        <f>C17-D17</f>
        <v/>
      </c>
      <c r="F17" s="89" t="n"/>
      <c r="G17" s="90" t="n"/>
      <c r="H17" s="77" t="n"/>
      <c r="I17" s="82" t="n"/>
    </row>
    <row r="18" ht="15" customHeight="1" s="99">
      <c r="A18" s="82" t="n"/>
      <c r="B18" s="82" t="n"/>
      <c r="C18" s="82" t="n"/>
      <c r="D18" s="82" t="n"/>
      <c r="E18" s="82" t="n"/>
      <c r="F18" s="82" t="n"/>
      <c r="G18" s="82" t="n"/>
      <c r="H18" s="82" t="n"/>
      <c r="I18" s="82" t="n"/>
    </row>
    <row r="19" ht="15" customHeight="1" s="99">
      <c r="A19" s="82" t="n"/>
      <c r="B19" s="82" t="n"/>
      <c r="C19" s="82" t="n"/>
      <c r="D19" s="82" t="n"/>
      <c r="E19" s="82" t="n"/>
      <c r="F19" s="82" t="n"/>
      <c r="G19" s="82" t="n"/>
      <c r="H19" s="82" t="n"/>
      <c r="I19" s="82" t="n"/>
    </row>
    <row r="20" ht="15" customHeight="1" s="99">
      <c r="A20" s="82" t="n"/>
      <c r="B20" s="82" t="n"/>
      <c r="C20" s="82" t="n"/>
      <c r="D20" s="82" t="n"/>
      <c r="E20" s="82" t="n"/>
      <c r="F20" s="82" t="n"/>
      <c r="G20" s="82" t="n"/>
      <c r="H20" s="82" t="n"/>
      <c r="I20" s="82" t="n"/>
    </row>
    <row r="21" ht="15" customHeight="1" s="99">
      <c r="A21" s="82" t="n"/>
      <c r="B21" s="82" t="n"/>
      <c r="C21" s="82" t="n"/>
      <c r="D21" s="82" t="n"/>
      <c r="E21" s="82" t="n"/>
      <c r="F21" s="82" t="n"/>
      <c r="G21" s="82" t="n"/>
      <c r="H21" s="82" t="n"/>
      <c r="I21" s="82" t="n"/>
    </row>
    <row r="22" ht="15" customHeight="1" s="99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</row>
    <row r="23" ht="15" customHeight="1" s="99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</row>
    <row r="24" ht="15" customHeight="1" s="99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</row>
  </sheetData>
  <mergeCells count="2">
    <mergeCell ref="A2:H2"/>
    <mergeCell ref="A1:H1"/>
  </mergeCells>
  <pageMargins left="0.75" right="0.75" top="1" bottom="1" header="0.511811023622047" footer="0.511811023622047"/>
  <pageSetup orientation="landscape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style="99" min="1" max="1"/>
    <col width="8" customWidth="1" style="99" min="2" max="2"/>
    <col width="16" customWidth="1" style="99" min="3" max="3"/>
    <col width="40" customWidth="1" style="99" min="4" max="4"/>
    <col width="60" customWidth="1" style="99" min="5" max="5"/>
  </cols>
  <sheetData>
    <row r="1">
      <c r="A1" t="inlineStr">
        <is>
          <t>UNIT FUNDING — B-Unit / C-Unit cost split &amp; external funder commitments</t>
        </is>
      </c>
    </row>
    <row r="2">
      <c r="A2" t="inlineStr">
        <is>
          <t>All spend is split 50/50 between B-Unit and C-Unit unless a transaction is explicitly tagged to one unit.</t>
        </is>
      </c>
    </row>
    <row r="4">
      <c r="A4" t="inlineStr">
        <is>
          <t>Funder</t>
        </is>
      </c>
      <c r="B4" t="inlineStr">
        <is>
          <t>Unit</t>
        </is>
      </c>
      <c r="C4" t="inlineStr">
        <is>
          <t>Commitment ₹</t>
        </is>
      </c>
      <c r="D4" t="inlineStr">
        <is>
          <t>Family-funded threshold ₹ (kicks in after this much unit spend)</t>
        </is>
      </c>
      <c r="E4" t="inlineStr">
        <is>
          <t>Notes</t>
        </is>
      </c>
    </row>
    <row r="5">
      <c r="A5" t="inlineStr">
        <is>
          <t>Deepu</t>
        </is>
      </c>
      <c r="B5" t="inlineStr">
        <is>
          <t>C</t>
        </is>
      </c>
      <c r="C5" t="n">
        <v>1500000</v>
      </c>
      <c r="D5" t="n">
        <v>1000000</v>
      </c>
      <c r="E5" t="inlineStr">
        <is>
          <t>Avinash funds first ₹10L of C-Unit spend; Deepu funds the next ₹15L of C-Unit spend beyond that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2026-05-12T15:34:41Z</dcterms:created>
  <dcterms:modified xsi:type="dcterms:W3CDTF">2026-10-14T06:29:17Z</dcterms:modified>
  <cp:lastModifiedBy>Avinash Karn</cp:lastModifiedBy>
  <cp:revision>49</cp:revision>
</cp:coreProperties>
</file>