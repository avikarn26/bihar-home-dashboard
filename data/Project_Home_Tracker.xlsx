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  <sheet name="Unit Funding" sheetId="11" state="visible" r:id="rId11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 outlineLevelCol="0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 outlineLevelCol="0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 outlineLevelCol="0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R573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 outlineLevelCol="0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  <col width="30" customWidth="1" style="99" min="18" max="18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  <c r="R4" t="inlineStr">
        <is>
          <t>Building Unit (B/C, blank=joint 50/50)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944</v>
      </c>
      <c r="J517" t="inlineStr">
        <is>
          <t>CFT</t>
        </is>
      </c>
      <c r="K517" t="n">
        <v>59.85169491525424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936</v>
      </c>
      <c r="J518" t="inlineStr">
        <is>
          <t>CFT</t>
        </is>
      </c>
      <c r="K518" t="n">
        <v>59.82905982905983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Pappu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Pappu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Pappu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Pappu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Pappu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Pappu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t="n">
        <v>534</v>
      </c>
      <c r="B537" s="128" t="n">
        <v>46224</v>
      </c>
      <c r="C537">
        <f>IF(B537="","",TEXT(B537,"MMM-YYYY"))</f>
        <v/>
      </c>
      <c r="D537" t="inlineStr">
        <is>
          <t>Plinth Phase</t>
        </is>
      </c>
      <c r="E537" t="inlineStr">
        <is>
          <t>Professional Fees</t>
        </is>
      </c>
      <c r="F537" t="inlineStr">
        <is>
          <t>Shuttering Labour</t>
        </is>
      </c>
      <c r="G537" t="inlineStr">
        <is>
          <t>Advance to Santosh for shuttering work</t>
        </is>
      </c>
      <c r="H537" t="inlineStr">
        <is>
          <t>Econ Builder</t>
        </is>
      </c>
      <c r="I537" t="n">
        <v>1</v>
      </c>
      <c r="J537" t="inlineStr">
        <is>
          <t>Advance</t>
        </is>
      </c>
      <c r="K537" t="n">
        <v>5000</v>
      </c>
      <c r="L537">
        <f>IF(OR(I537="",K537=""),"",I537*K537)</f>
        <v/>
      </c>
      <c r="N537">
        <f>M537*L537</f>
        <v/>
      </c>
      <c r="O537">
        <f>IF(L537="","",IF(M537="",L537,L537*(1-M537)))</f>
        <v/>
      </c>
    </row>
    <row r="538">
      <c r="A538" t="n">
        <v>535</v>
      </c>
      <c r="B538" s="128" t="n">
        <v>46224</v>
      </c>
      <c r="C538">
        <f>IF(B538="","",TEXT(B538,"MMM-YYYY"))</f>
        <v/>
      </c>
      <c r="D538" t="inlineStr">
        <is>
          <t>Plinth Phase</t>
        </is>
      </c>
      <c r="E538" t="inlineStr">
        <is>
          <t>Building Materials</t>
        </is>
      </c>
      <c r="F538" t="inlineStr">
        <is>
          <t>Cement</t>
        </is>
      </c>
      <c r="G538" t="inlineStr">
        <is>
          <t>Ultratech Super Cement 30 bags @ ₹350</t>
        </is>
      </c>
      <c r="H538" t="inlineStr">
        <is>
          <t>Pappu Hardware</t>
        </is>
      </c>
      <c r="I538" t="n">
        <v>30</v>
      </c>
      <c r="J538" t="inlineStr">
        <is>
          <t>Bag</t>
        </is>
      </c>
      <c r="K538" t="n">
        <v>350</v>
      </c>
      <c r="L538">
        <f>I538*K538</f>
        <v/>
      </c>
      <c r="N538">
        <f>M538*L538</f>
        <v/>
      </c>
      <c r="O538">
        <f>IF(L538="","",IF(M538="",L538,L538*(1-M538)))</f>
        <v/>
      </c>
    </row>
    <row r="539">
      <c r="A539" t="n">
        <v>536</v>
      </c>
      <c r="B539" s="128" t="n">
        <v>46224</v>
      </c>
      <c r="C539">
        <f>IF(B539="","",TEXT(B539,"MMM-YYYY"))</f>
        <v/>
      </c>
      <c r="D539" t="inlineStr">
        <is>
          <t>Plinth Phase</t>
        </is>
      </c>
      <c r="E539" t="inlineStr">
        <is>
          <t>Building Materials</t>
        </is>
      </c>
      <c r="F539" t="inlineStr">
        <is>
          <t>Cement</t>
        </is>
      </c>
      <c r="G539" t="inlineStr">
        <is>
          <t>Ultratech Plain Cement 30 bags @ ₹330</t>
        </is>
      </c>
      <c r="H539" t="inlineStr">
        <is>
          <t>Pappu Hardware</t>
        </is>
      </c>
      <c r="I539" t="n">
        <v>30</v>
      </c>
      <c r="J539" t="inlineStr">
        <is>
          <t>Bag</t>
        </is>
      </c>
      <c r="K539" t="n">
        <v>330</v>
      </c>
      <c r="L539">
        <f>I539*K539</f>
        <v/>
      </c>
      <c r="N539">
        <f>M539*L539</f>
        <v/>
      </c>
      <c r="O539">
        <f>IF(L539="","",IF(M539="",L539,L539*(1-M539)))</f>
        <v/>
      </c>
    </row>
    <row r="540">
      <c r="A540" t="n">
        <v>537</v>
      </c>
      <c r="B540" s="128" t="n">
        <v>46224</v>
      </c>
      <c r="C540">
        <f>IF(B540="","",TEXT(B540,"MMM-YYYY"))</f>
        <v/>
      </c>
      <c r="D540" t="inlineStr">
        <is>
          <t>Plinth Phase</t>
        </is>
      </c>
      <c r="E540" t="inlineStr">
        <is>
          <t>Transport · Food · Misc</t>
        </is>
      </c>
      <c r="F540" t="inlineStr">
        <is>
          <t>Transport</t>
        </is>
      </c>
      <c r="G540" t="inlineStr">
        <is>
          <t>Cement freight/transport (Bhada)</t>
        </is>
      </c>
      <c r="H540" t="inlineStr">
        <is>
          <t>Pappu Hardware</t>
        </is>
      </c>
      <c r="I540" t="n">
        <v>1</v>
      </c>
      <c r="J540" t="inlineStr">
        <is>
          <t>Trip</t>
        </is>
      </c>
      <c r="K540" t="n">
        <v>300</v>
      </c>
      <c r="L540">
        <f>I540*K540</f>
        <v/>
      </c>
      <c r="N540">
        <f>M540*L540</f>
        <v/>
      </c>
      <c r="O540">
        <f>IF(L540="","",IF(M540="",L540,L540*(1-M540)))</f>
        <v/>
      </c>
    </row>
    <row r="541">
      <c r="A541" t="n">
        <v>538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Labour</t>
        </is>
      </c>
      <c r="F541" t="inlineStr">
        <is>
          <t>Site Labour</t>
        </is>
      </c>
      <c r="G541" t="inlineStr">
        <is>
          <t>Labour for cement loading/unloading</t>
        </is>
      </c>
      <c r="H541" t="inlineStr">
        <is>
          <t>Pappu Hardware</t>
        </is>
      </c>
      <c r="I541" t="n">
        <v>1</v>
      </c>
      <c r="J541" t="inlineStr">
        <is>
          <t>Service</t>
        </is>
      </c>
      <c r="K541" t="n">
        <v>240</v>
      </c>
      <c r="L541">
        <f>I541*K541</f>
        <v/>
      </c>
      <c r="N541">
        <f>M541*L541</f>
        <v/>
      </c>
      <c r="O541">
        <f>IF(L541="","",IF(M541="",L541,L541*(1-M541)))</f>
        <v/>
      </c>
    </row>
    <row r="542">
      <c r="A542" t="n">
        <v>539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Steel / Iron</t>
        </is>
      </c>
      <c r="F542" t="inlineStr">
        <is>
          <t>Wire</t>
        </is>
      </c>
      <c r="G542" t="inlineStr">
        <is>
          <t>Wire 2 bundles</t>
        </is>
      </c>
      <c r="H542" t="inlineStr">
        <is>
          <t>Pappu Hardware</t>
        </is>
      </c>
      <c r="I542" t="n">
        <v>2</v>
      </c>
      <c r="J542" t="inlineStr">
        <is>
          <t>Bundle</t>
        </is>
      </c>
      <c r="K542" t="n">
        <v>600</v>
      </c>
      <c r="L542">
        <f>I542*K542</f>
        <v/>
      </c>
      <c r="N542">
        <f>M542*L542</f>
        <v/>
      </c>
      <c r="O542">
        <f>IF(L542="","",IF(M542="",L542,L542*(1-M542)))</f>
        <v/>
      </c>
    </row>
    <row r="543">
      <c r="A543" t="n">
        <v>540</v>
      </c>
      <c r="B543" s="128" t="n">
        <v>46224</v>
      </c>
      <c r="C543">
        <f>IF(B543="","",TEXT(B543,"MMM-YYYY"))</f>
        <v/>
      </c>
      <c r="D543" t="inlineStr">
        <is>
          <t>Plinth Phase</t>
        </is>
      </c>
      <c r="E543" t="inlineStr">
        <is>
          <t>Labour</t>
        </is>
      </c>
      <c r="F543" t="inlineStr">
        <is>
          <t>Site Labour</t>
        </is>
      </c>
      <c r="G543" t="inlineStr">
        <is>
          <t>Labour for wire handling</t>
        </is>
      </c>
      <c r="H543" t="inlineStr">
        <is>
          <t>Pappu Hardware</t>
        </is>
      </c>
      <c r="I543" t="n">
        <v>1</v>
      </c>
      <c r="J543" t="inlineStr">
        <is>
          <t>Service</t>
        </is>
      </c>
      <c r="K543" t="n">
        <v>100</v>
      </c>
      <c r="L543">
        <f>I543*K543</f>
        <v/>
      </c>
      <c r="N543">
        <f>M543*L543</f>
        <v/>
      </c>
      <c r="O543">
        <f>IF(L543="","",IF(M543="",L543,L543*(1-M543)))</f>
        <v/>
      </c>
    </row>
    <row r="544">
      <c r="A544" t="n">
        <v>541</v>
      </c>
      <c r="B544" s="128" t="n">
        <v>46208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Daily Labour-Mitti Bharai</t>
        </is>
      </c>
      <c r="G544" t="inlineStr">
        <is>
          <t>Mitti bharai additional labour</t>
        </is>
      </c>
      <c r="H544" t="inlineStr">
        <is>
          <t>Daily Labour</t>
        </is>
      </c>
      <c r="I544" t="n">
        <v>1</v>
      </c>
      <c r="J544" t="inlineStr">
        <is>
          <t>Service</t>
        </is>
      </c>
      <c r="K544" t="n">
        <v>25000</v>
      </c>
      <c r="L544">
        <f>I544*K544</f>
        <v/>
      </c>
      <c r="N544">
        <f>M544*L544</f>
        <v/>
      </c>
      <c r="O544">
        <f>IF(L544="","",IF(M544="",L544,L544*(1-M544)))</f>
        <v/>
      </c>
    </row>
    <row r="545">
      <c r="A545" t="n">
        <v>542</v>
      </c>
      <c r="B545" s="128" t="n">
        <v>46223</v>
      </c>
      <c r="C545">
        <f>IF(B545="","",TEXT(B545,"MMM-YYYY"))</f>
        <v/>
      </c>
      <c r="D545" t="inlineStr">
        <is>
          <t>Plinth Phase</t>
        </is>
      </c>
      <c r="E545" t="inlineStr">
        <is>
          <t>Labour</t>
        </is>
      </c>
      <c r="F545" t="inlineStr">
        <is>
          <t>Daily Labour-Mitti Bharai</t>
        </is>
      </c>
      <c r="G545" t="inlineStr">
        <is>
          <t>Mitti bharai additional labour</t>
        </is>
      </c>
      <c r="H545" t="inlineStr">
        <is>
          <t>Daily Labour</t>
        </is>
      </c>
      <c r="I545" t="n">
        <v>1</v>
      </c>
      <c r="J545" t="inlineStr">
        <is>
          <t>Service</t>
        </is>
      </c>
      <c r="K545" t="n">
        <v>22875</v>
      </c>
      <c r="L545">
        <f>I545*K545</f>
        <v/>
      </c>
      <c r="N545">
        <f>M545*L545</f>
        <v/>
      </c>
      <c r="O545">
        <f>IF(L545="","",IF(M545="",L545,L545*(1-M545)))</f>
        <v/>
      </c>
    </row>
    <row r="546">
      <c r="A546" t="n">
        <v>543</v>
      </c>
      <c r="B546" s="128" t="n">
        <v>46223</v>
      </c>
      <c r="C546">
        <f>IF(B546="","",TEXT(B546,"MMM-YYYY"))</f>
        <v/>
      </c>
      <c r="D546" t="inlineStr">
        <is>
          <t>Plinth Phase</t>
        </is>
      </c>
      <c r="E546" t="inlineStr">
        <is>
          <t>Transport · Food · Misc</t>
        </is>
      </c>
      <c r="F546" t="inlineStr">
        <is>
          <t>Food/Ration</t>
        </is>
      </c>
      <c r="G546" t="inlineStr">
        <is>
          <t>Food and miscellaneous provisions</t>
        </is>
      </c>
      <c r="H546" t="inlineStr">
        <is>
          <t>Local Purchase</t>
        </is>
      </c>
      <c r="I546" t="n">
        <v>1</v>
      </c>
      <c r="J546" t="inlineStr">
        <is>
          <t>Service</t>
        </is>
      </c>
      <c r="K546" t="n">
        <v>55768</v>
      </c>
      <c r="L546">
        <f>I546*K546</f>
        <v/>
      </c>
      <c r="N546">
        <f>M546*L546</f>
        <v/>
      </c>
      <c r="O546">
        <f>IF(L546="","",IF(M546="",L546,L546*(1-M546)))</f>
        <v/>
      </c>
    </row>
    <row r="547">
      <c r="A547" t="n">
        <v>541</v>
      </c>
      <c r="B547" s="128" t="n">
        <v>46225</v>
      </c>
      <c r="C547">
        <f>IF(B547="","",TEXT(B547,"MMM-YYYY"))</f>
        <v/>
      </c>
      <c r="D547" t="inlineStr">
        <is>
          <t>Plinth Phase</t>
        </is>
      </c>
      <c r="E547" t="inlineStr">
        <is>
          <t>Building Materials</t>
        </is>
      </c>
      <c r="F547" t="inlineStr">
        <is>
          <t>Bricks</t>
        </is>
      </c>
      <c r="G547" t="inlineStr">
        <is>
          <t>Brick delivery — tractor 14-20 (10,500 bricks @ ₹8.5)</t>
        </is>
      </c>
      <c r="H547" t="inlineStr">
        <is>
          <t>Brick Company</t>
        </is>
      </c>
      <c r="I547" t="n">
        <v>10500</v>
      </c>
      <c r="J547" t="inlineStr">
        <is>
          <t>pcs</t>
        </is>
      </c>
      <c r="K547" t="n">
        <v>8.5</v>
      </c>
      <c r="L547">
        <f>I547*K547</f>
        <v/>
      </c>
      <c r="N547">
        <f>M547*L547</f>
        <v/>
      </c>
      <c r="O547">
        <f>IF(L547="","",IF(M547="",L547,L547*(1-M547)))</f>
        <v/>
      </c>
    </row>
    <row r="548">
      <c r="A548" t="n">
        <v>542</v>
      </c>
      <c r="B548" s="128" t="n">
        <v>46224</v>
      </c>
      <c r="C548">
        <f>IF(B548="","",TEXT(B548,"MMM-YYYY"))</f>
        <v/>
      </c>
      <c r="D548" t="inlineStr">
        <is>
          <t>Plinth Phase</t>
        </is>
      </c>
      <c r="E548" t="inlineStr">
        <is>
          <t>Building Materials</t>
        </is>
      </c>
      <c r="F548" t="inlineStr">
        <is>
          <t>Concrete/Gitti</t>
        </is>
      </c>
      <c r="G548" t="inlineStr">
        <is>
          <t>Gitti/Concrete 41.48 MT @ ₹2,300/MT</t>
        </is>
      </c>
      <c r="H548" t="inlineStr">
        <is>
          <t>Concrete Supplier</t>
        </is>
      </c>
      <c r="I548" t="n">
        <v>41.48</v>
      </c>
      <c r="J548" t="inlineStr">
        <is>
          <t>MT</t>
        </is>
      </c>
      <c r="K548" t="n">
        <v>2300</v>
      </c>
      <c r="L548">
        <f>I548*K548</f>
        <v/>
      </c>
      <c r="N548">
        <f>M548*L548</f>
        <v/>
      </c>
      <c r="O548">
        <f>IF(L548="","",IF(M548="",L548,L548*(1-M548)))</f>
        <v/>
      </c>
    </row>
    <row r="549">
      <c r="A549" t="n">
        <v>543</v>
      </c>
      <c r="B549" s="128" t="n">
        <v>46224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gitti/concrete loading</t>
        </is>
      </c>
      <c r="H549" t="inlineStr">
        <is>
          <t>Concrete Supplier</t>
        </is>
      </c>
      <c r="I549" t="n">
        <v>1</v>
      </c>
      <c r="J549" t="inlineStr">
        <is>
          <t>Service</t>
        </is>
      </c>
      <c r="K549" t="n">
        <v>200</v>
      </c>
      <c r="L549">
        <f>I549*K549</f>
        <v/>
      </c>
      <c r="N549">
        <f>M549*L549</f>
        <v/>
      </c>
      <c r="O549">
        <f>IF(L549="","",IF(M549="",L549,L549*(1-M549)))</f>
        <v/>
      </c>
    </row>
    <row r="550">
      <c r="A550" t="n">
        <v>544</v>
      </c>
      <c r="B550" s="128" t="n">
        <v>46224</v>
      </c>
      <c r="C550">
        <f>IF(B550="","",TEXT(B550,"MMM-YYYY"))</f>
        <v/>
      </c>
      <c r="D550" t="inlineStr">
        <is>
          <t>Plinth Phase</t>
        </is>
      </c>
      <c r="E550" t="inlineStr">
        <is>
          <t>Professional Fees</t>
        </is>
      </c>
      <c r="F550" t="inlineStr">
        <is>
          <t>Engineer Supervision</t>
        </is>
      </c>
      <c r="G550" t="inlineStr">
        <is>
          <t>Engineer supervision and site coordination</t>
        </is>
      </c>
      <c r="H550" t="inlineStr">
        <is>
          <t>Econ Builder</t>
        </is>
      </c>
      <c r="I550" t="n">
        <v>1</v>
      </c>
      <c r="J550" t="inlineStr">
        <is>
          <t>Service</t>
        </is>
      </c>
      <c r="K550" t="n">
        <v>37700</v>
      </c>
      <c r="L550">
        <f>I550*K550</f>
        <v/>
      </c>
      <c r="N550">
        <f>M550*L550</f>
        <v/>
      </c>
      <c r="O550">
        <f>IF(L550="","",IF(M550="",L550,L550*(1-M550)))</f>
        <v/>
      </c>
    </row>
    <row r="551">
      <c r="A551" t="n">
        <v>545</v>
      </c>
      <c r="B551" s="128" t="n">
        <v>46225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Super Cement 20 bags @ ₹330</t>
        </is>
      </c>
      <c r="H551" t="inlineStr">
        <is>
          <t>Pappu Hardware</t>
        </is>
      </c>
      <c r="I551" t="n">
        <v>20</v>
      </c>
      <c r="J551" t="inlineStr">
        <is>
          <t>Bag</t>
        </is>
      </c>
      <c r="K551" t="n">
        <v>330</v>
      </c>
      <c r="L551">
        <f>I551*K551</f>
        <v/>
      </c>
      <c r="N551">
        <f>M551*L551</f>
        <v/>
      </c>
      <c r="O551">
        <f>IF(L551="","",IF(M551="",L551,L551*(1-M551)))</f>
        <v/>
      </c>
    </row>
    <row r="552">
      <c r="A552" t="n">
        <v>546</v>
      </c>
      <c r="B552" s="128" t="n">
        <v>46225</v>
      </c>
      <c r="C552">
        <f>IF(B552="","",TEXT(B552,"MMM-YYYY"))</f>
        <v/>
      </c>
      <c r="D552" t="inlineStr">
        <is>
          <t>Plinth Phase</t>
        </is>
      </c>
      <c r="E552" t="inlineStr">
        <is>
          <t>Labour</t>
        </is>
      </c>
      <c r="F552" t="inlineStr">
        <is>
          <t>Site Labour</t>
        </is>
      </c>
      <c r="G552" t="inlineStr">
        <is>
          <t>Labour for cement handling/loading</t>
        </is>
      </c>
      <c r="H552" t="inlineStr">
        <is>
          <t>Pappu Hardware</t>
        </is>
      </c>
      <c r="I552" t="n">
        <v>1</v>
      </c>
      <c r="J552" t="inlineStr">
        <is>
          <t>Service</t>
        </is>
      </c>
      <c r="K552" t="n">
        <v>400</v>
      </c>
      <c r="L552">
        <f>I552*K552</f>
        <v/>
      </c>
      <c r="N552">
        <f>M552*L552</f>
        <v/>
      </c>
      <c r="O552">
        <f>IF(L552="","",IF(M552="",L552,L552*(1-M552)))</f>
        <v/>
      </c>
    </row>
    <row r="553">
      <c r="A553" t="n">
        <v>547</v>
      </c>
      <c r="B553" s="128" t="n">
        <v>46234</v>
      </c>
      <c r="C553">
        <f>IF(B553="","",TEXT(B553,"MMM-YYYY"))</f>
        <v/>
      </c>
      <c r="D553" t="inlineStr">
        <is>
          <t>Plinth Phase</t>
        </is>
      </c>
      <c r="E553" t="inlineStr">
        <is>
          <t>Professional Fees</t>
        </is>
      </c>
      <c r="F553" t="inlineStr">
        <is>
          <t>Engineer Supervision</t>
        </is>
      </c>
      <c r="G553" t="inlineStr">
        <is>
          <t>Payment to Santosh — aara mil (received)</t>
        </is>
      </c>
      <c r="H553" t="inlineStr">
        <is>
          <t>Econ Builder</t>
        </is>
      </c>
      <c r="I553" t="n">
        <v>1</v>
      </c>
      <c r="J553" t="inlineStr">
        <is>
          <t>Service</t>
        </is>
      </c>
      <c r="K553" t="n">
        <v>4000</v>
      </c>
      <c r="L553">
        <f>I553*K553</f>
        <v/>
      </c>
      <c r="N553">
        <f>M553*L553</f>
        <v/>
      </c>
      <c r="O553">
        <f>IF(L553="","",IF(M553="",L553,L553*(1-M553)))</f>
        <v/>
      </c>
    </row>
    <row r="554">
      <c r="A554" t="n">
        <v>548</v>
      </c>
      <c r="B554" s="128" t="n">
        <v>46241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Cement</t>
        </is>
      </c>
      <c r="G554" t="inlineStr">
        <is>
          <t>Ultratech Super cement 25 bags @ ₹350</t>
        </is>
      </c>
      <c r="H554" t="inlineStr">
        <is>
          <t>Pappu Hardware</t>
        </is>
      </c>
      <c r="I554" t="n">
        <v>25</v>
      </c>
      <c r="J554" t="inlineStr">
        <is>
          <t>Bag</t>
        </is>
      </c>
      <c r="K554" t="n">
        <v>350</v>
      </c>
      <c r="L554">
        <f>I554*K554</f>
        <v/>
      </c>
      <c r="N554">
        <f>M554*L554</f>
        <v/>
      </c>
      <c r="O554">
        <f>IF(L554="","",IF(M554="",L554,L554*(1-M554)))</f>
        <v/>
      </c>
    </row>
    <row r="555">
      <c r="A555" t="n">
        <v>549</v>
      </c>
      <c r="B555" s="128" t="n">
        <v>46241</v>
      </c>
      <c r="C555">
        <f>IF(B555="","",TEXT(B555,"MMM-YYYY"))</f>
        <v/>
      </c>
      <c r="D555" t="inlineStr">
        <is>
          <t>Plinth Phase</t>
        </is>
      </c>
      <c r="E555" t="inlineStr">
        <is>
          <t>Steel / Iron</t>
        </is>
      </c>
      <c r="F555" t="inlineStr">
        <is>
          <t>Tiscon 10mm</t>
        </is>
      </c>
      <c r="G555" t="inlineStr">
        <is>
          <t>10mm Tata Tiscon Rod 50 pcs @ ₹590 (4% disc)</t>
        </is>
      </c>
      <c r="H555" t="inlineStr">
        <is>
          <t>Pappu Hardware</t>
        </is>
      </c>
      <c r="I555" t="n">
        <v>50</v>
      </c>
      <c r="J555" t="inlineStr">
        <is>
          <t>pcs</t>
        </is>
      </c>
      <c r="K555" t="n">
        <v>566.4</v>
      </c>
      <c r="L555">
        <f>I555*K555</f>
        <v/>
      </c>
      <c r="N555">
        <f>M555*L555</f>
        <v/>
      </c>
      <c r="O555">
        <f>IF(L555="","",IF(M555="",L555,L555*(1-M555)))</f>
        <v/>
      </c>
    </row>
    <row r="556">
      <c r="A556" t="n">
        <v>550</v>
      </c>
      <c r="B556" s="128" t="n">
        <v>46241</v>
      </c>
      <c r="C556">
        <f>IF(B556="","",TEXT(B556,"MMM-YYYY"))</f>
        <v/>
      </c>
      <c r="D556" t="inlineStr">
        <is>
          <t>Plinth Phase</t>
        </is>
      </c>
      <c r="E556" t="inlineStr">
        <is>
          <t>Steel / Iron</t>
        </is>
      </c>
      <c r="F556" t="inlineStr">
        <is>
          <t>Tiscon 6mm</t>
        </is>
      </c>
      <c r="G556" t="inlineStr">
        <is>
          <t>6mm Tata Tiscon Rod 40 pcs @ ₹228</t>
        </is>
      </c>
      <c r="H556" t="inlineStr">
        <is>
          <t>Pappu Hardware</t>
        </is>
      </c>
      <c r="I556" t="n">
        <v>40</v>
      </c>
      <c r="J556" t="inlineStr">
        <is>
          <t>pcs</t>
        </is>
      </c>
      <c r="K556" t="n">
        <v>228</v>
      </c>
      <c r="L556">
        <f>I556*K556</f>
        <v/>
      </c>
      <c r="N556">
        <f>M556*L556</f>
        <v/>
      </c>
      <c r="O556">
        <f>IF(L556="","",IF(M556="",L556,L556*(1-M556)))</f>
        <v/>
      </c>
    </row>
    <row r="557">
      <c r="A557" t="n">
        <v>551</v>
      </c>
      <c r="B557" s="128" t="n">
        <v>46241</v>
      </c>
      <c r="C557">
        <f>IF(B557="","",TEXT(B557,"MMM-YYYY"))</f>
        <v/>
      </c>
      <c r="D557" t="inlineStr">
        <is>
          <t>Plinth Phase</t>
        </is>
      </c>
      <c r="E557" t="inlineStr">
        <is>
          <t>Steel / Iron</t>
        </is>
      </c>
      <c r="F557" t="inlineStr">
        <is>
          <t>Wire</t>
        </is>
      </c>
      <c r="G557" t="inlineStr">
        <is>
          <t>Tata soft wire 10 Kg @ ₹110</t>
        </is>
      </c>
      <c r="H557" t="inlineStr">
        <is>
          <t>Pappu Hardware</t>
        </is>
      </c>
      <c r="I557" t="n">
        <v>10</v>
      </c>
      <c r="J557" t="inlineStr">
        <is>
          <t>Kg</t>
        </is>
      </c>
      <c r="K557" t="n">
        <v>110</v>
      </c>
      <c r="L557">
        <f>I557*K557</f>
        <v/>
      </c>
      <c r="N557">
        <f>M557*L557</f>
        <v/>
      </c>
      <c r="O557">
        <f>IF(L557="","",IF(M557="",L557,L557*(1-M557)))</f>
        <v/>
      </c>
    </row>
    <row r="558">
      <c r="A558" t="n">
        <v>552</v>
      </c>
      <c r="B558" s="128" t="n">
        <v>46241</v>
      </c>
      <c r="C558">
        <f>IF(B558="","",TEXT(B558,"MMM-YYYY"))</f>
        <v/>
      </c>
      <c r="D558" t="inlineStr">
        <is>
          <t>Plinth Phase</t>
        </is>
      </c>
      <c r="E558" t="inlineStr">
        <is>
          <t>Labour</t>
        </is>
      </c>
      <c r="F558" t="inlineStr">
        <is>
          <t>Site Labour</t>
        </is>
      </c>
      <c r="G558" t="inlineStr">
        <is>
          <t>Labour for loading/handling</t>
        </is>
      </c>
      <c r="H558" t="inlineStr">
        <is>
          <t>Pappu Hardware</t>
        </is>
      </c>
      <c r="I558" t="n">
        <v>1</v>
      </c>
      <c r="J558" t="inlineStr">
        <is>
          <t>Service</t>
        </is>
      </c>
      <c r="K558" t="n">
        <v>450</v>
      </c>
      <c r="L558">
        <f>I558*K558</f>
        <v/>
      </c>
      <c r="N558">
        <f>M558*L558</f>
        <v/>
      </c>
      <c r="O558">
        <f>IF(L558="","",IF(M558="",L558,L558*(1-M558)))</f>
        <v/>
      </c>
    </row>
    <row r="559">
      <c r="A559" t="n">
        <v>553</v>
      </c>
      <c r="B559" s="128" t="n">
        <v>46243</v>
      </c>
      <c r="C559">
        <f>IF(B559="","",TEXT(B559,"MMM-YYYY"))</f>
        <v/>
      </c>
      <c r="D559" t="inlineStr">
        <is>
          <t>Plinth Phase</t>
        </is>
      </c>
      <c r="E559" t="inlineStr">
        <is>
          <t>Labour</t>
        </is>
      </c>
      <c r="F559" t="inlineStr">
        <is>
          <t>Site Labour</t>
        </is>
      </c>
      <c r="G559" t="inlineStr">
        <is>
          <t>Darbhanga labour payment</t>
        </is>
      </c>
      <c r="H559" t="inlineStr">
        <is>
          <t>Econ Builder</t>
        </is>
      </c>
      <c r="I559" t="n">
        <v>1</v>
      </c>
      <c r="J559" t="inlineStr">
        <is>
          <t>Lot</t>
        </is>
      </c>
      <c r="K559" t="n">
        <v>1200</v>
      </c>
      <c r="L559">
        <f>I559*K559</f>
        <v/>
      </c>
      <c r="N559">
        <f>M559*L559</f>
        <v/>
      </c>
      <c r="O559">
        <f>IF(L559="","",IF(M559="",L559,L559*(1-M559)))</f>
        <v/>
      </c>
    </row>
    <row r="560">
      <c r="A560" t="n">
        <v>554</v>
      </c>
      <c r="B560" s="128" t="n">
        <v>46243</v>
      </c>
      <c r="C560">
        <f>IF(B560="","",TEXT(B560,"MMM-YYYY"))</f>
        <v/>
      </c>
      <c r="D560" t="inlineStr">
        <is>
          <t>Plinth Phase</t>
        </is>
      </c>
      <c r="E560" t="inlineStr">
        <is>
          <t>Steel / Iron</t>
        </is>
      </c>
      <c r="F560" t="inlineStr">
        <is>
          <t>Fabrication</t>
        </is>
      </c>
      <c r="G560" t="inlineStr">
        <is>
          <t>Chotu lohabala</t>
        </is>
      </c>
      <c r="H560" t="inlineStr">
        <is>
          <t>Econ Builder</t>
        </is>
      </c>
      <c r="I560" t="n">
        <v>1</v>
      </c>
      <c r="J560" t="inlineStr">
        <is>
          <t>Lot</t>
        </is>
      </c>
      <c r="K560" t="n">
        <v>5000</v>
      </c>
      <c r="L560">
        <f>I560*K560</f>
        <v/>
      </c>
      <c r="N560">
        <f>M560*L560</f>
        <v/>
      </c>
      <c r="O560">
        <f>IF(L560="","",IF(M560="",L560,L560*(1-M560)))</f>
        <v/>
      </c>
    </row>
    <row r="561">
      <c r="A561" t="n">
        <v>555</v>
      </c>
      <c r="B561" s="128" t="n">
        <v>46243</v>
      </c>
      <c r="C561">
        <f>IF(B561="","",TEXT(B561,"MMM-YYYY"))</f>
        <v/>
      </c>
      <c r="D561" t="inlineStr">
        <is>
          <t>Plinth Phase</t>
        </is>
      </c>
      <c r="E561" t="inlineStr">
        <is>
          <t>Steel / Iron</t>
        </is>
      </c>
      <c r="F561" t="inlineStr">
        <is>
          <t>Fabrication</t>
        </is>
      </c>
      <c r="G561" t="inlineStr">
        <is>
          <t>Grilling</t>
        </is>
      </c>
      <c r="H561" t="inlineStr">
        <is>
          <t>Econ Builder</t>
        </is>
      </c>
      <c r="I561" t="n">
        <v>1</v>
      </c>
      <c r="J561" t="inlineStr">
        <is>
          <t>Service</t>
        </is>
      </c>
      <c r="K561" t="n">
        <v>1000</v>
      </c>
      <c r="L561">
        <f>I561*K561</f>
        <v/>
      </c>
      <c r="N561">
        <f>M561*L561</f>
        <v/>
      </c>
      <c r="O561">
        <f>IF(L561="","",IF(M561="",L561,L561*(1-M561)))</f>
        <v/>
      </c>
    </row>
    <row r="562">
      <c r="A562" t="n">
        <v>556</v>
      </c>
      <c r="B562" s="128" t="n">
        <v>46243</v>
      </c>
      <c r="C562">
        <f>IF(B562="","",TEXT(B562,"MMM-YYYY"))</f>
        <v/>
      </c>
      <c r="D562" t="inlineStr">
        <is>
          <t>Plinth Phase</t>
        </is>
      </c>
      <c r="E562" t="inlineStr">
        <is>
          <t>Building Materials</t>
        </is>
      </c>
      <c r="F562" t="inlineStr">
        <is>
          <t>Plywood/Shuttering</t>
        </is>
      </c>
      <c r="G562" t="inlineStr">
        <is>
          <t>4mm ply</t>
        </is>
      </c>
      <c r="H562" t="inlineStr">
        <is>
          <t>Econ Builder</t>
        </is>
      </c>
      <c r="I562" t="n">
        <v>1</v>
      </c>
      <c r="J562" t="inlineStr">
        <is>
          <t>Lot</t>
        </is>
      </c>
      <c r="K562" t="n">
        <v>700</v>
      </c>
      <c r="L562">
        <f>I562*K562</f>
        <v/>
      </c>
      <c r="N562">
        <f>M562*L562</f>
        <v/>
      </c>
      <c r="O562">
        <f>IF(L562="","",IF(M562="",L562,L562*(1-M562)))</f>
        <v/>
      </c>
    </row>
    <row r="563">
      <c r="A563" t="n">
        <v>557</v>
      </c>
      <c r="B563" s="128" t="n">
        <v>46243</v>
      </c>
      <c r="C563">
        <f>IF(B563="","",TEXT(B563,"MMM-YYYY"))</f>
        <v/>
      </c>
      <c r="D563" t="inlineStr">
        <is>
          <t>Plinth Phase</t>
        </is>
      </c>
      <c r="E563" t="inlineStr">
        <is>
          <t>Labour</t>
        </is>
      </c>
      <c r="F563" t="inlineStr">
        <is>
          <t>Site Labour</t>
        </is>
      </c>
      <c r="G563" t="inlineStr">
        <is>
          <t>Bayju</t>
        </is>
      </c>
      <c r="H563" t="inlineStr">
        <is>
          <t>Econ Builder</t>
        </is>
      </c>
      <c r="I563" t="n">
        <v>1</v>
      </c>
      <c r="J563" t="inlineStr">
        <is>
          <t>Lot</t>
        </is>
      </c>
      <c r="K563" t="n">
        <v>30000</v>
      </c>
      <c r="L563">
        <f>I563*K563</f>
        <v/>
      </c>
      <c r="N563">
        <f>M563*L563</f>
        <v/>
      </c>
      <c r="O563">
        <f>IF(L563="","",IF(M563="",L563,L563*(1-M563)))</f>
        <v/>
      </c>
    </row>
    <row r="564">
      <c r="A564" t="n">
        <v>558</v>
      </c>
      <c r="B564" s="128" t="n">
        <v>46256</v>
      </c>
      <c r="C564">
        <f>IF(B564="","",TEXT(B564,"MMM-YYYY"))</f>
        <v/>
      </c>
      <c r="D564" t="inlineStr">
        <is>
          <t>Plinth Phase</t>
        </is>
      </c>
      <c r="E564" t="inlineStr">
        <is>
          <t>Building Materials</t>
        </is>
      </c>
      <c r="F564" t="inlineStr">
        <is>
          <t>Bricks</t>
        </is>
      </c>
      <c r="G564" t="inlineStr">
        <is>
          <t>Brick delivery — tractor 21-27 (10,500 bricks @ ₹8.5)</t>
        </is>
      </c>
      <c r="H564" t="inlineStr">
        <is>
          <t>Brick Company</t>
        </is>
      </c>
      <c r="I564" t="n">
        <v>10500</v>
      </c>
      <c r="J564" t="inlineStr">
        <is>
          <t>pcs</t>
        </is>
      </c>
      <c r="K564" t="n">
        <v>8.5</v>
      </c>
      <c r="L564">
        <f>I564*K564</f>
        <v/>
      </c>
      <c r="N564">
        <f>M564*L564</f>
        <v/>
      </c>
      <c r="O564">
        <f>IF(L564="","",IF(M564="",L564,L564*(1-M564)))</f>
        <v/>
      </c>
    </row>
    <row r="565">
      <c r="A565" t="n">
        <v>559</v>
      </c>
      <c r="B565" s="128" t="n">
        <v>46258</v>
      </c>
      <c r="C565">
        <f>IF(B565="","",TEXT(B565,"MMM-YYYY"))</f>
        <v/>
      </c>
      <c r="D565" t="inlineStr">
        <is>
          <t>Plinth Phase</t>
        </is>
      </c>
      <c r="E565" t="inlineStr">
        <is>
          <t>Building Materials</t>
        </is>
      </c>
      <c r="F565" t="inlineStr">
        <is>
          <t>Cement</t>
        </is>
      </c>
      <c r="G565" t="inlineStr">
        <is>
          <t>Ultratech Super cement 30 bags @ ₹340</t>
        </is>
      </c>
      <c r="H565" t="inlineStr">
        <is>
          <t>Pappu Hardware</t>
        </is>
      </c>
      <c r="I565" t="n">
        <v>30</v>
      </c>
      <c r="J565" t="inlineStr">
        <is>
          <t>Bag</t>
        </is>
      </c>
      <c r="K565" t="n">
        <v>340</v>
      </c>
      <c r="L565">
        <f>I565*K565</f>
        <v/>
      </c>
      <c r="N565">
        <f>M565*L565</f>
        <v/>
      </c>
      <c r="O565">
        <f>IF(L565="","",IF(M565="",L565,L565*(1-M565)))</f>
        <v/>
      </c>
    </row>
    <row r="566">
      <c r="A566" t="n">
        <v>560</v>
      </c>
      <c r="B566" s="128" t="n">
        <v>46258</v>
      </c>
      <c r="C566">
        <f>IF(B566="","",TEXT(B566,"MMM-YYYY"))</f>
        <v/>
      </c>
      <c r="D566" t="inlineStr">
        <is>
          <t>Plinth Phase</t>
        </is>
      </c>
      <c r="E566" t="inlineStr">
        <is>
          <t>Building Materials</t>
        </is>
      </c>
      <c r="F566" t="inlineStr">
        <is>
          <t>Cement</t>
        </is>
      </c>
      <c r="G566" t="inlineStr">
        <is>
          <t>Ultratech Plain cement 20 bags @ ₹320</t>
        </is>
      </c>
      <c r="H566" t="inlineStr">
        <is>
          <t>Pappu Hardware</t>
        </is>
      </c>
      <c r="I566" t="n">
        <v>20</v>
      </c>
      <c r="J566" t="inlineStr">
        <is>
          <t>Bag</t>
        </is>
      </c>
      <c r="K566" t="n">
        <v>320</v>
      </c>
      <c r="L566">
        <f>I566*K566</f>
        <v/>
      </c>
      <c r="N566">
        <f>M566*L566</f>
        <v/>
      </c>
      <c r="O566">
        <f>IF(L566="","",IF(M566="",L566,L566*(1-M566)))</f>
        <v/>
      </c>
    </row>
    <row r="567">
      <c r="A567" t="n">
        <v>561</v>
      </c>
      <c r="B567" s="128" t="n">
        <v>46258</v>
      </c>
      <c r="C567">
        <f>IF(B567="","",TEXT(B567,"MMM-YYYY"))</f>
        <v/>
      </c>
      <c r="D567" t="inlineStr">
        <is>
          <t>Plinth Phase</t>
        </is>
      </c>
      <c r="E567" t="inlineStr">
        <is>
          <t>Labour</t>
        </is>
      </c>
      <c r="F567" t="inlineStr">
        <is>
          <t>Site Labour</t>
        </is>
      </c>
      <c r="G567" t="inlineStr">
        <is>
          <t>Labour</t>
        </is>
      </c>
      <c r="H567" t="inlineStr">
        <is>
          <t>Pappu Hardware</t>
        </is>
      </c>
      <c r="I567" t="n">
        <v>1</v>
      </c>
      <c r="J567" t="inlineStr">
        <is>
          <t>Service</t>
        </is>
      </c>
      <c r="K567" t="n">
        <v>500</v>
      </c>
      <c r="L567">
        <f>I567*K567</f>
        <v/>
      </c>
      <c r="N567">
        <f>M567*L567</f>
        <v/>
      </c>
      <c r="O567">
        <f>IF(L567="","",IF(M567="",L567,L567*(1-M567)))</f>
        <v/>
      </c>
    </row>
    <row r="568">
      <c r="A568" t="n">
        <v>562</v>
      </c>
      <c r="B568" s="128" t="n">
        <v>46257</v>
      </c>
      <c r="C568">
        <f>IF(B568="","",TEXT(B568,"MMM-YYYY"))</f>
        <v/>
      </c>
      <c r="D568" t="inlineStr">
        <is>
          <t>Plinth Phase</t>
        </is>
      </c>
      <c r="E568" t="inlineStr">
        <is>
          <t>Building Materials</t>
        </is>
      </c>
      <c r="F568" t="inlineStr">
        <is>
          <t>Bricks</t>
        </is>
      </c>
      <c r="G568" t="inlineStr">
        <is>
          <t>Brick delivery — tractor 28-29 (3,000 bricks @ ₹8.5)</t>
        </is>
      </c>
      <c r="H568" t="inlineStr">
        <is>
          <t>Brick Company</t>
        </is>
      </c>
      <c r="I568" t="n">
        <v>3000</v>
      </c>
      <c r="J568" t="inlineStr">
        <is>
          <t>pcs</t>
        </is>
      </c>
      <c r="K568" t="n">
        <v>8.5</v>
      </c>
      <c r="L568">
        <f>I568*K568</f>
        <v/>
      </c>
      <c r="N568">
        <f>M568*L568</f>
        <v/>
      </c>
      <c r="O568">
        <f>IF(L568="","",IF(M568="",L568,L568*(1-M568)))</f>
        <v/>
      </c>
    </row>
    <row r="569">
      <c r="A569" t="n">
        <v>563</v>
      </c>
      <c r="B569" s="128" t="n">
        <v>46270</v>
      </c>
      <c r="C569">
        <f>IF(B569="","",TEXT(B569,"MMM-YYYY"))</f>
        <v/>
      </c>
      <c r="D569" t="inlineStr">
        <is>
          <t>Plinth Phase</t>
        </is>
      </c>
      <c r="E569" t="inlineStr">
        <is>
          <t>Building Materials</t>
        </is>
      </c>
      <c r="F569" t="inlineStr">
        <is>
          <t>Cement</t>
        </is>
      </c>
      <c r="G569" t="inlineStr">
        <is>
          <t>Ultratech Super cement 12 bags @ ₹340</t>
        </is>
      </c>
      <c r="H569" t="inlineStr">
        <is>
          <t>Pappu Hardware</t>
        </is>
      </c>
      <c r="I569" t="n">
        <v>12</v>
      </c>
      <c r="J569" t="inlineStr">
        <is>
          <t>Bag</t>
        </is>
      </c>
      <c r="K569" t="n">
        <v>340</v>
      </c>
      <c r="L569">
        <f>I569*K569</f>
        <v/>
      </c>
      <c r="N569">
        <f>M569*L569</f>
        <v/>
      </c>
      <c r="O569">
        <f>IF(L569="","",IF(M569="",L569,L569*(1-M569)))</f>
        <v/>
      </c>
    </row>
    <row r="570">
      <c r="A570" t="n">
        <v>564</v>
      </c>
      <c r="B570" s="128" t="n">
        <v>46270</v>
      </c>
      <c r="C570">
        <f>IF(B570="","",TEXT(B570,"MMM-YYYY"))</f>
        <v/>
      </c>
      <c r="D570" t="inlineStr">
        <is>
          <t>Plinth Phase</t>
        </is>
      </c>
      <c r="E570" t="inlineStr">
        <is>
          <t>Building Materials</t>
        </is>
      </c>
      <c r="F570" t="inlineStr">
        <is>
          <t>Cement</t>
        </is>
      </c>
      <c r="G570" t="inlineStr">
        <is>
          <t>Ultratech Plain cement 24 bags @ ₹320</t>
        </is>
      </c>
      <c r="H570" t="inlineStr">
        <is>
          <t>Pappu Hardware</t>
        </is>
      </c>
      <c r="I570" t="n">
        <v>24</v>
      </c>
      <c r="J570" t="inlineStr">
        <is>
          <t>Bag</t>
        </is>
      </c>
      <c r="K570" t="n">
        <v>320</v>
      </c>
      <c r="L570">
        <f>I570*K570</f>
        <v/>
      </c>
      <c r="N570">
        <f>M570*L570</f>
        <v/>
      </c>
      <c r="O570">
        <f>IF(L570="","",IF(M570="",L570,L570*(1-M570)))</f>
        <v/>
      </c>
    </row>
    <row r="571">
      <c r="A571" t="n">
        <v>565</v>
      </c>
      <c r="B571" s="128" t="n">
        <v>46270</v>
      </c>
      <c r="C571">
        <f>IF(B571="","",TEXT(B571,"MMM-YYYY"))</f>
        <v/>
      </c>
      <c r="D571" t="inlineStr">
        <is>
          <t>Plinth Phase</t>
        </is>
      </c>
      <c r="E571" t="inlineStr">
        <is>
          <t>Building Materials</t>
        </is>
      </c>
      <c r="F571" t="inlineStr">
        <is>
          <t>Material Transport</t>
        </is>
      </c>
      <c r="G571" t="inlineStr">
        <is>
          <t>Cement transportation</t>
        </is>
      </c>
      <c r="H571" t="inlineStr">
        <is>
          <t>Pappu Hardware</t>
        </is>
      </c>
      <c r="I571" t="n">
        <v>1</v>
      </c>
      <c r="J571" t="inlineStr">
        <is>
          <t>Trip</t>
        </is>
      </c>
      <c r="K571" t="n">
        <v>450</v>
      </c>
      <c r="L571">
        <f>I571*K571</f>
        <v/>
      </c>
      <c r="N571">
        <f>M571*L571</f>
        <v/>
      </c>
      <c r="O571">
        <f>IF(L571="","",IF(M571="",L571,L571*(1-M571)))</f>
        <v/>
      </c>
    </row>
    <row r="572">
      <c r="A572" t="n">
        <v>566</v>
      </c>
      <c r="B572" s="128" t="n">
        <v>46277</v>
      </c>
      <c r="C572">
        <f>IF(B572="","",TEXT(B572,"MMM-YYYY"))</f>
        <v/>
      </c>
      <c r="D572" t="inlineStr">
        <is>
          <t>Plinth Phase</t>
        </is>
      </c>
      <c r="E572" t="inlineStr">
        <is>
          <t>Professional Fees</t>
        </is>
      </c>
      <c r="F572" t="inlineStr">
        <is>
          <t>Engineer Supervision</t>
        </is>
      </c>
      <c r="G572" t="inlineStr">
        <is>
          <t>Construction work done — general site supervision &amp; labour (Sep)</t>
        </is>
      </c>
      <c r="H572" t="inlineStr">
        <is>
          <t>Econ Builder</t>
        </is>
      </c>
      <c r="I572" t="n">
        <v>1</v>
      </c>
      <c r="J572" t="inlineStr">
        <is>
          <t>Lumpsum</t>
        </is>
      </c>
      <c r="K572" t="n">
        <v>100000</v>
      </c>
      <c r="L572">
        <f>I572*K572</f>
        <v/>
      </c>
      <c r="N572">
        <f>M572*L572</f>
        <v/>
      </c>
      <c r="O572">
        <f>IF(L572="","",IF(M572="",L572,L572*(1-M572)))</f>
        <v/>
      </c>
    </row>
    <row r="573">
      <c r="A573" s="60" t="inlineStr">
        <is>
          <t>TOTALS</t>
        </is>
      </c>
      <c r="B573" s="60" t="n"/>
      <c r="C573" s="60" t="n"/>
      <c r="D573" s="60" t="n"/>
      <c r="E573" s="60" t="n"/>
      <c r="F573" s="60" t="n"/>
      <c r="G573" s="60" t="n"/>
      <c r="H573" s="60" t="n"/>
      <c r="I573" s="60" t="n"/>
      <c r="J573" s="60" t="n"/>
      <c r="K573" s="60" t="n"/>
      <c r="L573" s="61">
        <f>SUM(L5:L572)</f>
        <v/>
      </c>
      <c r="M573" s="60" t="n"/>
      <c r="N573" s="60" t="n"/>
      <c r="O573" s="61">
        <f>SUM(O5:O528)</f>
        <v/>
      </c>
      <c r="P573" s="60" t="n"/>
      <c r="Q573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 outlineLevelCol="0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5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 outlineLevelCol="0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Pappu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>
        <v>41</v>
      </c>
      <c r="B45" s="45" t="n">
        <v>46224</v>
      </c>
      <c r="C45" s="47" t="inlineStr">
        <is>
          <t>Papa</t>
        </is>
      </c>
      <c r="D45" s="47" t="inlineStr">
        <is>
          <t>Econ Builder</t>
        </is>
      </c>
      <c r="E45" s="47" t="inlineStr">
        <is>
          <t>Professional Fees</t>
        </is>
      </c>
      <c r="F45" s="47" t="inlineStr">
        <is>
          <t>Payment to Santosh — labour supervision</t>
        </is>
      </c>
      <c r="G45" s="62" t="n">
        <v>5000</v>
      </c>
      <c r="H45" s="47" t="inlineStr">
        <is>
          <t>GPay</t>
        </is>
      </c>
      <c r="I45" s="47" t="n"/>
      <c r="J45" s="47" t="n"/>
      <c r="K45" s="47" t="inlineStr">
        <is>
          <t>Y</t>
        </is>
      </c>
      <c r="L45" s="50" t="n"/>
      <c r="M45" s="47" t="n"/>
    </row>
    <row r="46" ht="15.75" customHeight="1" s="99">
      <c r="A46" s="43" t="n">
        <v>42</v>
      </c>
      <c r="B46" s="53" t="n">
        <v>46208</v>
      </c>
      <c r="C46" s="55" t="inlineStr">
        <is>
          <t>Papa</t>
        </is>
      </c>
      <c r="D46" s="55" t="inlineStr">
        <is>
          <t>Daily Labour</t>
        </is>
      </c>
      <c r="E46" s="55" t="inlineStr">
        <is>
          <t>Labour</t>
        </is>
      </c>
      <c r="F46" s="55" t="inlineStr">
        <is>
          <t>Mitti bharai labour</t>
        </is>
      </c>
      <c r="G46" s="63" t="n">
        <v>25000</v>
      </c>
      <c r="H46" s="55" t="inlineStr">
        <is>
          <t>GPay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1" t="n">
        <v>43</v>
      </c>
      <c r="B47" s="45" t="n">
        <v>46223</v>
      </c>
      <c r="C47" s="47" t="inlineStr">
        <is>
          <t>Papa</t>
        </is>
      </c>
      <c r="D47" s="47" t="inlineStr">
        <is>
          <t>Daily Labour</t>
        </is>
      </c>
      <c r="E47" s="47" t="inlineStr">
        <is>
          <t>Labour</t>
        </is>
      </c>
      <c r="F47" s="47" t="inlineStr">
        <is>
          <t>Mitti bharai labour</t>
        </is>
      </c>
      <c r="G47" s="62" t="n">
        <v>22875</v>
      </c>
      <c r="H47" s="47" t="inlineStr">
        <is>
          <t>GPay</t>
        </is>
      </c>
      <c r="I47" s="47" t="n"/>
      <c r="J47" s="47" t="n"/>
      <c r="K47" s="47" t="inlineStr">
        <is>
          <t>Y</t>
        </is>
      </c>
      <c r="L47" s="50" t="n"/>
      <c r="M47" s="47" t="n"/>
    </row>
    <row r="48" ht="15.75" customHeight="1" s="99">
      <c r="A48" s="43" t="n">
        <v>44</v>
      </c>
      <c r="B48" s="53" t="n">
        <v>46223</v>
      </c>
      <c r="C48" s="55" t="inlineStr">
        <is>
          <t>Papa</t>
        </is>
      </c>
      <c r="D48" s="55" t="inlineStr">
        <is>
          <t>Local Purchase</t>
        </is>
      </c>
      <c r="E48" s="55" t="inlineStr">
        <is>
          <t>Transport · Food · Misc</t>
        </is>
      </c>
      <c r="F48" s="55" t="inlineStr">
        <is>
          <t>Food / Miscellaneous provisions</t>
        </is>
      </c>
      <c r="G48" s="63" t="n">
        <v>55768</v>
      </c>
      <c r="H48" s="55" t="inlineStr">
        <is>
          <t>GPay</t>
        </is>
      </c>
      <c r="I48" s="55" t="n"/>
      <c r="J48" s="55" t="n"/>
      <c r="K48" s="55" t="inlineStr">
        <is>
          <t>Y</t>
        </is>
      </c>
      <c r="L48" s="58" t="n"/>
      <c r="M48" s="55" t="n"/>
    </row>
    <row r="49" ht="15.75" customHeight="1" s="99">
      <c r="A49" s="41" t="n">
        <v>45</v>
      </c>
      <c r="B49" s="45" t="n">
        <v>46224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Transport + Labour</t>
        </is>
      </c>
      <c r="F49" s="47" t="inlineStr">
        <is>
          <t>Cement 60 bags + wire + transport + labour</t>
        </is>
      </c>
      <c r="G49" s="62" t="n">
        <v>22240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46</v>
      </c>
      <c r="B50" s="53" t="n">
        <v>46224</v>
      </c>
      <c r="C50" s="55" t="inlineStr">
        <is>
          <t>Papa</t>
        </is>
      </c>
      <c r="D50" s="55" t="inlineStr">
        <is>
          <t>Concrete Supplier</t>
        </is>
      </c>
      <c r="E50" s="55" t="inlineStr">
        <is>
          <t>Building Materials</t>
        </is>
      </c>
      <c r="F50" s="55" t="inlineStr">
        <is>
          <t>Gitti/Concrete 41.48 MT + labour</t>
        </is>
      </c>
      <c r="G50" s="63" t="n">
        <v>5000</v>
      </c>
      <c r="H50" s="55" t="inlineStr">
        <is>
          <t>GPay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47</v>
      </c>
      <c r="B51" s="45" t="n">
        <v>46224</v>
      </c>
      <c r="C51" s="47" t="inlineStr">
        <is>
          <t>Self</t>
        </is>
      </c>
      <c r="D51" s="47" t="inlineStr">
        <is>
          <t>Concrete Supplier</t>
        </is>
      </c>
      <c r="E51" s="47" t="inlineStr">
        <is>
          <t>Building Materials</t>
        </is>
      </c>
      <c r="F51" s="47" t="inlineStr">
        <is>
          <t>Gitti/Concrete 41.48 MT + labour</t>
        </is>
      </c>
      <c r="G51" s="62" t="n">
        <v>90600</v>
      </c>
      <c r="H51" s="47" t="inlineStr">
        <is>
          <t>Bank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48</v>
      </c>
      <c r="B52" s="53" t="n">
        <v>46225</v>
      </c>
      <c r="C52" s="55" t="inlineStr">
        <is>
          <t>Self</t>
        </is>
      </c>
      <c r="D52" s="55" t="inlineStr">
        <is>
          <t>Concrete Supplier</t>
        </is>
      </c>
      <c r="E52" s="55" t="inlineStr">
        <is>
          <t>Building Materials</t>
        </is>
      </c>
      <c r="F52" s="55" t="inlineStr">
        <is>
          <t>Gitti/Concrete final settlement balance</t>
        </is>
      </c>
      <c r="G52" s="63" t="n">
        <v>4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49</v>
      </c>
      <c r="B53" s="45" t="n">
        <v>46224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Professional Fees</t>
        </is>
      </c>
      <c r="F53" s="47" t="inlineStr">
        <is>
          <t>Engineer supervision and coordination</t>
        </is>
      </c>
      <c r="G53" s="62" t="n">
        <v>37700</v>
      </c>
      <c r="H53" s="47" t="inlineStr">
        <is>
          <t>GPay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>
        <v>50</v>
      </c>
      <c r="B54" s="53" t="n">
        <v>46225</v>
      </c>
      <c r="C54" s="55" t="inlineStr">
        <is>
          <t>Self</t>
        </is>
      </c>
      <c r="D54" s="55" t="inlineStr">
        <is>
          <t>Pappu Hardware</t>
        </is>
      </c>
      <c r="E54" s="55" t="inlineStr">
        <is>
          <t>Building Materials + Labour</t>
        </is>
      </c>
      <c r="F54" s="55" t="inlineStr">
        <is>
          <t>Cement 20 bags + labour</t>
        </is>
      </c>
      <c r="G54" s="63" t="n">
        <v>7000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 t="n"/>
      <c r="M54" s="55" t="n"/>
    </row>
    <row r="55" ht="15.75" customHeight="1" s="99">
      <c r="A55" s="41" t="n">
        <v>51</v>
      </c>
      <c r="B55" s="45" t="n">
        <v>46234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Professional Fees</t>
        </is>
      </c>
      <c r="F55" s="47" t="inlineStr">
        <is>
          <t>Santosh aara mil — payment received</t>
        </is>
      </c>
      <c r="G55" s="62" t="n">
        <v>4000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 t="n"/>
      <c r="M55" s="47" t="n"/>
    </row>
    <row r="56" ht="15.75" customHeight="1" s="99">
      <c r="A56" s="43" t="n">
        <v>52</v>
      </c>
      <c r="B56" s="53" t="n">
        <v>46236</v>
      </c>
      <c r="C56" s="55" t="inlineStr">
        <is>
          <t>Self</t>
        </is>
      </c>
      <c r="D56" s="55" t="inlineStr">
        <is>
          <t>Mukesh Yadav</t>
        </is>
      </c>
      <c r="E56" s="55" t="inlineStr">
        <is>
          <t>Land Development + Labour</t>
        </is>
      </c>
      <c r="F56" s="55" t="inlineStr">
        <is>
          <t>JCB + Mitti + Sand movement — final settlement</t>
        </is>
      </c>
      <c r="G56" s="63" t="n">
        <v>32950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 t="n"/>
      <c r="M56" s="55" t="n"/>
    </row>
    <row r="57" ht="15.75" customHeight="1" s="99">
      <c r="A57" s="41" t="n">
        <v>53</v>
      </c>
      <c r="B57" s="45" t="n">
        <v>46241</v>
      </c>
      <c r="C57" s="47" t="inlineStr">
        <is>
          <t>Self</t>
        </is>
      </c>
      <c r="D57" s="47" t="inlineStr">
        <is>
          <t>Pappu Hardware</t>
        </is>
      </c>
      <c r="E57" s="47" t="inlineStr">
        <is>
          <t>Building Materials + Steel + Labour</t>
        </is>
      </c>
      <c r="F57" s="47" t="inlineStr">
        <is>
          <t>Cement + Tata Tiscon rods + wire + labour</t>
        </is>
      </c>
      <c r="G57" s="62" t="n">
        <v>47740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 t="n"/>
      <c r="M57" s="47" t="n"/>
    </row>
    <row r="58" ht="15.75" customHeight="1" s="99">
      <c r="A58" s="43" t="n">
        <v>54</v>
      </c>
      <c r="B58" s="53" t="n">
        <v>46243</v>
      </c>
      <c r="C58" s="55" t="inlineStr">
        <is>
          <t>Papa</t>
        </is>
      </c>
      <c r="D58" s="55" t="inlineStr">
        <is>
          <t>Econ Builder</t>
        </is>
      </c>
      <c r="E58" s="55" t="inlineStr">
        <is>
          <t>Labour + Steel/Iron + Building Materials</t>
        </is>
      </c>
      <c r="F58" s="55" t="inlineStr">
        <is>
          <t>Darbhanga labour, chotu lohabala, grilling, 4mm ply, Bayju</t>
        </is>
      </c>
      <c r="G58" s="63" t="n">
        <v>37900</v>
      </c>
      <c r="H58" s="55" t="inlineStr">
        <is>
          <t>Cash</t>
        </is>
      </c>
      <c r="I58" s="55" t="n"/>
      <c r="J58" s="55" t="n"/>
      <c r="K58" s="55" t="inlineStr">
        <is>
          <t>Y</t>
        </is>
      </c>
      <c r="L58" s="58" t="n"/>
      <c r="M58" s="55" t="n"/>
    </row>
    <row r="59" ht="15.75" customHeight="1" s="99">
      <c r="A59" s="41" t="n">
        <v>55</v>
      </c>
      <c r="B59" s="45" t="n">
        <v>46258</v>
      </c>
      <c r="C59" s="47" t="inlineStr">
        <is>
          <t>Self</t>
        </is>
      </c>
      <c r="D59" s="47" t="inlineStr">
        <is>
          <t>Pappu Hardware</t>
        </is>
      </c>
      <c r="E59" s="47" t="inlineStr">
        <is>
          <t>Building Materials + Labour</t>
        </is>
      </c>
      <c r="F59" s="47" t="inlineStr">
        <is>
          <t>Ultratech Super + Plain cement, labour</t>
        </is>
      </c>
      <c r="G59" s="62" t="n">
        <v>17100</v>
      </c>
      <c r="H59" s="47" t="inlineStr">
        <is>
          <t>Cash</t>
        </is>
      </c>
      <c r="I59" s="47" t="n"/>
      <c r="J59" s="47" t="n"/>
      <c r="K59" s="47" t="inlineStr">
        <is>
          <t>Y</t>
        </is>
      </c>
      <c r="L59" s="50" t="n"/>
      <c r="M59" s="47" t="n"/>
    </row>
    <row r="60" ht="15.75" customHeight="1" s="99">
      <c r="A60" s="43" t="n">
        <v>56</v>
      </c>
      <c r="B60" s="53" t="n">
        <v>46270</v>
      </c>
      <c r="C60" s="55" t="inlineStr">
        <is>
          <t>Self</t>
        </is>
      </c>
      <c r="D60" s="55" t="inlineStr">
        <is>
          <t>Pappu Hardware</t>
        </is>
      </c>
      <c r="E60" s="55" t="inlineStr">
        <is>
          <t>Building Materials</t>
        </is>
      </c>
      <c r="F60" s="55" t="inlineStr">
        <is>
          <t>Ultratech Super+Plain cement, transport</t>
        </is>
      </c>
      <c r="G60" s="63" t="n">
        <v>12210</v>
      </c>
      <c r="H60" s="55" t="inlineStr">
        <is>
          <t>Cash</t>
        </is>
      </c>
      <c r="I60" s="55" t="n"/>
      <c r="J60" s="55" t="n"/>
      <c r="K60" s="55" t="inlineStr">
        <is>
          <t>Y</t>
        </is>
      </c>
      <c r="L60" s="58" t="n"/>
      <c r="M60" s="55" t="n"/>
    </row>
    <row r="61" ht="15.75" customHeight="1" s="99">
      <c r="A61" s="41" t="n">
        <v>57</v>
      </c>
      <c r="B61" s="45" t="n">
        <v>46277</v>
      </c>
      <c r="C61" s="47" t="inlineStr">
        <is>
          <t>Self</t>
        </is>
      </c>
      <c r="D61" s="47" t="inlineStr">
        <is>
          <t>Econ Builder</t>
        </is>
      </c>
      <c r="E61" s="47" t="inlineStr">
        <is>
          <t>Professional Fees</t>
        </is>
      </c>
      <c r="F61" s="47" t="inlineStr">
        <is>
          <t>Construction work done — general site supervision &amp; labour (Sep)</t>
        </is>
      </c>
      <c r="G61" s="62" t="n">
        <v>100000</v>
      </c>
      <c r="H61" s="47" t="inlineStr">
        <is>
          <t>Cash</t>
        </is>
      </c>
      <c r="I61" s="47" t="n"/>
      <c r="J61" s="47" t="n"/>
      <c r="K61" s="47" t="inlineStr">
        <is>
          <t>Y</t>
        </is>
      </c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  <row r="505">
      <c r="B505" s="128" t="n"/>
      <c r="K505" t="inlineStr">
        <is>
          <t>Y</t>
        </is>
      </c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 outlineLevelCol="0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 outlineLevelCol="0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 outlineLevelCol="0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 outlineLevelCol="0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 outlineLevelCol="0"/>
  <cols>
    <col width="14" customWidth="1" style="99" min="1" max="1"/>
    <col width="8" customWidth="1" style="99" min="2" max="2"/>
    <col width="16" customWidth="1" style="99" min="3" max="3"/>
    <col width="40" customWidth="1" style="99" min="4" max="4"/>
    <col width="60" customWidth="1" style="99" min="5" max="5"/>
  </cols>
  <sheetData>
    <row r="1">
      <c r="A1" t="inlineStr">
        <is>
          <t>UNIT FUNDING — B-Unit / C-Unit cost split &amp; external funder commitments</t>
        </is>
      </c>
    </row>
    <row r="2">
      <c r="A2" t="inlineStr">
        <is>
          <t>All spend is split 50/50 between B-Unit and C-Unit unless a transaction is explicitly tagged to one unit.</t>
        </is>
      </c>
    </row>
    <row r="4">
      <c r="A4" t="inlineStr">
        <is>
          <t>Funder</t>
        </is>
      </c>
      <c r="B4" t="inlineStr">
        <is>
          <t>Unit</t>
        </is>
      </c>
      <c r="C4" t="inlineStr">
        <is>
          <t>Commitment ₹</t>
        </is>
      </c>
      <c r="D4" t="inlineStr">
        <is>
          <t>Family-funded threshold ₹ (kicks in after this much unit spend)</t>
        </is>
      </c>
      <c r="E4" t="inlineStr">
        <is>
          <t>Notes</t>
        </is>
      </c>
    </row>
    <row r="5">
      <c r="A5" t="inlineStr">
        <is>
          <t>Deepu</t>
        </is>
      </c>
      <c r="B5" t="inlineStr">
        <is>
          <t>C</t>
        </is>
      </c>
      <c r="C5" t="n">
        <v>1500000</v>
      </c>
      <c r="D5" t="n">
        <v>1000000</v>
      </c>
      <c r="E5" t="inlineStr">
        <is>
          <t>Avinash funds first ₹10L of C-Unit spend; Deepu funds the next ₹15L of C-Unit spend beyond that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2026-09-12T00:36:28Z</dcterms:modified>
  <cp:lastModifiedBy>Avinash Karn</cp:lastModifiedBy>
  <cp:revision>49</cp:revision>
</cp:coreProperties>
</file>