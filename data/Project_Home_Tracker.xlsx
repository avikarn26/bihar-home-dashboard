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568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t="n">
        <v>541</v>
      </c>
      <c r="B547" s="128" t="n">
        <v>46225</v>
      </c>
      <c r="C547">
        <f>IF(B547="","",TEXT(B547,"MMM-YYYY"))</f>
        <v/>
      </c>
      <c r="D547" t="inlineStr">
        <is>
          <t>Plinth Phase</t>
        </is>
      </c>
      <c r="E547" t="inlineStr">
        <is>
          <t>Building Materials</t>
        </is>
      </c>
      <c r="F547" t="inlineStr">
        <is>
          <t>Bricks</t>
        </is>
      </c>
      <c r="G547" t="inlineStr">
        <is>
          <t>Brick delivery — tractor 14-20 (10,500 bricks @ ₹8.5)</t>
        </is>
      </c>
      <c r="H547" t="inlineStr">
        <is>
          <t>Brick Company</t>
        </is>
      </c>
      <c r="I547" t="n">
        <v>10500</v>
      </c>
      <c r="J547" t="inlineStr">
        <is>
          <t>pcs</t>
        </is>
      </c>
      <c r="K547" t="n">
        <v>8.5</v>
      </c>
      <c r="L547">
        <f>I547*K547</f>
        <v/>
      </c>
      <c r="N547">
        <f>M547*L547</f>
        <v/>
      </c>
      <c r="O547">
        <f>IF(L547="","",IF(M547="",L547,L547*(1-M547)))</f>
        <v/>
      </c>
    </row>
    <row r="548">
      <c r="A548" t="n">
        <v>542</v>
      </c>
      <c r="B548" s="128" t="n">
        <v>46224</v>
      </c>
      <c r="C548">
        <f>IF(B548="","",TEXT(B548,"MMM-YYYY"))</f>
        <v/>
      </c>
      <c r="D548" t="inlineStr">
        <is>
          <t>Plinth Phase</t>
        </is>
      </c>
      <c r="E548" t="inlineStr">
        <is>
          <t>Building Materials</t>
        </is>
      </c>
      <c r="F548" t="inlineStr">
        <is>
          <t>Concrete/Gitti</t>
        </is>
      </c>
      <c r="G548" t="inlineStr">
        <is>
          <t>Gitti/Concrete 41.48 MT @ ₹2,300/MT</t>
        </is>
      </c>
      <c r="H548" t="inlineStr">
        <is>
          <t>Concrete Supplier</t>
        </is>
      </c>
      <c r="I548" t="n">
        <v>41.48</v>
      </c>
      <c r="J548" t="inlineStr">
        <is>
          <t>MT</t>
        </is>
      </c>
      <c r="K548" t="n">
        <v>2300</v>
      </c>
      <c r="L548">
        <f>I548*K548</f>
        <v/>
      </c>
      <c r="N548">
        <f>M548*L548</f>
        <v/>
      </c>
      <c r="O548">
        <f>IF(L548="","",IF(M548="",L548,L548*(1-M548)))</f>
        <v/>
      </c>
    </row>
    <row r="549">
      <c r="A549" t="n">
        <v>543</v>
      </c>
      <c r="B549" s="128" t="n">
        <v>46224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gitti/concrete loading</t>
        </is>
      </c>
      <c r="H549" t="inlineStr">
        <is>
          <t>Concrete Supplier</t>
        </is>
      </c>
      <c r="I549" t="n">
        <v>1</v>
      </c>
      <c r="J549" t="inlineStr">
        <is>
          <t>Service</t>
        </is>
      </c>
      <c r="K549" t="n">
        <v>200</v>
      </c>
      <c r="L549">
        <f>I549*K549</f>
        <v/>
      </c>
      <c r="N549">
        <f>M549*L549</f>
        <v/>
      </c>
      <c r="O549">
        <f>IF(L549="","",IF(M549="",L549,L549*(1-M549)))</f>
        <v/>
      </c>
    </row>
    <row r="550">
      <c r="A550" t="n">
        <v>544</v>
      </c>
      <c r="B550" s="128" t="n">
        <v>46224</v>
      </c>
      <c r="C550">
        <f>IF(B550="","",TEXT(B550,"MMM-YYYY"))</f>
        <v/>
      </c>
      <c r="D550" t="inlineStr">
        <is>
          <t>Plinth Phase</t>
        </is>
      </c>
      <c r="E550" t="inlineStr">
        <is>
          <t>Professional Fees</t>
        </is>
      </c>
      <c r="F550" t="inlineStr">
        <is>
          <t>Engineer Supervision</t>
        </is>
      </c>
      <c r="G550" t="inlineStr">
        <is>
          <t>Engineer supervision and site coordination</t>
        </is>
      </c>
      <c r="H550" t="inlineStr">
        <is>
          <t>Econ Builder</t>
        </is>
      </c>
      <c r="I550" t="n">
        <v>1</v>
      </c>
      <c r="J550" t="inlineStr">
        <is>
          <t>Service</t>
        </is>
      </c>
      <c r="K550" t="n">
        <v>37700</v>
      </c>
      <c r="L550">
        <f>I550*K550</f>
        <v/>
      </c>
      <c r="N550">
        <f>M550*L550</f>
        <v/>
      </c>
      <c r="O550">
        <f>IF(L550="","",IF(M550="",L550,L550*(1-M550)))</f>
        <v/>
      </c>
    </row>
    <row r="551">
      <c r="A551" t="n">
        <v>545</v>
      </c>
      <c r="B551" s="128" t="n">
        <v>46225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Premium Cement 20 bags @ ₹330</t>
        </is>
      </c>
      <c r="H551" t="inlineStr">
        <is>
          <t>Pappu Hardware</t>
        </is>
      </c>
      <c r="I551" t="n">
        <v>20</v>
      </c>
      <c r="J551" t="inlineStr">
        <is>
          <t>Bag</t>
        </is>
      </c>
      <c r="K551" t="n">
        <v>330</v>
      </c>
      <c r="L551">
        <f>I551*K551</f>
        <v/>
      </c>
      <c r="N551">
        <f>M551*L551</f>
        <v/>
      </c>
      <c r="O551">
        <f>IF(L551="","",IF(M551="",L551,L551*(1-M551)))</f>
        <v/>
      </c>
    </row>
    <row r="552">
      <c r="A552" t="n">
        <v>546</v>
      </c>
      <c r="B552" s="128" t="n">
        <v>46225</v>
      </c>
      <c r="C552">
        <f>IF(B552="","",TEXT(B552,"MMM-YYYY"))</f>
        <v/>
      </c>
      <c r="D552" t="inlineStr">
        <is>
          <t>Plinth Phase</t>
        </is>
      </c>
      <c r="E552" t="inlineStr">
        <is>
          <t>Labour</t>
        </is>
      </c>
      <c r="F552" t="inlineStr">
        <is>
          <t>Site Labour</t>
        </is>
      </c>
      <c r="G552" t="inlineStr">
        <is>
          <t>Labour for cement handling/loading</t>
        </is>
      </c>
      <c r="H552" t="inlineStr">
        <is>
          <t>Pappu Hardware</t>
        </is>
      </c>
      <c r="I552" t="n">
        <v>1</v>
      </c>
      <c r="J552" t="inlineStr">
        <is>
          <t>Service</t>
        </is>
      </c>
      <c r="K552" t="n">
        <v>400</v>
      </c>
      <c r="L552">
        <f>I552*K552</f>
        <v/>
      </c>
      <c r="N552">
        <f>M552*L552</f>
        <v/>
      </c>
      <c r="O552">
        <f>IF(L552="","",IF(M552="",L552,L552*(1-M552)))</f>
        <v/>
      </c>
    </row>
    <row r="553">
      <c r="A553" t="n">
        <v>547</v>
      </c>
      <c r="B553" s="128" t="n">
        <v>46234</v>
      </c>
      <c r="C553">
        <f>IF(B553="","",TEXT(B553,"MMM-YYYY"))</f>
        <v/>
      </c>
      <c r="D553" t="inlineStr">
        <is>
          <t>Plinth Phase</t>
        </is>
      </c>
      <c r="E553" t="inlineStr">
        <is>
          <t>Professional Fees</t>
        </is>
      </c>
      <c r="F553" t="inlineStr">
        <is>
          <t>Engineer Supervision</t>
        </is>
      </c>
      <c r="G553" t="inlineStr">
        <is>
          <t>Payment to Santosh — aara mil (received)</t>
        </is>
      </c>
      <c r="H553" t="inlineStr">
        <is>
          <t>Econ Builder</t>
        </is>
      </c>
      <c r="I553" t="n">
        <v>1</v>
      </c>
      <c r="J553" t="inlineStr">
        <is>
          <t>Service</t>
        </is>
      </c>
      <c r="K553" t="n">
        <v>4000</v>
      </c>
      <c r="L553">
        <f>I553*K553</f>
        <v/>
      </c>
      <c r="N553">
        <f>M553*L553</f>
        <v/>
      </c>
      <c r="O553">
        <f>IF(L553="","",IF(M553="",L553,L553*(1-M553)))</f>
        <v/>
      </c>
    </row>
    <row r="554">
      <c r="A554" t="n">
        <v>548</v>
      </c>
      <c r="B554" s="128" t="n">
        <v>46241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Cement</t>
        </is>
      </c>
      <c r="G554" t="inlineStr">
        <is>
          <t>Ultratech Super cement 25 bags @ ₹350</t>
        </is>
      </c>
      <c r="H554" t="inlineStr">
        <is>
          <t>Pappu Hardware</t>
        </is>
      </c>
      <c r="I554" t="n">
        <v>25</v>
      </c>
      <c r="J554" t="inlineStr">
        <is>
          <t>Bag</t>
        </is>
      </c>
      <c r="K554" t="n">
        <v>350</v>
      </c>
      <c r="L554">
        <f>I554*K554</f>
        <v/>
      </c>
      <c r="N554">
        <f>M554*L554</f>
        <v/>
      </c>
      <c r="O554">
        <f>IF(L554="","",IF(M554="",L554,L554*(1-M554)))</f>
        <v/>
      </c>
    </row>
    <row r="555">
      <c r="A555" t="n">
        <v>549</v>
      </c>
      <c r="B555" s="128" t="n">
        <v>46241</v>
      </c>
      <c r="C555">
        <f>IF(B555="","",TEXT(B555,"MMM-YYYY"))</f>
        <v/>
      </c>
      <c r="D555" t="inlineStr">
        <is>
          <t>Plinth Phase</t>
        </is>
      </c>
      <c r="E555" t="inlineStr">
        <is>
          <t>Steel / Iron</t>
        </is>
      </c>
      <c r="F555" t="inlineStr">
        <is>
          <t>Tiscon 10mm</t>
        </is>
      </c>
      <c r="G555" t="inlineStr">
        <is>
          <t>10mm Tata Tiscon Rod 50 pcs @ ₹590 (4% disc)</t>
        </is>
      </c>
      <c r="H555" t="inlineStr">
        <is>
          <t>Pappu Hardware</t>
        </is>
      </c>
      <c r="I555" t="n">
        <v>50</v>
      </c>
      <c r="J555" t="inlineStr">
        <is>
          <t>pcs</t>
        </is>
      </c>
      <c r="K555" t="n">
        <v>566.4</v>
      </c>
      <c r="L555">
        <f>I555*K555</f>
        <v/>
      </c>
      <c r="N555">
        <f>M555*L555</f>
        <v/>
      </c>
      <c r="O555">
        <f>IF(L555="","",IF(M555="",L555,L555*(1-M555)))</f>
        <v/>
      </c>
    </row>
    <row r="556">
      <c r="A556" t="n">
        <v>550</v>
      </c>
      <c r="B556" s="128" t="n">
        <v>46241</v>
      </c>
      <c r="C556">
        <f>IF(B556="","",TEXT(B556,"MMM-YYYY"))</f>
        <v/>
      </c>
      <c r="D556" t="inlineStr">
        <is>
          <t>Plinth Phase</t>
        </is>
      </c>
      <c r="E556" t="inlineStr">
        <is>
          <t>Steel / Iron</t>
        </is>
      </c>
      <c r="F556" t="inlineStr">
        <is>
          <t>Tiscon 6mm</t>
        </is>
      </c>
      <c r="G556" t="inlineStr">
        <is>
          <t>6mm Tata Tiscon Rod 40 pcs @ ₹228</t>
        </is>
      </c>
      <c r="H556" t="inlineStr">
        <is>
          <t>Pappu Hardware</t>
        </is>
      </c>
      <c r="I556" t="n">
        <v>40</v>
      </c>
      <c r="J556" t="inlineStr">
        <is>
          <t>pcs</t>
        </is>
      </c>
      <c r="K556" t="n">
        <v>228</v>
      </c>
      <c r="L556">
        <f>I556*K556</f>
        <v/>
      </c>
      <c r="N556">
        <f>M556*L556</f>
        <v/>
      </c>
      <c r="O556">
        <f>IF(L556="","",IF(M556="",L556,L556*(1-M556)))</f>
        <v/>
      </c>
    </row>
    <row r="557">
      <c r="A557" t="n">
        <v>551</v>
      </c>
      <c r="B557" s="128" t="n">
        <v>46241</v>
      </c>
      <c r="C557">
        <f>IF(B557="","",TEXT(B557,"MMM-YYYY"))</f>
        <v/>
      </c>
      <c r="D557" t="inlineStr">
        <is>
          <t>Plinth Phase</t>
        </is>
      </c>
      <c r="E557" t="inlineStr">
        <is>
          <t>Steel / Iron</t>
        </is>
      </c>
      <c r="F557" t="inlineStr">
        <is>
          <t>Wire</t>
        </is>
      </c>
      <c r="G557" t="inlineStr">
        <is>
          <t>Tata soft wire 10 Kg @ ₹110</t>
        </is>
      </c>
      <c r="H557" t="inlineStr">
        <is>
          <t>Pappu Hardware</t>
        </is>
      </c>
      <c r="I557" t="n">
        <v>10</v>
      </c>
      <c r="J557" t="inlineStr">
        <is>
          <t>Kg</t>
        </is>
      </c>
      <c r="K557" t="n">
        <v>110</v>
      </c>
      <c r="L557">
        <f>I557*K557</f>
        <v/>
      </c>
      <c r="N557">
        <f>M557*L557</f>
        <v/>
      </c>
      <c r="O557">
        <f>IF(L557="","",IF(M557="",L557,L557*(1-M557)))</f>
        <v/>
      </c>
    </row>
    <row r="558">
      <c r="A558" t="n">
        <v>552</v>
      </c>
      <c r="B558" s="128" t="n">
        <v>46241</v>
      </c>
      <c r="C558">
        <f>IF(B558="","",TEXT(B558,"MMM-YYYY"))</f>
        <v/>
      </c>
      <c r="D558" t="inlineStr">
        <is>
          <t>Plinth Phase</t>
        </is>
      </c>
      <c r="E558" t="inlineStr">
        <is>
          <t>Labour</t>
        </is>
      </c>
      <c r="F558" t="inlineStr">
        <is>
          <t>Site Labour</t>
        </is>
      </c>
      <c r="G558" t="inlineStr">
        <is>
          <t>Labour for loading/handling</t>
        </is>
      </c>
      <c r="H558" t="inlineStr">
        <is>
          <t>Pappu Hardware</t>
        </is>
      </c>
      <c r="I558" t="n">
        <v>1</v>
      </c>
      <c r="J558" t="inlineStr">
        <is>
          <t>Service</t>
        </is>
      </c>
      <c r="K558" t="n">
        <v>450</v>
      </c>
      <c r="L558">
        <f>I558*K558</f>
        <v/>
      </c>
      <c r="N558">
        <f>M558*L558</f>
        <v/>
      </c>
      <c r="O558">
        <f>IF(L558="","",IF(M558="",L558,L558*(1-M558)))</f>
        <v/>
      </c>
    </row>
    <row r="559">
      <c r="A559" t="n">
        <v>553</v>
      </c>
      <c r="B559" s="128" t="n">
        <v>46243</v>
      </c>
      <c r="C559">
        <f>IF(B559="","",TEXT(B559,"MMM-YYYY"))</f>
        <v/>
      </c>
      <c r="D559" t="inlineStr">
        <is>
          <t>Plinth Phase</t>
        </is>
      </c>
      <c r="E559" t="inlineStr">
        <is>
          <t>Labour</t>
        </is>
      </c>
      <c r="F559" t="inlineStr">
        <is>
          <t>Site Labour</t>
        </is>
      </c>
      <c r="G559" t="inlineStr">
        <is>
          <t>Darbhanga labour payment</t>
        </is>
      </c>
      <c r="H559" t="inlineStr">
        <is>
          <t>Econ Builder</t>
        </is>
      </c>
      <c r="I559" t="n">
        <v>1</v>
      </c>
      <c r="J559" t="inlineStr">
        <is>
          <t>Lot</t>
        </is>
      </c>
      <c r="K559" t="n">
        <v>1200</v>
      </c>
      <c r="L559">
        <f>I559*K559</f>
        <v/>
      </c>
      <c r="N559">
        <f>M559*L559</f>
        <v/>
      </c>
      <c r="O559">
        <f>IF(L559="","",IF(M559="",L559,L559*(1-M559)))</f>
        <v/>
      </c>
    </row>
    <row r="560">
      <c r="A560" t="n">
        <v>554</v>
      </c>
      <c r="B560" s="128" t="n">
        <v>46243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Chotu lohabala</t>
        </is>
      </c>
      <c r="H560" t="inlineStr">
        <is>
          <t>Econ Builder</t>
        </is>
      </c>
      <c r="I560" t="n">
        <v>1</v>
      </c>
      <c r="J560" t="inlineStr">
        <is>
          <t>Lot</t>
        </is>
      </c>
      <c r="K560" t="n">
        <v>5000</v>
      </c>
      <c r="L560">
        <f>I560*K560</f>
        <v/>
      </c>
      <c r="N560">
        <f>M560*L560</f>
        <v/>
      </c>
      <c r="O560">
        <f>IF(L560="","",IF(M560="",L560,L560*(1-M560)))</f>
        <v/>
      </c>
    </row>
    <row r="561">
      <c r="A561" t="n">
        <v>555</v>
      </c>
      <c r="B561" s="128" t="n">
        <v>46243</v>
      </c>
      <c r="C561">
        <f>IF(B561="","",TEXT(B561,"MMM-YYYY"))</f>
        <v/>
      </c>
      <c r="D561" t="inlineStr">
        <is>
          <t>Plinth Phase</t>
        </is>
      </c>
      <c r="E561" t="inlineStr">
        <is>
          <t>Steel / Iron</t>
        </is>
      </c>
      <c r="F561" t="inlineStr">
        <is>
          <t>Fabrication</t>
        </is>
      </c>
      <c r="G561" t="inlineStr">
        <is>
          <t>Grilling</t>
        </is>
      </c>
      <c r="H561" t="inlineStr">
        <is>
          <t>Econ Builder</t>
        </is>
      </c>
      <c r="I561" t="n">
        <v>1</v>
      </c>
      <c r="J561" t="inlineStr">
        <is>
          <t>Service</t>
        </is>
      </c>
      <c r="K561" t="n">
        <v>1000</v>
      </c>
      <c r="L561">
        <f>I561*K561</f>
        <v/>
      </c>
      <c r="N561">
        <f>M561*L561</f>
        <v/>
      </c>
      <c r="O561">
        <f>IF(L561="","",IF(M561="",L561,L561*(1-M561)))</f>
        <v/>
      </c>
    </row>
    <row r="562">
      <c r="A562" t="n">
        <v>556</v>
      </c>
      <c r="B562" s="128" t="n">
        <v>46243</v>
      </c>
      <c r="C562">
        <f>IF(B562="","",TEXT(B562,"MMM-YYYY"))</f>
        <v/>
      </c>
      <c r="D562" t="inlineStr">
        <is>
          <t>Plinth Phase</t>
        </is>
      </c>
      <c r="E562" t="inlineStr">
        <is>
          <t>Building Materials</t>
        </is>
      </c>
      <c r="F562" t="inlineStr">
        <is>
          <t>Plywood/Shuttering</t>
        </is>
      </c>
      <c r="G562" t="inlineStr">
        <is>
          <t>4mm ply</t>
        </is>
      </c>
      <c r="H562" t="inlineStr">
        <is>
          <t>Econ Builder</t>
        </is>
      </c>
      <c r="I562" t="n">
        <v>1</v>
      </c>
      <c r="J562" t="inlineStr">
        <is>
          <t>Lot</t>
        </is>
      </c>
      <c r="K562" t="n">
        <v>700</v>
      </c>
      <c r="L562">
        <f>I562*K562</f>
        <v/>
      </c>
      <c r="N562">
        <f>M562*L562</f>
        <v/>
      </c>
      <c r="O562">
        <f>IF(L562="","",IF(M562="",L562,L562*(1-M562)))</f>
        <v/>
      </c>
    </row>
    <row r="563">
      <c r="A563" t="n">
        <v>557</v>
      </c>
      <c r="B563" s="128" t="n">
        <v>46243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Bayju</t>
        </is>
      </c>
      <c r="H563" t="inlineStr">
        <is>
          <t>Econ Builder</t>
        </is>
      </c>
      <c r="I563" t="n">
        <v>1</v>
      </c>
      <c r="J563" t="inlineStr">
        <is>
          <t>Lot</t>
        </is>
      </c>
      <c r="K563" t="n">
        <v>30000</v>
      </c>
      <c r="L563">
        <f>I563*K563</f>
        <v/>
      </c>
      <c r="N563">
        <f>M563*L563</f>
        <v/>
      </c>
      <c r="O563">
        <f>IF(L563="","",IF(M563="",L563,L563*(1-M563)))</f>
        <v/>
      </c>
    </row>
    <row r="564">
      <c r="A564" t="n">
        <v>558</v>
      </c>
      <c r="B564" s="128" t="n">
        <v>46256</v>
      </c>
      <c r="C564">
        <f>IF(B564="","",TEXT(B564,"MMM-YYYY"))</f>
        <v/>
      </c>
      <c r="D564" t="inlineStr">
        <is>
          <t>Plinth Phase</t>
        </is>
      </c>
      <c r="E564" t="inlineStr">
        <is>
          <t>Building Materials</t>
        </is>
      </c>
      <c r="F564" t="inlineStr">
        <is>
          <t>Bricks</t>
        </is>
      </c>
      <c r="G564" t="inlineStr">
        <is>
          <t>Brick delivery — tractor 21-27 (10,500 bricks @ ₹8.5)</t>
        </is>
      </c>
      <c r="H564" t="inlineStr">
        <is>
          <t>Brick Company</t>
        </is>
      </c>
      <c r="I564" t="n">
        <v>10500</v>
      </c>
      <c r="J564" t="inlineStr">
        <is>
          <t>pcs</t>
        </is>
      </c>
      <c r="K564" t="n">
        <v>8.5</v>
      </c>
      <c r="L564">
        <f>I564*K564</f>
        <v/>
      </c>
      <c r="N564">
        <f>M564*L564</f>
        <v/>
      </c>
      <c r="O564">
        <f>IF(L564="","",IF(M564="",L564,L564*(1-M564)))</f>
        <v/>
      </c>
    </row>
    <row r="565">
      <c r="A565" t="n">
        <v>559</v>
      </c>
      <c r="B565" s="128" t="n">
        <v>46258</v>
      </c>
      <c r="C565">
        <f>IF(B565="","",TEXT(B565,"MMM-YYYY"))</f>
        <v/>
      </c>
      <c r="D565" t="inlineStr">
        <is>
          <t>Plinth Phase</t>
        </is>
      </c>
      <c r="E565" t="inlineStr">
        <is>
          <t>Building Materials</t>
        </is>
      </c>
      <c r="F565" t="inlineStr">
        <is>
          <t>Cement</t>
        </is>
      </c>
      <c r="G565" t="inlineStr">
        <is>
          <t>Ultratech Super cement 30 bags @ ₹340</t>
        </is>
      </c>
      <c r="H565" t="inlineStr">
        <is>
          <t>Pappu Hardware</t>
        </is>
      </c>
      <c r="I565" t="n">
        <v>30</v>
      </c>
      <c r="J565" t="inlineStr">
        <is>
          <t>Bag</t>
        </is>
      </c>
      <c r="K565" t="n">
        <v>340</v>
      </c>
      <c r="L565">
        <f>I565*K565</f>
        <v/>
      </c>
      <c r="N565">
        <f>M565*L565</f>
        <v/>
      </c>
      <c r="O565">
        <f>IF(L565="","",IF(M565="",L565,L565*(1-M565)))</f>
        <v/>
      </c>
    </row>
    <row r="566">
      <c r="A566" t="n">
        <v>560</v>
      </c>
      <c r="B566" s="128" t="n">
        <v>46258</v>
      </c>
      <c r="C566">
        <f>IF(B566="","",TEXT(B566,"MMM-YYYY"))</f>
        <v/>
      </c>
      <c r="D566" t="inlineStr">
        <is>
          <t>Plinth Phase</t>
        </is>
      </c>
      <c r="E566" t="inlineStr">
        <is>
          <t>Building Materials</t>
        </is>
      </c>
      <c r="F566" t="inlineStr">
        <is>
          <t>Cement</t>
        </is>
      </c>
      <c r="G566" t="inlineStr">
        <is>
          <t>Ultratech Plain cement 20 bags @ ₹320</t>
        </is>
      </c>
      <c r="H566" t="inlineStr">
        <is>
          <t>Pappu Hardware</t>
        </is>
      </c>
      <c r="I566" t="n">
        <v>20</v>
      </c>
      <c r="J566" t="inlineStr">
        <is>
          <t>Bag</t>
        </is>
      </c>
      <c r="K566" t="n">
        <v>320</v>
      </c>
      <c r="L566">
        <f>I566*K566</f>
        <v/>
      </c>
      <c r="N566">
        <f>M566*L566</f>
        <v/>
      </c>
      <c r="O566">
        <f>IF(L566="","",IF(M566="",L566,L566*(1-M566)))</f>
        <v/>
      </c>
    </row>
    <row r="567">
      <c r="A567" t="n">
        <v>561</v>
      </c>
      <c r="B567" s="128" t="n">
        <v>46258</v>
      </c>
      <c r="C567">
        <f>IF(B567="","",TEXT(B567,"MMM-YYYY"))</f>
        <v/>
      </c>
      <c r="D567" t="inlineStr">
        <is>
          <t>Plinth Phase</t>
        </is>
      </c>
      <c r="E567" t="inlineStr">
        <is>
          <t>Labour</t>
        </is>
      </c>
      <c r="F567" t="inlineStr">
        <is>
          <t>Site Labour</t>
        </is>
      </c>
      <c r="G567" t="inlineStr">
        <is>
          <t>Labour</t>
        </is>
      </c>
      <c r="H567" t="inlineStr">
        <is>
          <t>Pappu Hardware</t>
        </is>
      </c>
      <c r="I567" t="n">
        <v>1</v>
      </c>
      <c r="J567" t="inlineStr">
        <is>
          <t>Service</t>
        </is>
      </c>
      <c r="K567" t="n">
        <v>500</v>
      </c>
      <c r="L567">
        <f>I567*K567</f>
        <v/>
      </c>
      <c r="N567">
        <f>M567*L567</f>
        <v/>
      </c>
      <c r="O567">
        <f>IF(L567="","",IF(M567="",L567,L567*(1-M567)))</f>
        <v/>
      </c>
    </row>
    <row r="568">
      <c r="A568" s="60" t="inlineStr">
        <is>
          <t>TOTALS</t>
        </is>
      </c>
      <c r="B568" s="60" t="n"/>
      <c r="C568" s="60" t="n"/>
      <c r="D568" s="60" t="n"/>
      <c r="E568" s="60" t="n"/>
      <c r="F568" s="60" t="n"/>
      <c r="G568" s="60" t="n"/>
      <c r="H568" s="60" t="n"/>
      <c r="I568" s="60" t="n"/>
      <c r="J568" s="60" t="n"/>
      <c r="K568" s="60" t="n"/>
      <c r="L568" s="61">
        <f>SUM(L5:L567)</f>
        <v/>
      </c>
      <c r="M568" s="60" t="n"/>
      <c r="N568" s="60" t="n"/>
      <c r="O568" s="61">
        <f>SUM(O5:O528)</f>
        <v/>
      </c>
      <c r="P568" s="60" t="n"/>
      <c r="Q568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>
        <v>45</v>
      </c>
      <c r="B49" s="45" t="n">
        <v>46224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Transport + Labour</t>
        </is>
      </c>
      <c r="F49" s="47" t="inlineStr">
        <is>
          <t>Cement 60 bags + wire + transport + labour</t>
        </is>
      </c>
      <c r="G49" s="62" t="n">
        <v>22240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46</v>
      </c>
      <c r="B50" s="53" t="n">
        <v>46224</v>
      </c>
      <c r="C50" s="55" t="inlineStr">
        <is>
          <t>Papa</t>
        </is>
      </c>
      <c r="D50" s="55" t="inlineStr">
        <is>
          <t>Concrete Supplier</t>
        </is>
      </c>
      <c r="E50" s="55" t="inlineStr">
        <is>
          <t>Building Materials</t>
        </is>
      </c>
      <c r="F50" s="55" t="inlineStr">
        <is>
          <t>Gitti/Concrete 41.48 MT + labour</t>
        </is>
      </c>
      <c r="G50" s="63" t="n">
        <v>5000</v>
      </c>
      <c r="H50" s="55" t="inlineStr">
        <is>
          <t>GPay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47</v>
      </c>
      <c r="B51" s="45" t="n">
        <v>46224</v>
      </c>
      <c r="C51" s="47" t="inlineStr">
        <is>
          <t>Self</t>
        </is>
      </c>
      <c r="D51" s="47" t="inlineStr">
        <is>
          <t>Concrete Supplier</t>
        </is>
      </c>
      <c r="E51" s="47" t="inlineStr">
        <is>
          <t>Building Materials</t>
        </is>
      </c>
      <c r="F51" s="47" t="inlineStr">
        <is>
          <t>Gitti/Concrete 41.48 MT + labour</t>
        </is>
      </c>
      <c r="G51" s="62" t="n">
        <v>90600</v>
      </c>
      <c r="H51" s="47" t="inlineStr">
        <is>
          <t>Bank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48</v>
      </c>
      <c r="B52" s="53" t="n">
        <v>46225</v>
      </c>
      <c r="C52" s="55" t="inlineStr">
        <is>
          <t>Self</t>
        </is>
      </c>
      <c r="D52" s="55" t="inlineStr">
        <is>
          <t>Concrete Supplier</t>
        </is>
      </c>
      <c r="E52" s="55" t="inlineStr">
        <is>
          <t>Building Materials</t>
        </is>
      </c>
      <c r="F52" s="55" t="inlineStr">
        <is>
          <t>Gitti/Concrete final settlement balance</t>
        </is>
      </c>
      <c r="G52" s="63" t="n">
        <v>4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49</v>
      </c>
      <c r="B53" s="45" t="n">
        <v>46224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Professional Fees</t>
        </is>
      </c>
      <c r="F53" s="47" t="inlineStr">
        <is>
          <t>Engineer supervision and coordination</t>
        </is>
      </c>
      <c r="G53" s="62" t="n">
        <v>37700</v>
      </c>
      <c r="H53" s="47" t="inlineStr">
        <is>
          <t>GPay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50</v>
      </c>
      <c r="B54" s="53" t="n">
        <v>46225</v>
      </c>
      <c r="C54" s="55" t="inlineStr">
        <is>
          <t>Self</t>
        </is>
      </c>
      <c r="D54" s="55" t="inlineStr">
        <is>
          <t>Pappu Hardware</t>
        </is>
      </c>
      <c r="E54" s="55" t="inlineStr">
        <is>
          <t>Building Materials + Labour</t>
        </is>
      </c>
      <c r="F54" s="55" t="inlineStr">
        <is>
          <t>Cement 20 bags + labour</t>
        </is>
      </c>
      <c r="G54" s="63" t="n">
        <v>7000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51</v>
      </c>
      <c r="B55" s="45" t="n">
        <v>46234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Professional Fees</t>
        </is>
      </c>
      <c r="F55" s="47" t="inlineStr">
        <is>
          <t>Santosh aara mil — payment received</t>
        </is>
      </c>
      <c r="G55" s="62" t="n">
        <v>4000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52</v>
      </c>
      <c r="B56" s="53" t="n">
        <v>46236</v>
      </c>
      <c r="C56" s="55" t="inlineStr">
        <is>
          <t>Self</t>
        </is>
      </c>
      <c r="D56" s="55" t="inlineStr">
        <is>
          <t>Mukesh Yadav</t>
        </is>
      </c>
      <c r="E56" s="55" t="inlineStr">
        <is>
          <t>Land Development + Labour</t>
        </is>
      </c>
      <c r="F56" s="55" t="inlineStr">
        <is>
          <t>JCB + Mitti + Sand movement — final settlement</t>
        </is>
      </c>
      <c r="G56" s="63" t="n">
        <v>32950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53</v>
      </c>
      <c r="B57" s="45" t="n">
        <v>46241</v>
      </c>
      <c r="C57" s="47" t="inlineStr">
        <is>
          <t>Self</t>
        </is>
      </c>
      <c r="D57" s="47" t="inlineStr">
        <is>
          <t>Pappu Hardware</t>
        </is>
      </c>
      <c r="E57" s="47" t="inlineStr">
        <is>
          <t>Building Materials + Steel + Labour</t>
        </is>
      </c>
      <c r="F57" s="47" t="inlineStr">
        <is>
          <t>Cement + Tata Tiscon rods + wire + labour</t>
        </is>
      </c>
      <c r="G57" s="62" t="n">
        <v>47740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>
        <v>54</v>
      </c>
      <c r="B58" s="53" t="n">
        <v>46243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 + Steel/Iron + Building Materials</t>
        </is>
      </c>
      <c r="F58" s="55" t="inlineStr">
        <is>
          <t>Darbhanga labour, chotu lohabala, grilling, 4mm ply, Bayju</t>
        </is>
      </c>
      <c r="G58" s="63" t="n">
        <v>37900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 t="n"/>
      <c r="M58" s="55" t="n"/>
    </row>
    <row r="59" ht="15.75" customHeight="1" s="99">
      <c r="A59" s="41" t="n">
        <v>55</v>
      </c>
      <c r="B59" s="45" t="n">
        <v>46258</v>
      </c>
      <c r="C59" s="47" t="inlineStr">
        <is>
          <t>Self</t>
        </is>
      </c>
      <c r="D59" s="47" t="inlineStr">
        <is>
          <t>Pappu Hardware</t>
        </is>
      </c>
      <c r="E59" s="47" t="inlineStr">
        <is>
          <t>Building Materials + Labour</t>
        </is>
      </c>
      <c r="F59" s="47" t="inlineStr">
        <is>
          <t>Ultratech Super + Plain cement, labour</t>
        </is>
      </c>
      <c r="G59" s="62" t="n">
        <v>17100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  <row r="505">
      <c r="B505" s="128" t="n"/>
      <c r="K505" t="inlineStr">
        <is>
          <t>Y</t>
        </is>
      </c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2026-08-24T07:53:38Z</dcterms:modified>
  <cp:lastModifiedBy>Avinash Karn</cp:lastModifiedBy>
  <cp:revision>49</cp:revision>
</cp:coreProperties>
</file>